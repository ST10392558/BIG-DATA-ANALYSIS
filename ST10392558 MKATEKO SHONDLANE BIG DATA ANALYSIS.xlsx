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techonline-my.sharepoint.com/personal/st10392558_rcconnect_edu_za/Documents/"/>
    </mc:Choice>
  </mc:AlternateContent>
  <xr:revisionPtr revIDLastSave="94" documentId="14_{11ECDE66-543A-42E6-A961-A40CCA2C3B5D}" xr6:coauthVersionLast="47" xr6:coauthVersionMax="47" xr10:uidLastSave="{F58BF5A2-A733-4936-BCCD-AB6849F3F2B2}"/>
  <bookViews>
    <workbookView xWindow="-120" yWindow="-120" windowWidth="20730" windowHeight="11160" tabRatio="1000" activeTab="5" xr2:uid="{49F5B44F-FB1B-4692-B7C4-52F442F0B9E0}"/>
  </bookViews>
  <sheets>
    <sheet name="Energy data 1990 - 2020" sheetId="2" r:id="rId1"/>
    <sheet name="QUESTION 3" sheetId="4" r:id="rId2"/>
    <sheet name="QUESTION 5" sheetId="7" r:id="rId3"/>
    <sheet name="Coordinates" sheetId="10" r:id="rId4"/>
    <sheet name="QUESTION 7" sheetId="11" r:id="rId5"/>
    <sheet name="QUESTION 8" sheetId="13" r:id="rId6"/>
  </sheets>
  <definedNames>
    <definedName name="ExternalData_1" localSheetId="0" hidden="1">'Energy data 1990 - 2020'!$A$1:$U$1365</definedName>
    <definedName name="ExternalData_1" localSheetId="4" hidden="1">'QUESTION 7'!$A$1:$W$45</definedName>
  </definedNames>
  <calcPr calcId="191028"/>
  <pivotCaches>
    <pivotCache cacheId="67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0" l="1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63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4" i="10"/>
  <c r="F2" i="10"/>
  <c r="D46" i="11"/>
  <c r="W45" i="11"/>
  <c r="V45" i="11"/>
  <c r="W44" i="11"/>
  <c r="V44" i="11"/>
  <c r="W43" i="11"/>
  <c r="V43" i="11"/>
  <c r="W42" i="11"/>
  <c r="V42" i="11"/>
  <c r="W41" i="11"/>
  <c r="V41" i="11"/>
  <c r="W40" i="11"/>
  <c r="V40" i="11"/>
  <c r="W39" i="11"/>
  <c r="V39" i="11"/>
  <c r="W38" i="11"/>
  <c r="V38" i="11"/>
  <c r="W37" i="11"/>
  <c r="V37" i="11"/>
  <c r="W36" i="11"/>
  <c r="V36" i="11"/>
  <c r="W35" i="11"/>
  <c r="V35" i="11"/>
  <c r="W34" i="11"/>
  <c r="V34" i="11"/>
  <c r="W33" i="11"/>
  <c r="V33" i="11"/>
  <c r="W32" i="11"/>
  <c r="V32" i="11"/>
  <c r="W31" i="11"/>
  <c r="V31" i="11"/>
  <c r="W30" i="11"/>
  <c r="V30" i="11"/>
  <c r="W29" i="11"/>
  <c r="V29" i="11"/>
  <c r="W28" i="11"/>
  <c r="V28" i="11"/>
  <c r="W27" i="11"/>
  <c r="V27" i="11"/>
  <c r="W26" i="11"/>
  <c r="V26" i="11"/>
  <c r="W25" i="11"/>
  <c r="V25" i="11"/>
  <c r="W24" i="11"/>
  <c r="V24" i="11"/>
  <c r="W23" i="11"/>
  <c r="V23" i="11"/>
  <c r="W22" i="11"/>
  <c r="V22" i="11"/>
  <c r="W21" i="11"/>
  <c r="V21" i="11"/>
  <c r="W20" i="11"/>
  <c r="V20" i="11"/>
  <c r="W19" i="11"/>
  <c r="V19" i="11"/>
  <c r="W18" i="11"/>
  <c r="V18" i="11"/>
  <c r="W17" i="11"/>
  <c r="V17" i="11"/>
  <c r="W16" i="11"/>
  <c r="V16" i="11"/>
  <c r="W15" i="11"/>
  <c r="V15" i="11"/>
  <c r="W14" i="11"/>
  <c r="V14" i="11"/>
  <c r="W13" i="11"/>
  <c r="V13" i="11"/>
  <c r="W12" i="11"/>
  <c r="V12" i="11"/>
  <c r="W11" i="11"/>
  <c r="V11" i="11"/>
  <c r="W10" i="11"/>
  <c r="V10" i="11"/>
  <c r="W9" i="11"/>
  <c r="V9" i="11"/>
  <c r="W8" i="11"/>
  <c r="V8" i="11"/>
  <c r="W7" i="11"/>
  <c r="V7" i="11"/>
  <c r="W6" i="11"/>
  <c r="V6" i="11"/>
  <c r="W5" i="11"/>
  <c r="V5" i="11"/>
  <c r="W4" i="11"/>
  <c r="V4" i="11"/>
  <c r="W3" i="11"/>
  <c r="V3" i="11"/>
  <c r="W2" i="11"/>
  <c r="V2" i="1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D1366" i="2"/>
  <c r="V178" i="2" s="1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17" i="4"/>
  <c r="C1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3" i="4"/>
  <c r="A4" i="4"/>
  <c r="A5" i="4"/>
  <c r="A6" i="4"/>
  <c r="A7" i="4"/>
  <c r="A8" i="4"/>
  <c r="A2" i="4"/>
  <c r="V174" i="2" l="1"/>
  <c r="V2" i="2"/>
  <c r="V170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1" i="2"/>
  <c r="V172" i="2"/>
  <c r="V173" i="2"/>
  <c r="V175" i="2"/>
  <c r="V176" i="2"/>
  <c r="V177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58C7BD-BB79-4D38-A095-EFCEF5108212}" keepAlive="1" name="Query - Energy data 1990 - 2020" description="Connection to the 'Energy data 1990 - 2020' query in the workbook." type="5" refreshedVersion="8" background="1" saveData="1">
    <dbPr connection="Provider=Microsoft.Mashup.OleDb.1;Data Source=$Workbook$;Location=&quot;Energy data 1990 - 2020&quot;;Extended Properties=&quot;&quot;" command="SELECT * FROM [Energy data 1990 - 2020]"/>
  </connection>
  <connection id="2" xr16:uid="{DE1D4AE0-46AC-40F8-9F56-057CA9FF5E06}" keepAlive="1" name="Query - Energy data 1990 - 2020 (2)" description="Connection to the 'Energy data 1990 - 2020 (2)' query in the workbook." type="5" refreshedVersion="8" background="1" saveData="1">
    <dbPr connection="Provider=Microsoft.Mashup.OleDb.1;Data Source=$Workbook$;Location=&quot;Energy data 1990 - 2020 (2)&quot;;Extended Properties=&quot;&quot;" command="SELECT * FROM [Energy data 1990 - 2020 (2)]"/>
  </connection>
</connections>
</file>

<file path=xl/sharedStrings.xml><?xml version="1.0" encoding="utf-8"?>
<sst xmlns="http://schemas.openxmlformats.org/spreadsheetml/2006/main" count="3378" uniqueCount="532">
  <si>
    <t>country</t>
  </si>
  <si>
    <t>Year</t>
  </si>
  <si>
    <t>Region</t>
  </si>
  <si>
    <t>CO2 emissions from fuel combustion (MtCO2)</t>
  </si>
  <si>
    <t>Average CO2 emission factor (tCO2/toe)</t>
  </si>
  <si>
    <t>CO2 intensity at constant purchasing power parities (kCO2/$15p)</t>
  </si>
  <si>
    <t>Total energy production (Mtoe)</t>
  </si>
  <si>
    <t>Total energy consumption (Mtoe)</t>
  </si>
  <si>
    <t>Share of renewables in electricity production (%)</t>
  </si>
  <si>
    <t>Share of electricity in total final energy consumption (%)</t>
  </si>
  <si>
    <t>Oil products domestic consumption (Mt)</t>
  </si>
  <si>
    <t>Refined oil products production (Mt)</t>
  </si>
  <si>
    <t>Natural gas production (bcm)</t>
  </si>
  <si>
    <t>Natural gas domestic consumption (bcm)</t>
  </si>
  <si>
    <t>Energy intensity of GDP at constant purchasing power parities (koe/$15p)</t>
  </si>
  <si>
    <t>Electricity production (TWh)</t>
  </si>
  <si>
    <t>Electricity domestic consumption (TWh)</t>
  </si>
  <si>
    <t>Coal and lignite domestic consumption (Mt)</t>
  </si>
  <si>
    <t>Share of wind and solar in electricity production (%)</t>
  </si>
  <si>
    <t>Crude oil production (Mt)</t>
  </si>
  <si>
    <t>Coal and lignite production (Mt)</t>
  </si>
  <si>
    <t>AVERAGE(4.1)</t>
  </si>
  <si>
    <t>SURPLUS(4.2)</t>
  </si>
  <si>
    <t>Algeria</t>
  </si>
  <si>
    <t>Arab States</t>
  </si>
  <si>
    <t>Argentina</t>
  </si>
  <si>
    <t>South/Latin America</t>
  </si>
  <si>
    <t>Australia</t>
  </si>
  <si>
    <t>Asia &amp; Pacific</t>
  </si>
  <si>
    <t>Belgium</t>
  </si>
  <si>
    <t>Europe</t>
  </si>
  <si>
    <t>Brazil</t>
  </si>
  <si>
    <t>Canada</t>
  </si>
  <si>
    <t>North America</t>
  </si>
  <si>
    <t>Chile</t>
  </si>
  <si>
    <t>China</t>
  </si>
  <si>
    <t>Colombia</t>
  </si>
  <si>
    <t>Czechia</t>
  </si>
  <si>
    <t>Egypt</t>
  </si>
  <si>
    <t>Middle east</t>
  </si>
  <si>
    <t>France</t>
  </si>
  <si>
    <t>Germany</t>
  </si>
  <si>
    <t>India</t>
  </si>
  <si>
    <t>Indonesia</t>
  </si>
  <si>
    <t>Iran</t>
  </si>
  <si>
    <t>Italy</t>
  </si>
  <si>
    <t>Japan</t>
  </si>
  <si>
    <t>Kazakhstan</t>
  </si>
  <si>
    <t>Kuwait</t>
  </si>
  <si>
    <t>Malaysia</t>
  </si>
  <si>
    <t>Mexico</t>
  </si>
  <si>
    <t>Netherlands</t>
  </si>
  <si>
    <t>New Zealand</t>
  </si>
  <si>
    <t>Nigeria</t>
  </si>
  <si>
    <t>Africa</t>
  </si>
  <si>
    <t>Norway</t>
  </si>
  <si>
    <t>Poland</t>
  </si>
  <si>
    <t>Portugal</t>
  </si>
  <si>
    <t>Romania</t>
  </si>
  <si>
    <t>Russia</t>
  </si>
  <si>
    <t>Saudi Arabia</t>
  </si>
  <si>
    <t>South Africa</t>
  </si>
  <si>
    <t>South Korea</t>
  </si>
  <si>
    <t>Spain</t>
  </si>
  <si>
    <t>Sweden</t>
  </si>
  <si>
    <t>Taiwan</t>
  </si>
  <si>
    <t>Thailand</t>
  </si>
  <si>
    <t>Turkey</t>
  </si>
  <si>
    <t>Ukraine</t>
  </si>
  <si>
    <t>United Arab Emirates</t>
  </si>
  <si>
    <t>United Kingdom</t>
  </si>
  <si>
    <t>United States</t>
  </si>
  <si>
    <t>Uzbekistan</t>
  </si>
  <si>
    <t>Venezuela</t>
  </si>
  <si>
    <t>TOTAL(3.1)</t>
  </si>
  <si>
    <t>AVERAGE(3.2)</t>
  </si>
  <si>
    <t>Row Labels</t>
  </si>
  <si>
    <t>Sum of CO2 emissions from fuel combustion (MtCO2)</t>
  </si>
  <si>
    <t>Sum of Year</t>
  </si>
  <si>
    <t>Grand Total</t>
  </si>
  <si>
    <t>Code</t>
  </si>
  <si>
    <t>Country</t>
  </si>
  <si>
    <t>latitude</t>
  </si>
  <si>
    <t>longitude</t>
  </si>
  <si>
    <t>Lookups</t>
  </si>
  <si>
    <t>AD</t>
  </si>
  <si>
    <t>Andorra</t>
  </si>
  <si>
    <t>AE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</si>
  <si>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</si>
  <si>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</si>
  <si>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</si>
  <si>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</si>
  <si>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</si>
  <si>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</si>
  <si>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</si>
  <si>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</si>
  <si>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</si>
  <si>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</si>
  <si>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</si>
  <si>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</si>
  <si>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</si>
  <si>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</si>
  <si>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</si>
  <si>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</si>
  <si>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</si>
  <si>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AS</t>
  </si>
  <si>
    <t>American Samoa</t>
  </si>
  <si>
    <t>AT</t>
  </si>
  <si>
    <t>Austria</t>
  </si>
  <si>
    <t>AU</t>
  </si>
  <si>
    <t>AW</t>
  </si>
  <si>
    <t>Aruba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</si>
  <si>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</si>
  <si>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</si>
  <si>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</si>
  <si>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</si>
  <si>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</si>
  <si>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</si>
  <si>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</si>
  <si>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</si>
  <si>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</si>
  <si>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</si>
  <si>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</si>
  <si>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</si>
  <si>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</si>
  <si>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</si>
  <si>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</si>
  <si>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</si>
  <si>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</si>
  <si>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</si>
  <si>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</si>
  <si>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</si>
  <si>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</si>
  <si>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</si>
  <si>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</t>
  </si>
  <si>
    <t>BO</t>
  </si>
  <si>
    <t>Bolivia</t>
  </si>
  <si>
    <t>BR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</si>
  <si>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</si>
  <si>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</si>
  <si>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</si>
  <si>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</si>
  <si>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</si>
  <si>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</si>
  <si>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</si>
  <si>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</si>
  <si>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</si>
  <si>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</si>
  <si>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</si>
  <si>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</si>
  <si>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</si>
  <si>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CC</t>
  </si>
  <si>
    <t>Cocos [Keeling] Islands</t>
  </si>
  <si>
    <t>CD</t>
  </si>
  <si>
    <t>Congo [DRC]</t>
  </si>
  <si>
    <t>CF</t>
  </si>
  <si>
    <t>Central African Republic</t>
  </si>
  <si>
    <t>CG</t>
  </si>
  <si>
    <t>Congo [Republic]</t>
  </si>
  <si>
    <t>CH</t>
  </si>
  <si>
    <t>Switzerland</t>
  </si>
  <si>
    <t>CI</t>
  </si>
  <si>
    <t>Côte d'Ivoire</t>
  </si>
  <si>
    <t>CK</t>
  </si>
  <si>
    <t>Cook Islands</t>
  </si>
  <si>
    <t>CL</t>
  </si>
  <si>
    <t>CM</t>
  </si>
  <si>
    <t>Cameroon</t>
  </si>
  <si>
    <t>CN</t>
  </si>
  <si>
    <t>CO</t>
  </si>
  <si>
    <t>CR</t>
  </si>
  <si>
    <t>Costa Rica</t>
  </si>
  <si>
    <t>CU</t>
  </si>
  <si>
    <t>Cuba</t>
  </si>
  <si>
    <t>CV</t>
  </si>
  <si>
    <t>Cape Verde</t>
  </si>
  <si>
    <t>CX</t>
  </si>
  <si>
    <t>Christmas Island</t>
  </si>
  <si>
    <t>CY</t>
  </si>
  <si>
    <t>Cyprus</t>
  </si>
  <si>
    <t>CZ</t>
  </si>
  <si>
    <t>Czech Republic</t>
  </si>
  <si>
    <t>DE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</si>
  <si>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</si>
  <si>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</si>
  <si>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</si>
  <si>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</si>
  <si>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</si>
  <si>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</si>
  <si>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</si>
  <si>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</si>
  <si>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</si>
  <si>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EC</t>
  </si>
  <si>
    <t>Ecuador</t>
  </si>
  <si>
    <t>EE</t>
  </si>
  <si>
    <t>Estonia</t>
  </si>
  <si>
    <t>EG</t>
  </si>
  <si>
    <t>EH</t>
  </si>
  <si>
    <t>Western Sahara</t>
  </si>
  <si>
    <t>ER</t>
  </si>
  <si>
    <t>Eritrea</t>
  </si>
  <si>
    <t>ES</t>
  </si>
  <si>
    <t>ET</t>
  </si>
  <si>
    <t>Ethiopia</t>
  </si>
  <si>
    <t>FI</t>
  </si>
  <si>
    <t>Finland</t>
  </si>
  <si>
    <t>FJ</t>
  </si>
  <si>
    <t>Fiji</t>
  </si>
  <si>
    <t>FK</t>
  </si>
  <si>
    <t>Falkland Islands [Islas Malvinas]</t>
  </si>
  <si>
    <t>FM</t>
  </si>
  <si>
    <t>Micronesia</t>
  </si>
  <si>
    <t>FO</t>
  </si>
  <si>
    <t>Faroe Islands</t>
  </si>
  <si>
    <t>FR</t>
  </si>
  <si>
    <t>GA</t>
  </si>
  <si>
    <t>Gabon</t>
  </si>
  <si>
    <t>GB</t>
  </si>
  <si>
    <t>UK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</si>
  <si>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</si>
  <si>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</si>
  <si>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</si>
  <si>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</si>
  <si>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</si>
  <si>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</si>
  <si>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</si>
  <si>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</si>
  <si>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</si>
  <si>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</si>
  <si>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</si>
  <si>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</si>
  <si>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</si>
  <si>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</si>
  <si>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</si>
  <si>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</si>
  <si>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</si>
  <si>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</si>
  <si>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</si>
  <si>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</si>
  <si>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</si>
  <si>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</si>
  <si>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</si>
  <si>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</si>
  <si>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</si>
  <si>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</si>
  <si>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</si>
  <si>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</si>
  <si>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</si>
  <si>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</si>
  <si>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</si>
  <si>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</si>
  <si>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</si>
  <si>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</si>
  <si>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GZ</t>
  </si>
  <si>
    <t>Gaza Strip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</si>
  <si>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</si>
  <si>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</si>
  <si>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</si>
  <si>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</si>
  <si>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</si>
  <si>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</si>
  <si>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</si>
  <si>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</si>
  <si>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</si>
  <si>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</si>
  <si>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</si>
  <si>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</si>
  <si>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</si>
  <si>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IE</t>
  </si>
  <si>
    <t>Ireland</t>
  </si>
  <si>
    <t>IL</t>
  </si>
  <si>
    <t>Israel</t>
  </si>
  <si>
    <t>IM</t>
  </si>
  <si>
    <t>Isle of Man</t>
  </si>
  <si>
    <t>IN</t>
  </si>
  <si>
    <t>IO</t>
  </si>
  <si>
    <t>British Indian Ocean Territory</t>
  </si>
  <si>
    <t>IQ</t>
  </si>
  <si>
    <t>Iraq</t>
  </si>
  <si>
    <t>IR</t>
  </si>
  <si>
    <t>IS</t>
  </si>
  <si>
    <t>Iceland</t>
  </si>
  <si>
    <t>IT</t>
  </si>
  <si>
    <t>JE</t>
  </si>
  <si>
    <t>Jersey</t>
  </si>
  <si>
    <t>JM</t>
  </si>
  <si>
    <t>Jamaica</t>
  </si>
  <si>
    <t>JO</t>
  </si>
  <si>
    <t>Jordan</t>
  </si>
  <si>
    <t>JP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</si>
  <si>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</si>
  <si>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</si>
  <si>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</si>
  <si>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</si>
  <si>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</si>
  <si>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</si>
  <si>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</si>
  <si>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</si>
  <si>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</si>
  <si>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</si>
  <si>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</si>
  <si>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</si>
  <si>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</si>
  <si>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North Korea</t>
  </si>
  <si>
    <t>KR</t>
  </si>
  <si>
    <t>KW</t>
  </si>
  <si>
    <t>KY</t>
  </si>
  <si>
    <t>Cayman Islands</t>
  </si>
  <si>
    <t>KZ</t>
  </si>
  <si>
    <t>LA</t>
  </si>
  <si>
    <t>Laos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</si>
  <si>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</si>
  <si>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</si>
  <si>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</si>
  <si>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</si>
  <si>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</si>
  <si>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</si>
  <si>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</si>
  <si>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</si>
  <si>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</si>
  <si>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</si>
  <si>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</si>
  <si>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</si>
  <si>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</si>
  <si>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</si>
  <si>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</si>
  <si>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</si>
  <si>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</si>
  <si>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</si>
  <si>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</si>
  <si>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</si>
  <si>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</si>
  <si>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</si>
  <si>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</si>
  <si>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</si>
  <si>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</si>
  <si>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</si>
  <si>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</si>
  <si>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</si>
  <si>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MG</t>
  </si>
  <si>
    <t>Madagascar</t>
  </si>
  <si>
    <t>MH</t>
  </si>
  <si>
    <t>Marshall Islands</t>
  </si>
  <si>
    <t>MK</t>
  </si>
  <si>
    <t>Macedonia [FYROM]</t>
  </si>
  <si>
    <t>ML</t>
  </si>
  <si>
    <t>Mali</t>
  </si>
  <si>
    <t>MM</t>
  </si>
  <si>
    <t>Myanmar [Burma]</t>
  </si>
  <si>
    <t>MN</t>
  </si>
  <si>
    <t>Mongolia</t>
  </si>
  <si>
    <t>MO</t>
  </si>
  <si>
    <t>Macau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</si>
  <si>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</si>
  <si>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</si>
  <si>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</si>
  <si>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</si>
  <si>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</si>
  <si>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</si>
  <si>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</si>
  <si>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</si>
  <si>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</si>
  <si>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</si>
  <si>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</si>
  <si>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</si>
  <si>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</si>
  <si>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</si>
  <si>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</si>
  <si>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</si>
  <si>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</si>
  <si>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MY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</si>
  <si>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</si>
  <si>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</si>
  <si>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</si>
  <si>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</si>
  <si>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</si>
  <si>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</si>
  <si>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</si>
  <si>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</si>
  <si>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</si>
  <si>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</si>
  <si>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</si>
  <si>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</t>
  </si>
  <si>
    <t>Nicaragua</t>
  </si>
  <si>
    <t>NL</t>
  </si>
  <si>
    <t>NO</t>
  </si>
  <si>
    <t>NP</t>
  </si>
  <si>
    <t>Nepal</t>
  </si>
  <si>
    <t>NR</t>
  </si>
  <si>
    <t>Nauru</t>
  </si>
  <si>
    <t>NU</t>
  </si>
  <si>
    <t>Niue</t>
  </si>
  <si>
    <t>NZ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</si>
  <si>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</si>
  <si>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</si>
  <si>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</si>
  <si>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</si>
  <si>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</si>
  <si>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</si>
  <si>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</si>
  <si>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</si>
  <si>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</si>
  <si>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</si>
  <si>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</si>
  <si>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</si>
  <si>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</si>
  <si>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</si>
  <si>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</si>
  <si>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PM</t>
  </si>
  <si>
    <t>Saint Pierre and Miquelon</t>
  </si>
  <si>
    <t>PN</t>
  </si>
  <si>
    <t>Pitcairn Islands</t>
  </si>
  <si>
    <t>PR</t>
  </si>
  <si>
    <t>Puerto Rico</t>
  </si>
  <si>
    <t>PS</t>
  </si>
  <si>
    <t>Palestinian Territories</t>
  </si>
  <si>
    <t>PT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</si>
  <si>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</si>
  <si>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</si>
  <si>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</si>
  <si>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</si>
  <si>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</si>
  <si>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</si>
  <si>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</si>
  <si>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</si>
  <si>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</si>
  <si>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RS</t>
  </si>
  <si>
    <t>Serbia</t>
  </si>
  <si>
    <t>RU</t>
  </si>
  <si>
    <t>RW</t>
  </si>
  <si>
    <t>Rwanda</t>
  </si>
  <si>
    <t>SA</t>
  </si>
  <si>
    <t>SB</t>
  </si>
  <si>
    <t>Solomon Islands</t>
  </si>
  <si>
    <t>SC</t>
  </si>
  <si>
    <t>Seychelles</t>
  </si>
  <si>
    <t>SD</t>
  </si>
  <si>
    <t>Sudan</t>
  </si>
  <si>
    <t>SE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</si>
  <si>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</si>
  <si>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</si>
  <si>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</si>
  <si>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</si>
  <si>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</si>
  <si>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</si>
  <si>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</si>
  <si>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</si>
  <si>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</si>
  <si>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</si>
  <si>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</si>
  <si>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</si>
  <si>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</si>
  <si>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</si>
  <si>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</si>
  <si>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</si>
  <si>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</si>
  <si>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</si>
  <si>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</si>
  <si>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</si>
  <si>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ST</t>
  </si>
  <si>
    <t>São Tomé and Príncipe</t>
  </si>
  <si>
    <t>SV</t>
  </si>
  <si>
    <t>El Salvador</t>
  </si>
  <si>
    <t>SY</t>
  </si>
  <si>
    <t>Syria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</si>
  <si>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</si>
  <si>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</si>
  <si>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</si>
  <si>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</si>
  <si>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</si>
  <si>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</si>
  <si>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</si>
  <si>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</si>
  <si>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</si>
  <si>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</si>
  <si>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</si>
  <si>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</si>
  <si>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</si>
  <si>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</si>
  <si>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</si>
  <si>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</si>
  <si>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</si>
  <si>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</si>
  <si>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</si>
  <si>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</si>
  <si>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</si>
  <si>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</si>
  <si>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</si>
  <si>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</si>
  <si>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TT</t>
  </si>
  <si>
    <t>Trinidad and Tobago</t>
  </si>
  <si>
    <t>TV</t>
  </si>
  <si>
    <t>Tuvalu</t>
  </si>
  <si>
    <t>TW</t>
  </si>
  <si>
    <t>TZ</t>
  </si>
  <si>
    <t>Tanzania</t>
  </si>
  <si>
    <t>UA</t>
  </si>
  <si>
    <t>UG</t>
  </si>
  <si>
    <t>Uganda</t>
  </si>
  <si>
    <t>US</t>
  </si>
  <si>
    <t>UY</t>
  </si>
  <si>
    <t>Uruguay</t>
  </si>
  <si>
    <t>UZ</t>
  </si>
  <si>
    <t>VA</t>
  </si>
  <si>
    <t>Vatican City</t>
  </si>
  <si>
    <t>VC</t>
  </si>
  <si>
    <t>Saint Vincent and the Grenadines</t>
  </si>
  <si>
    <t>VE</t>
  </si>
  <si>
    <t>VG</t>
  </si>
  <si>
    <t>British Virgin Islands</t>
  </si>
  <si>
    <t>VI</t>
  </si>
  <si>
    <t>U.S. Virgin Islands</t>
  </si>
  <si>
    <t>VN</t>
  </si>
  <si>
    <t>Vietnam</t>
  </si>
  <si>
    <t>VU</t>
  </si>
  <si>
    <t>Vanuatu</t>
  </si>
  <si>
    <t>WF</t>
  </si>
  <si>
    <t>Wallis and Futuna</t>
  </si>
  <si>
    <t>WS</t>
  </si>
  <si>
    <t>Samoa</t>
  </si>
  <si>
    <t>XK</t>
  </si>
  <si>
    <t>Kosovo</t>
  </si>
  <si>
    <t>YE</t>
  </si>
  <si>
    <t>Yemen</t>
  </si>
  <si>
    <t>YT</t>
  </si>
  <si>
    <t>Mayotte</t>
  </si>
  <si>
    <t>ZA</t>
  </si>
  <si>
    <t>ZM</t>
  </si>
  <si>
    <t>Zambia</t>
  </si>
  <si>
    <t>ZW</t>
  </si>
  <si>
    <t>Zimbabwe</t>
  </si>
  <si>
    <t>Sum of Total energy production (Mtoe)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</si>
</sst>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[ST10392558 MKATEKO SHONDLANE BDMO5212 A1.xlsx]QUESTION 5!PivotTable2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91426071741032"/>
          <c:y val="0.2572178477690289"/>
          <c:w val="0.49751027996500435"/>
          <c:h val="0.434819918343540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5'!$B$1</c:f>
              <c:strCache>
                <c:ptCount val="1"/>
                <c:pt idx="0">
                  <c:v>Sum of CO2 emissions from fuel combustion (MtCO2)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'QUESTION 5'!$A$2:$A$9</c:f>
              <c:strCache>
                <c:ptCount val="7"/>
                <c:pt idx="0">
                  <c:v>Africa</c:v>
                </c:pt>
                <c:pt idx="1">
                  <c:v>Arab States</c:v>
                </c:pt>
                <c:pt idx="2">
                  <c:v>Asia &amp; Pacific</c:v>
                </c:pt>
                <c:pt idx="3">
                  <c:v>Europe</c:v>
                </c:pt>
                <c:pt idx="4">
                  <c:v>Middle east</c:v>
                </c:pt>
                <c:pt idx="5">
                  <c:v>North America</c:v>
                </c:pt>
                <c:pt idx="6">
                  <c:v>South/Latin America</c:v>
                </c:pt>
              </c:strCache>
            </c:strRef>
          </c:cat>
          <c:val>
            <c:numRef>
              <c:f>'QUESTION 5'!$B$2:$B$9</c:f>
              <c:numCache>
                <c:formatCode>General</c:formatCode>
                <c:ptCount val="7"/>
                <c:pt idx="0">
                  <c:v>12934.147801000006</c:v>
                </c:pt>
                <c:pt idx="1">
                  <c:v>2763.7765884299997</c:v>
                </c:pt>
                <c:pt idx="2">
                  <c:v>316952.74385205994</c:v>
                </c:pt>
                <c:pt idx="3">
                  <c:v>169400.86298962028</c:v>
                </c:pt>
                <c:pt idx="4">
                  <c:v>33825.902658920983</c:v>
                </c:pt>
                <c:pt idx="5">
                  <c:v>180453.39467060001</c:v>
                </c:pt>
                <c:pt idx="6">
                  <c:v>34380.914781190011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A-4B78-A02B-4DC58EC445C0}"/>
            </c:ext>
          </c:extLst>
        </c:ser>
        <c:ser>
          <c:idx val="1"/>
          <c:order val="1"/>
          <c:tx>
            <c:strRef>
              <c:f>'QUESTION 5'!$C$1</c:f>
              <c:strCache>
                <c:ptCount val="1"/>
                <c:pt idx="0">
                  <c:v>Sum of Year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'QUESTION 5'!$A$2:$A$9</c:f>
              <c:strCache>
                <c:ptCount val="7"/>
                <c:pt idx="0">
                  <c:v>Africa</c:v>
                </c:pt>
                <c:pt idx="1">
                  <c:v>Arab States</c:v>
                </c:pt>
                <c:pt idx="2">
                  <c:v>Asia &amp; Pacific</c:v>
                </c:pt>
                <c:pt idx="3">
                  <c:v>Europe</c:v>
                </c:pt>
                <c:pt idx="4">
                  <c:v>Middle east</c:v>
                </c:pt>
                <c:pt idx="5">
                  <c:v>North America</c:v>
                </c:pt>
                <c:pt idx="6">
                  <c:v>South/Latin America</c:v>
                </c:pt>
              </c:strCache>
            </c:strRef>
          </c:cat>
          <c:val>
            <c:numRef>
              <c:f>'QUESTION 5'!$C$2:$C$9</c:f>
              <c:numCache>
                <c:formatCode>General</c:formatCode>
                <c:ptCount val="7"/>
                <c:pt idx="0">
                  <c:v>124310</c:v>
                </c:pt>
                <c:pt idx="1">
                  <c:v>62155</c:v>
                </c:pt>
                <c:pt idx="2">
                  <c:v>745860</c:v>
                </c:pt>
                <c:pt idx="3">
                  <c:v>994480</c:v>
                </c:pt>
                <c:pt idx="4">
                  <c:v>310775</c:v>
                </c:pt>
                <c:pt idx="5">
                  <c:v>124310</c:v>
                </c:pt>
                <c:pt idx="6">
                  <c:v>372930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A-4B78-A02B-4DC58EC44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0308943"/>
        <c:axId val="870299823"/>
      </c:barChart>
      <c:catAx>
        <c:axId val="87030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9823"/>
        <c:crosses val="autoZero"/>
        <c:auto val="1"/>
        <c:lblAlgn val="ctr"/>
        <c:lblOffset val="100"/>
        <c:noMultiLvlLbl val="0"/>
      </c:catAx>
      <c:valAx>
        <c:axId val="8702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30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[ST10392558 MKATEKO SHONDLANE BDMO5212 A1.xlsx]QUESTION 8!PivotTable1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energy production (Mtoe)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'QUESTION 8'!$B$1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'QUESTION 8'!$A$2:$A$9</c:f>
              <c:strCache>
                <c:ptCount val="7"/>
                <c:pt idx="0">
                  <c:v>Africa</c:v>
                </c:pt>
                <c:pt idx="1">
                  <c:v>Arab States</c:v>
                </c:pt>
                <c:pt idx="2">
                  <c:v>Asia &amp; Pacific</c:v>
                </c:pt>
                <c:pt idx="3">
                  <c:v>Europe</c:v>
                </c:pt>
                <c:pt idx="4">
                  <c:v>Middle east</c:v>
                </c:pt>
                <c:pt idx="5">
                  <c:v>North America</c:v>
                </c:pt>
                <c:pt idx="6">
                  <c:v>South/Latin America</c:v>
                </c:pt>
              </c:strCache>
            </c:strRef>
          </c:cat>
          <c:val>
            <c:numRef>
              <c:f>'QUESTION 8'!$B$2:$B$9</c:f>
              <c:numCache>
                <c:formatCode>General</c:formatCode>
                <c:ptCount val="7"/>
                <c:pt idx="0">
                  <c:v>11232.908170300001</c:v>
                </c:pt>
                <c:pt idx="1">
                  <c:v>4305.5400150999985</c:v>
                </c:pt>
                <c:pt idx="2">
                  <c:v>98672.242658972944</c:v>
                </c:pt>
                <c:pt idx="3">
                  <c:v>70568.858982631005</c:v>
                </c:pt>
                <c:pt idx="4">
                  <c:v>37309.038934379991</c:v>
                </c:pt>
                <c:pt idx="5">
                  <c:v>67488.007404799995</c:v>
                </c:pt>
                <c:pt idx="6">
                  <c:v>23907.312216327005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1-4E27-8186-995BB4C80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651007"/>
        <c:axId val="725669247"/>
      </c:lineChart>
      <c:catAx>
        <c:axId val="72565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69247"/>
        <c:crosses val="autoZero"/>
        <c:auto val="1"/>
        <c:lblAlgn val="ctr"/>
        <c:lblOffset val="100"/>
        <c:noMultiLvlLbl val="0"/>
      </c:catAx>
      <c:valAx>
        <c:axId val="7256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5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10</xdr:row>
      <xdr:rowOff>161925</xdr:rowOff>
    </xdr:from>
    <xdr:to>
      <xdr:col>2</xdr:col>
      <xdr:colOff>361950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62695-B6ED-D723-411D-7744DEB0D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15A94-4DA3-E576-E8CA-2472A3A9E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kateko Shondlane" refreshedDate="45511.829421643517" createdVersion="8" refreshedVersion="8" minRefreshableVersion="3" recordCount="1364" xr:uid="{43E00B84-7474-4158-9F07-A1EA8E6993F3}">
  <cacheSource type="worksheet">
    <worksheetSource name="Energy_data_1990___2020"/>
  </cacheSource>
  <cacheFields count="23">
    <cacheField name="country" numFmtId="0">
      <sharedItems/>
    </cacheField>
    <cacheField name="Year" numFmtId="0">
      <sharedItems containsSemiMixedTypes="0" containsString="0" containsNumber="1" containsInteger="1" minValue="1990" maxValue="2020" count="31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Region" numFmtId="0">
      <sharedItems count="7">
        <s v="Arab States"/>
        <s v="South/Latin America"/>
        <s v="Asia &amp; Pacific"/>
        <s v="Europe"/>
        <s v="North America"/>
        <s v="Middle east"/>
        <s v="Africa"/>
      </sharedItems>
    </cacheField>
    <cacheField name="CO2 emissions from fuel combustion (MtCO2)" numFmtId="0">
      <sharedItems containsSemiMixedTypes="0" containsString="0" containsNumber="1" minValue="7.5977588210000002" maxValue="9716.7724780000008"/>
    </cacheField>
    <cacheField name="Average CO2 emission factor (tCO2/toe)" numFmtId="0">
      <sharedItems containsSemiMixedTypes="0" containsString="0" containsNumber="1" minValue="0.41233142299999997" maxValue="3.516984039"/>
    </cacheField>
    <cacheField name="CO2 intensity at constant purchasing power parities (kCO2/$15p)" numFmtId="0">
      <sharedItems containsSemiMixedTypes="0" containsString="0" containsNumber="1" minValue="6.3649824999999993E-2" maxValue="1.8208942539999999"/>
    </cacheField>
    <cacheField name="Total energy production (Mtoe)" numFmtId="0">
      <sharedItems containsSemiMixedTypes="0" containsString="0" containsNumber="1" minValue="2.9397123199999999" maxValue="2749.0465800000002"/>
    </cacheField>
    <cacheField name="Total energy consumption (Mtoe)" numFmtId="0">
      <sharedItems containsSemiMixedTypes="0" containsString="0" containsNumber="1" minValue="2.622632936" maxValue="3381.3992619999999"/>
    </cacheField>
    <cacheField name="Share of renewables in electricity production (%)" numFmtId="0">
      <sharedItems containsSemiMixedTypes="0" containsString="0" containsNumber="1" minValue="0" maxValue="99.817876990000002"/>
    </cacheField>
    <cacheField name="Share of electricity in total final energy consumption (%)" numFmtId="0">
      <sharedItems containsSemiMixedTypes="0" containsString="0" containsNumber="1" minValue="0.93714379599999997" maxValue="50.011500179999999"/>
    </cacheField>
    <cacheField name="Oil products domestic consumption (Mt)" numFmtId="0">
      <sharedItems containsSemiMixedTypes="0" containsString="0" containsNumber="1" minValue="1.9490000000000001" maxValue="888.49099999999999"/>
    </cacheField>
    <cacheField name="Refined oil products production (Mt)" numFmtId="0">
      <sharedItems containsSemiMixedTypes="0" containsString="0" containsNumber="1" minValue="1.3356666999999999E-2" maxValue="908.39759600000002"/>
    </cacheField>
    <cacheField name="Natural gas production (bcm)" numFmtId="0">
      <sharedItems containsString="0" containsBlank="1" containsNumber="1" minValue="0" maxValue="959.84984850000001"/>
    </cacheField>
    <cacheField name="Natural gas domestic consumption (bcm)" numFmtId="0">
      <sharedItems containsSemiMixedTypes="0" containsString="0" containsNumber="1" minValue="0" maxValue="882.63708340000005"/>
    </cacheField>
    <cacheField name="Energy intensity of GDP at constant purchasing power parities (koe/$15p)" numFmtId="0">
      <sharedItems containsSemiMixedTypes="0" containsString="0" containsNumber="1" minValue="5.1662114000000002E-2" maxValue="0.77506136299999995"/>
    </cacheField>
    <cacheField name="Electricity production (TWh)" numFmtId="0">
      <sharedItems containsSemiMixedTypes="0" containsString="0" containsNumber="1" minValue="10.78" maxValue="7797.5614150000001"/>
    </cacheField>
    <cacheField name="Electricity domestic consumption (TWh)" numFmtId="0">
      <sharedItems containsSemiMixedTypes="0" containsString="0" containsNumber="1" minValue="7.8710000000000004" maxValue="6752.1477999999997"/>
    </cacheField>
    <cacheField name="Coal and lignite domestic consumption (Mt)" numFmtId="0">
      <sharedItems containsString="0" containsBlank="1" containsNumber="1" minValue="0" maxValue="3970.1754820000001"/>
    </cacheField>
    <cacheField name="Share of wind and solar in electricity production (%)" numFmtId="0">
      <sharedItems containsString="0" containsBlank="1" containsNumber="1" minValue="0" maxValue="32.093219359999999"/>
    </cacheField>
    <cacheField name="Crude oil production (Mt)" numFmtId="0">
      <sharedItems containsSemiMixedTypes="0" containsString="0" containsNumber="1" minValue="0" maxValue="748.19244289999995"/>
    </cacheField>
    <cacheField name="Coal and lignite production (Mt)" numFmtId="0">
      <sharedItems containsString="0" containsBlank="1" containsNumber="1" minValue="0" maxValue="3748.53"/>
    </cacheField>
    <cacheField name="AVERAGE(4.1)" numFmtId="0">
      <sharedItems/>
    </cacheField>
    <cacheField name="SURPLUS(4.2)" numFmtId="0">
      <sharedItems containsSemiMixedTypes="0" containsString="0" containsNumber="1" minValue="-449.77753699999994" maxValue="461.5887028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4">
  <r>
    <s v="Algeria"/>
    <x v="0"/>
    <x v="0"/>
    <n v="52.981921100000001"/>
    <n v="2.3878553419999999"/>
    <n v="0.22888934"/>
    <n v="100.1127486"/>
    <n v="22.188078220000001"/>
    <n v="0.78297181299999996"/>
    <n v="8.3765920509999994"/>
    <n v="8.08"/>
    <n v="25.395"/>
    <n v="45.684035469999998"/>
    <n v="14.301991129999999"/>
    <n v="9.5855614000000006E-2"/>
    <n v="17.242000000000001"/>
    <n v="13.693"/>
    <n v="0.94"/>
    <n v="0"/>
    <n v="57.85"/>
    <n v="0"/>
    <s v=""/>
    <n v="-0.94"/>
  </r>
  <r>
    <s v="Algeria"/>
    <x v="1"/>
    <x v="0"/>
    <n v="57.14997082"/>
    <n v="2.4350264500000001"/>
    <n v="0.249894638"/>
    <n v="102.5861714"/>
    <n v="23.469958949999999"/>
    <n v="1.5807930939999999"/>
    <n v="7.9947484109999998"/>
    <n v="8.4499999999999993"/>
    <n v="25.434999999999999"/>
    <n v="49.531988890000001"/>
    <n v="15.312995239999999"/>
    <n v="0.10262502"/>
    <n v="18.535"/>
    <n v="14.058"/>
    <n v="1.171"/>
    <n v="0"/>
    <n v="57.076000000000001"/>
    <n v="0"/>
    <s v=""/>
    <n v="-1.171"/>
  </r>
  <r>
    <s v="Algeria"/>
    <x v="2"/>
    <x v="0"/>
    <n v="57.262430000000002"/>
    <n v="2.3835169920000001"/>
    <n v="0.24595910800000001"/>
    <n v="104.20590799999999"/>
    <n v="24.024343099999999"/>
    <n v="1.022925876"/>
    <n v="8.4900684440000003"/>
    <n v="8.3490000000000002"/>
    <n v="25.459"/>
    <n v="51.670011369999997"/>
    <n v="15.72700964"/>
    <n v="0.103191674"/>
    <n v="19.454000000000001"/>
    <n v="15.13"/>
    <n v="1.056"/>
    <n v="0"/>
    <n v="56.904000000000003"/>
    <n v="0"/>
    <s v=""/>
    <n v="-1.056"/>
  </r>
  <r>
    <s v="Algeria"/>
    <x v="3"/>
    <x v="0"/>
    <n v="59.198702179999998"/>
    <n v="2.455334616"/>
    <n v="0.25973031000000002"/>
    <n v="104.9287453"/>
    <n v="24.110238089999999"/>
    <n v="1.70919479"/>
    <n v="8.2910290470000003"/>
    <n v="8.39"/>
    <n v="25.463000000000001"/>
    <n v="52.385990540000002"/>
    <n v="16.596983689999998"/>
    <n v="0.10578204200000001"/>
    <n v="20.652999999999999"/>
    <n v="15.144"/>
    <n v="1.0149999999999999"/>
    <n v="0"/>
    <n v="56.994999999999997"/>
    <n v="0"/>
    <s v=""/>
    <n v="-1.0149999999999999"/>
  </r>
  <r>
    <s v="Algeria"/>
    <x v="4"/>
    <x v="0"/>
    <n v="56.347927470000002"/>
    <n v="2.4246485720000002"/>
    <n v="0.249467931"/>
    <n v="100.6125961"/>
    <n v="23.239626609999998"/>
    <n v="0.783869292"/>
    <n v="9.1706054590000008"/>
    <n v="7.5620000000000003"/>
    <n v="23.971"/>
    <n v="48.206019949999998"/>
    <n v="16.117004470000001"/>
    <n v="0.102888284"/>
    <n v="21.177"/>
    <n v="15.545"/>
    <n v="0.94299999999999995"/>
    <n v="0"/>
    <n v="56.311999999999998"/>
    <n v="0"/>
    <s v=""/>
    <n v="-0.94299999999999995"/>
  </r>
  <r>
    <s v="Algeria"/>
    <x v="5"/>
    <x v="0"/>
    <n v="56.828812370000001"/>
    <n v="2.343683972"/>
    <n v="0.24238627600000001"/>
    <n v="106.72166989999999"/>
    <n v="24.247643050000001"/>
    <n v="0.92150496599999998"/>
    <n v="9.5431575380000009"/>
    <n v="7.4459999999999997"/>
    <n v="24.632000000000001"/>
    <n v="54.85105523"/>
    <n v="16.786992479999999"/>
    <n v="0.103421058"/>
    <n v="20.943999999999999"/>
    <n v="16.102"/>
    <n v="0.90100000000000002"/>
    <n v="0"/>
    <n v="56.753"/>
    <n v="0"/>
    <s v=""/>
    <n v="-0.90100000000000002"/>
  </r>
  <r>
    <s v="Algeria"/>
    <x v="6"/>
    <x v="0"/>
    <n v="56.16572068"/>
    <n v="2.392259616"/>
    <n v="0.23012301700000001"/>
    <n v="112.65929819999999"/>
    <n v="23.478104259999999"/>
    <n v="0.61624138399999995"/>
    <n v="10.084258119999999"/>
    <n v="7.2240000000000002"/>
    <n v="24.007000000000001"/>
    <n v="58.187033990000003"/>
    <n v="16.72101687"/>
    <n v="9.6194834000000007E-2"/>
    <n v="21.907"/>
    <n v="16.696999999999999"/>
    <n v="0.65900000000000003"/>
    <n v="0"/>
    <n v="59.683999999999997"/>
    <n v="0"/>
    <s v=""/>
    <n v="-0.65900000000000003"/>
  </r>
  <r>
    <s v="Algeria"/>
    <x v="7"/>
    <x v="0"/>
    <n v="58.07467449"/>
    <n v="2.4138632179999999"/>
    <n v="0.2353555"/>
    <n v="121.6419902"/>
    <n v="24.058809159999999"/>
    <n v="0.32701111799999999"/>
    <n v="10.226816790000001"/>
    <n v="7.2389999999999999"/>
    <n v="26.373999999999999"/>
    <n v="67.076077339999998"/>
    <n v="17.835994800000002"/>
    <n v="9.7501589E-2"/>
    <n v="22.934999999999999"/>
    <n v="17.123000000000001"/>
    <n v="0.54100000000000004"/>
    <n v="0"/>
    <n v="60.9"/>
    <n v="0"/>
    <s v=""/>
    <n v="-0.54100000000000004"/>
  </r>
  <r>
    <s v="Algeria"/>
    <x v="8"/>
    <x v="0"/>
    <n v="59.494429369999999"/>
    <n v="2.3894406020000001"/>
    <n v="0.229409364"/>
    <n v="127.0935171"/>
    <n v="24.898894460000001"/>
    <n v="0.85114805999999998"/>
    <n v="10.561598249999999"/>
    <n v="7.3049999999999997"/>
    <n v="26.106999999999999"/>
    <n v="71.71104545"/>
    <n v="18.350022750000001"/>
    <n v="9.6009653E-2"/>
    <n v="25.26"/>
    <n v="18.673999999999999"/>
    <n v="0.83699999999999997"/>
    <n v="0"/>
    <n v="62.228000000000002"/>
    <n v="0"/>
    <s v=""/>
    <n v="-0.83699999999999997"/>
  </r>
  <r>
    <s v="Algeria"/>
    <x v="9"/>
    <x v="0"/>
    <n v="63.247064659999999"/>
    <n v="2.3795649249999999"/>
    <n v="0.23631729500000001"/>
    <n v="136.98255270000001"/>
    <n v="26.57925573"/>
    <n v="0.75816993499999996"/>
    <n v="10.379344440000001"/>
    <n v="7.8680000000000003"/>
    <n v="28.431000000000001"/>
    <n v="80.548086810000001"/>
    <n v="19.539015249999999"/>
    <n v="9.9311135999999994E-2"/>
    <n v="26.774999999999999"/>
    <n v="19.991"/>
    <n v="0.84899999999999998"/>
    <n v="0"/>
    <n v="64.412000000000006"/>
    <n v="0"/>
    <s v=""/>
    <n v="-0.84899999999999998"/>
  </r>
  <r>
    <s v="Algeria"/>
    <x v="10"/>
    <x v="0"/>
    <n v="64.229802019999994"/>
    <n v="2.378976609"/>
    <n v="0.23120347799999999"/>
    <n v="142.22825570000001"/>
    <n v="26.998921209999999"/>
    <n v="0.19575146800000001"/>
    <n v="10.651918650000001"/>
    <n v="8.2579999999999991"/>
    <n v="29.27"/>
    <n v="82.131945569999999"/>
    <n v="19.592005919999998"/>
    <n v="9.7186107999999993E-2"/>
    <n v="27.585999999999999"/>
    <n v="21.210999999999999"/>
    <n v="0.77300000000000002"/>
    <n v="0"/>
    <n v="68.001999999999995"/>
    <n v="0"/>
    <s v=""/>
    <n v="-0.77300000000000002"/>
  </r>
  <r>
    <s v="Algeria"/>
    <x v="11"/>
    <x v="0"/>
    <n v="65.741656640000002"/>
    <n v="2.4300361580000001"/>
    <n v="0.22975300400000001"/>
    <n v="136.7830084"/>
    <n v="27.05377713"/>
    <n v="0.23955837899999999"/>
    <n v="11.093435729999999"/>
    <n v="8.3940000000000001"/>
    <n v="30.271999999999998"/>
    <n v="77.266941660000001"/>
    <n v="20.14401982"/>
    <n v="9.4547153999999994E-2"/>
    <n v="28.803000000000001"/>
    <n v="22.302"/>
    <n v="0.79400000000000004"/>
    <n v="0"/>
    <n v="66.739000000000004"/>
    <n v="0"/>
    <s v=""/>
    <n v="-0.79400000000000004"/>
  </r>
  <r>
    <s v="Algeria"/>
    <x v="12"/>
    <x v="0"/>
    <n v="71.67679253"/>
    <n v="2.4768770010000001"/>
    <n v="0.23721120500000001"/>
    <n v="143.14386089999999"/>
    <n v="28.938373800000001"/>
    <n v="0.19171908100000001"/>
    <n v="10.69533146"/>
    <n v="9.2550000000000008"/>
    <n v="29.832000000000001"/>
    <n v="79.515028360000002"/>
    <n v="20.88500608"/>
    <n v="9.5770279999999999E-2"/>
    <n v="29.731000000000002"/>
    <n v="23.28"/>
    <n v="1.181"/>
    <n v="0"/>
    <n v="71.028999999999996"/>
    <n v="0"/>
    <s v=""/>
    <n v="-1.181"/>
  </r>
  <r>
    <s v="Algeria"/>
    <x v="13"/>
    <x v="0"/>
    <n v="74.895377670000002"/>
    <n v="2.4352627569999998"/>
    <n v="0.23121545800000001"/>
    <n v="155.3180083"/>
    <n v="30.75453663"/>
    <n v="0.83370037100000005"/>
    <n v="11.18290633"/>
    <n v="9.5500000000000007"/>
    <n v="30.198"/>
    <n v="84.000980670000004"/>
    <n v="22.96699658"/>
    <n v="9.4944767999999999E-2"/>
    <n v="31.786000000000001"/>
    <n v="25.373000000000001"/>
    <n v="1.0940000000000001"/>
    <n v="0"/>
    <n v="79.176000000000002"/>
    <n v="0"/>
    <s v=""/>
    <n v="-1.0940000000000001"/>
  </r>
  <r>
    <s v="Algeria"/>
    <x v="14"/>
    <x v="0"/>
    <n v="75.982041699999996"/>
    <n v="2.4402871830000001"/>
    <n v="0.224899506"/>
    <n v="157.89298869999999"/>
    <n v="31.136516319999998"/>
    <n v="0.74976849800000001"/>
    <n v="10.888296609999999"/>
    <n v="10.16"/>
    <n v="27.154"/>
    <n v="82.808997849999997"/>
    <n v="22.559983419999998"/>
    <n v="9.2161082000000005E-2"/>
    <n v="33.476999999999997"/>
    <n v="26.288"/>
    <n v="1.3029999999999999"/>
    <n v="0"/>
    <n v="82.721000000000004"/>
    <n v="0"/>
    <s v=""/>
    <n v="-1.3029999999999999"/>
  </r>
  <r>
    <s v="Algeria"/>
    <x v="15"/>
    <x v="0"/>
    <n v="80.336164620000005"/>
    <n v="2.4776637529999999"/>
    <n v="0.224539461"/>
    <n v="166.66855989999999"/>
    <n v="32.424159459999998"/>
    <n v="1.5281678510000001"/>
    <n v="11.601793750000001"/>
    <n v="10.224"/>
    <n v="26.751999999999999"/>
    <n v="88.902057130000003"/>
    <n v="24.148993440000002"/>
    <n v="9.0625477999999995E-2"/>
    <n v="36.317999999999998"/>
    <n v="29.524000000000001"/>
    <n v="1.147"/>
    <n v="0"/>
    <n v="86.13"/>
    <n v="0"/>
    <s v=""/>
    <n v="-1.147"/>
  </r>
  <r>
    <s v="Algeria"/>
    <x v="16"/>
    <x v="0"/>
    <n v="83.440759240000006"/>
    <n v="2.4032233660000002"/>
    <n v="0.22931838600000001"/>
    <n v="164.9431294"/>
    <n v="34.720351180000002"/>
    <n v="0.57720821899999997"/>
    <n v="11.32287011"/>
    <n v="10.504"/>
    <n v="26.870999999999999"/>
    <n v="87.444010000000006"/>
    <n v="25.327013040000001"/>
    <n v="9.542117E-2"/>
    <n v="37.768000000000001"/>
    <n v="29.466999999999999"/>
    <n v="1.0649999999999999"/>
    <n v="0"/>
    <n v="85.775999999999996"/>
    <n v="0"/>
    <s v=""/>
    <n v="-1.0649999999999999"/>
  </r>
  <r>
    <s v="Algeria"/>
    <x v="17"/>
    <x v="0"/>
    <n v="87.443787689999994"/>
    <n v="2.3733582879999999"/>
    <n v="0.23241762099999999"/>
    <n v="164.29841680000001"/>
    <n v="36.843905169999999"/>
    <n v="0.56580627400000005"/>
    <n v="10.810355510000001"/>
    <n v="11.656000000000001"/>
    <n v="28.326000000000001"/>
    <n v="86.540983190000006"/>
    <n v="26.279024509999999"/>
    <n v="9.7927742999999998E-2"/>
    <n v="39.942999999999998"/>
    <n v="31.286000000000001"/>
    <n v="1.196"/>
    <n v="0"/>
    <n v="85.896000000000001"/>
    <n v="0"/>
    <s v=""/>
    <n v="-1.196"/>
  </r>
  <r>
    <s v="Algeria"/>
    <x v="18"/>
    <x v="0"/>
    <n v="91.999053559999993"/>
    <n v="2.467859931"/>
    <n v="0.23879404600000001"/>
    <n v="162.0471872"/>
    <n v="37.27887973"/>
    <n v="0.664381632"/>
    <n v="11.027939249999999"/>
    <n v="12.968999999999999"/>
    <n v="30.939"/>
    <n v="86.760916159999994"/>
    <n v="26.3339888"/>
    <n v="9.6761587999999996E-2"/>
    <n v="42.595999999999997"/>
    <n v="32.901000000000003"/>
    <n v="1.1950000000000001"/>
    <n v="0"/>
    <n v="83.545000000000002"/>
    <n v="0"/>
    <s v=""/>
    <n v="-1.1950000000000001"/>
  </r>
  <r>
    <s v="Algeria"/>
    <x v="19"/>
    <x v="0"/>
    <n v="97.159170430000003"/>
    <n v="2.3831237409999999"/>
    <n v="0.248216258"/>
    <n v="153.05576600000001"/>
    <n v="40.769670810000001"/>
    <n v="0.75306393699999996"/>
    <n v="9.5699907910000004"/>
    <n v="14.004"/>
    <n v="30.873000000000001"/>
    <n v="83.370975939999994"/>
    <n v="27.579981499999999"/>
    <n v="0.104155841"/>
    <n v="40.634"/>
    <n v="30.526"/>
    <n v="0.64600000000000002"/>
    <n v="0"/>
    <n v="77.734999999999999"/>
    <n v="0"/>
    <s v=""/>
    <n v="-0.64600000000000002"/>
  </r>
  <r>
    <s v="Algeria"/>
    <x v="20"/>
    <x v="0"/>
    <n v="97.588529589999993"/>
    <n v="2.3426380440000001"/>
    <n v="0.24064976699999999"/>
    <n v="154.37352809999999"/>
    <n v="41.657536399999998"/>
    <n v="0.360703995"/>
    <n v="11.059979999999999"/>
    <n v="14.113"/>
    <n v="33.994999999999997"/>
    <n v="84.619918510000005"/>
    <n v="27.37897916"/>
    <n v="0.102725971"/>
    <n v="48.238999999999997"/>
    <n v="36.494"/>
    <n v="0.50900000000000001"/>
    <n v="0"/>
    <n v="74.427999999999997"/>
    <n v="0"/>
    <s v=""/>
    <n v="-0.50900000000000001"/>
  </r>
  <r>
    <s v="Algeria"/>
    <x v="21"/>
    <x v="0"/>
    <n v="104.8249292"/>
    <n v="2.4189835180000001"/>
    <n v="0.251209393"/>
    <n v="149.6147708"/>
    <n v="43.334288309999998"/>
    <n v="0.90019008"/>
    <n v="11.19722475"/>
    <n v="14.83"/>
    <n v="32.817"/>
    <n v="81.829934690000002"/>
    <n v="29.638979320000001"/>
    <n v="0.103849154"/>
    <n v="55.765999999999998"/>
    <n v="41.095999999999997"/>
    <n v="0.439"/>
    <n v="0"/>
    <n v="72.284000000000006"/>
    <n v="0"/>
    <s v=""/>
    <n v="-0.439"/>
  </r>
  <r>
    <s v="Algeria"/>
    <x v="22"/>
    <x v="0"/>
    <n v="115.479404"/>
    <n v="2.4367767680000001"/>
    <n v="0.26764263100000002"/>
    <n v="147.30699799999999"/>
    <n v="47.390226920000003"/>
    <n v="1.0008045050000001"/>
    <n v="11.357328109999999"/>
    <n v="16.331"/>
    <n v="29.966000000000001"/>
    <n v="85.279917710000007"/>
    <n v="33.755977479999999"/>
    <n v="0.109834694"/>
    <n v="62.15"/>
    <n v="46.189"/>
    <n v="0.434"/>
    <n v="0"/>
    <n v="67.537000000000006"/>
    <n v="0"/>
    <s v=""/>
    <n v="-0.434"/>
  </r>
  <r>
    <s v="Algeria"/>
    <x v="23"/>
    <x v="0"/>
    <n v="118.3646651"/>
    <n v="2.411062335"/>
    <n v="0.26685768599999998"/>
    <n v="141.10905930000001"/>
    <n v="49.092328879999997"/>
    <n v="0.50955020600000001"/>
    <n v="11.43883735"/>
    <n v="17.234999999999999"/>
    <n v="30.864999999999998"/>
    <n v="81.018976269999996"/>
    <n v="34.555033770000001"/>
    <n v="0.11068054200000001"/>
    <n v="64.763000000000005"/>
    <n v="48.665999999999997"/>
    <n v="0.30199999999999999"/>
    <n v="0"/>
    <n v="65.23"/>
    <n v="0"/>
    <s v=""/>
    <n v="-0.30199999999999999"/>
  </r>
  <r>
    <s v="Algeria"/>
    <x v="24"/>
    <x v="0"/>
    <n v="127.3686491"/>
    <n v="2.378245003"/>
    <n v="0.27664500400000003"/>
    <n v="146.72214170000001"/>
    <n v="53.555730799999999"/>
    <n v="0.35880267300000002"/>
    <n v="11.358823790000001"/>
    <n v="17.934999999999999"/>
    <n v="39.420999999999999"/>
    <n v="82.556097559999998"/>
    <n v="37.766993970000001"/>
    <n v="0.116323173"/>
    <n v="70.790999999999997"/>
    <n v="52.984000000000002"/>
    <n v="0.22600000000000001"/>
    <n v="0"/>
    <n v="69.123000000000005"/>
    <n v="0"/>
    <s v=""/>
    <n v="-0.22600000000000001"/>
  </r>
  <r>
    <s v="Algeria"/>
    <x v="25"/>
    <x v="0"/>
    <n v="135.4609762"/>
    <n v="2.4174929239999998"/>
    <n v="0.28372377799999998"/>
    <n v="146.17138059999999"/>
    <n v="56.03365986"/>
    <n v="0.29449219999999998"/>
    <n v="11.6413168"/>
    <n v="18.178000000000001"/>
    <n v="38.344999999999999"/>
    <n v="83.97706565"/>
    <n v="40.581974610000003"/>
    <n v="0.11736281599999999"/>
    <n v="75.384"/>
    <n v="57.353999999999999"/>
    <n v="0.214"/>
    <n v="0.10214369099999999"/>
    <n v="67.53"/>
    <n v="0"/>
    <s v=""/>
    <n v="-0.214"/>
  </r>
  <r>
    <s v="Algeria"/>
    <x v="26"/>
    <x v="0"/>
    <n v="133.4178101"/>
    <n v="2.4007478359999999"/>
    <n v="0.270779414"/>
    <n v="156.7910292"/>
    <n v="55.57343762"/>
    <n v="0.42841384300000002"/>
    <n v="12.06293404"/>
    <n v="17.741"/>
    <n v="38.125"/>
    <n v="94.722065659999998"/>
    <n v="40.72904793"/>
    <n v="0.112789611"/>
    <n v="77.962000000000003"/>
    <n v="59.834000000000003"/>
    <n v="0"/>
    <n v="0.148790436"/>
    <n v="68.869"/>
    <n v="0"/>
    <s v=""/>
    <n v="0"/>
  </r>
  <r>
    <s v="Algeria"/>
    <x v="27"/>
    <x v="0"/>
    <n v="134.71126179999999"/>
    <n v="2.3553582450000001"/>
    <n v="0.26989590400000002"/>
    <n v="156.26351819999999"/>
    <n v="57.193533979999998"/>
    <n v="0.76056101899999995"/>
    <n v="12.785088399999999"/>
    <n v="17.359287999999999"/>
    <n v="37.075057999999999"/>
    <n v="96.218621709999994"/>
    <n v="42.126202749999997"/>
    <n v="0.114588048"/>
    <n v="83.491"/>
    <n v="64.42"/>
    <n v="0.32937699999999998"/>
    <n v="0.69348792100000001"/>
    <n v="67.212000000000003"/>
    <n v="0"/>
    <s v=""/>
    <n v="-0.32937699999999998"/>
  </r>
  <r>
    <s v="Algeria"/>
    <x v="28"/>
    <x v="0"/>
    <n v="143.42724229999999"/>
    <n v="2.3533438470000001"/>
    <n v="0.28339101900000002"/>
    <n v="155.52842240000001"/>
    <n v="60.946147940000003"/>
    <n v="0.92810999800000005"/>
    <n v="11.88889311"/>
    <n v="17.746276999999999"/>
    <n v="38.673710999999997"/>
    <n v="97.15407759"/>
    <n v="45.675432430000001"/>
    <n v="0.120420575"/>
    <n v="84.364999999999995"/>
    <n v="66.248000000000005"/>
    <n v="0.55395799999999995"/>
    <n v="0.78937948199999997"/>
    <n v="65.808000000000007"/>
    <n v="0"/>
    <s v=""/>
    <n v="-0.55395799999999995"/>
  </r>
  <r>
    <s v="Algeria"/>
    <x v="29"/>
    <x v="0"/>
    <n v="148.3877607"/>
    <n v="2.273698032"/>
    <n v="0.290865347"/>
    <n v="150.1538755"/>
    <n v="65.262738769999999"/>
    <n v="0.92756329599999998"/>
    <n v="12.266239860000001"/>
    <n v="18.492266390000001"/>
    <n v="37.009513890000001"/>
    <n v="90.058930270000005"/>
    <n v="47.22343283"/>
    <n v="0.12792611100000001"/>
    <n v="89.967784159999994"/>
    <n v="70.608716549999997"/>
    <n v="0.45665599600000001"/>
    <n v="0.75911211499999998"/>
    <n v="66.187742319999998"/>
    <n v="0"/>
    <s v=""/>
    <n v="-0.45665599600000001"/>
  </r>
  <r>
    <s v="Algeria"/>
    <x v="30"/>
    <x v="0"/>
    <n v="135.08910109999999"/>
    <n v="2.282281915"/>
    <n v="0.28009361599999999"/>
    <n v="137.58091250000001"/>
    <n v="59.190365669999998"/>
    <n v="0.97402448399999997"/>
    <n v="12.575430900000001"/>
    <n v="16.094351199999998"/>
    <n v="34.488394290000002"/>
    <n v="83.969154689999996"/>
    <n v="43.91779253"/>
    <n v="0.12272524899999999"/>
    <n v="87.600210899999993"/>
    <n v="67.478643239999997"/>
    <n v="0.42644496300000001"/>
    <n v="0.80102056799999999"/>
    <n v="59.745805570000002"/>
    <n v="0"/>
    <s v=""/>
    <n v="-0.42644496300000001"/>
  </r>
  <r>
    <s v="Argentina"/>
    <x v="0"/>
    <x v="1"/>
    <n v="93.453461450000006"/>
    <n v="2.1297610009999999"/>
    <n v="0.24215048"/>
    <n v="47.107338400000003"/>
    <n v="43.879788099999999"/>
    <n v="35.81957894"/>
    <n v="11.628868260000001"/>
    <n v="18.37"/>
    <n v="23.585999999999999"/>
    <n v="18.6280058"/>
    <n v="20.570993519999998"/>
    <n v="0.113698429"/>
    <n v="51.014000000000003"/>
    <n v="40.463999999999999"/>
    <n v="1.304015519"/>
    <n v="0"/>
    <n v="26.318999999999999"/>
    <n v="0.27400000000000002"/>
    <s v=""/>
    <n v="-1.030015519"/>
  </r>
  <r>
    <s v="Argentina"/>
    <x v="1"/>
    <x v="1"/>
    <n v="99.11433289"/>
    <n v="2.1695859469999998"/>
    <n v="0.23532597699999999"/>
    <n v="48.613222200000003"/>
    <n v="45.683524550000001"/>
    <n v="30.797935540000001"/>
    <n v="11.596494399999999"/>
    <n v="20.207000000000001"/>
    <n v="23.699000000000002"/>
    <n v="19.358024310000001"/>
    <n v="21.397978680000001"/>
    <n v="0.108465847"/>
    <n v="53.863999999999997"/>
    <n v="42.286999999999999"/>
    <n v="1.0398200660000001"/>
    <n v="0"/>
    <n v="27.100999999999999"/>
    <n v="0.28899999999999998"/>
    <s v=""/>
    <n v="-0.75082006600000017"/>
  </r>
  <r>
    <s v="Argentina"/>
    <x v="2"/>
    <x v="1"/>
    <n v="101.0933022"/>
    <n v="2.1511349919999998"/>
    <n v="0.222374137"/>
    <n v="52.261418560000003"/>
    <n v="46.995331579999998"/>
    <n v="35.176506230000001"/>
    <n v="11.779398580000001"/>
    <n v="20.861999999999998"/>
    <n v="24.704000000000001"/>
    <n v="19.73899625"/>
    <n v="21.881022869999999"/>
    <n v="0.103375259"/>
    <n v="56.116999999999997"/>
    <n v="45.16"/>
    <n v="0.87352562499999997"/>
    <n v="0"/>
    <n v="30.369"/>
    <n v="0.2"/>
    <s v=""/>
    <n v="-0.67352562499999991"/>
  </r>
  <r>
    <s v="Argentina"/>
    <x v="3"/>
    <x v="1"/>
    <n v="105.3457076"/>
    <n v="2.1761601129999999"/>
    <n v="0.214152656"/>
    <n v="56.297709210000001"/>
    <n v="48.408987449999998"/>
    <n v="39.19844861"/>
    <n v="11.981460350000001"/>
    <n v="20.5"/>
    <n v="25.317"/>
    <n v="21.869973600000002"/>
    <n v="23.478015259999999"/>
    <n v="9.8408500999999995E-2"/>
    <n v="61.88"/>
    <n v="48.567999999999998"/>
    <n v="1.046"/>
    <n v="0"/>
    <n v="31.978000000000002"/>
    <n v="0.16600000000000001"/>
    <s v=""/>
    <n v="-0.88"/>
  </r>
  <r>
    <s v="Argentina"/>
    <x v="4"/>
    <x v="1"/>
    <n v="107.9728126"/>
    <n v="2.061220542"/>
    <n v="0.207389513"/>
    <n v="61.818207719999997"/>
    <n v="52.382950000000001"/>
    <n v="42.30581711"/>
    <n v="12.15728863"/>
    <n v="21.129000000000001"/>
    <n v="23.414999999999999"/>
    <n v="22.679972679999999"/>
    <n v="24.39803105"/>
    <n v="0.100614907"/>
    <n v="65.634"/>
    <n v="52.375999999999998"/>
    <n v="1.530031154"/>
    <n v="0"/>
    <n v="36.283000000000001"/>
    <n v="0.34399999999999997"/>
    <s v=""/>
    <n v="-1.1860311540000001"/>
  </r>
  <r>
    <s v="Argentina"/>
    <x v="5"/>
    <x v="1"/>
    <n v="108.8263334"/>
    <n v="2.0816839140000001"/>
    <n v="0.21515039899999999"/>
    <n v="65.754374150000004"/>
    <n v="52.278029660000001"/>
    <n v="40.359625489999999"/>
    <n v="12.74594607"/>
    <n v="20.375"/>
    <n v="22.763000000000002"/>
    <n v="24.325014830000001"/>
    <n v="25.700996010000001"/>
    <n v="0.10335401900000001"/>
    <n v="67.180999999999997"/>
    <n v="56.006"/>
    <n v="1.3631255170000001"/>
    <n v="0"/>
    <n v="39.04"/>
    <n v="0.30199999999999999"/>
    <s v=""/>
    <n v="-1.061125517"/>
  </r>
  <r>
    <s v="Argentina"/>
    <x v="6"/>
    <x v="1"/>
    <n v="118.89832130000001"/>
    <n v="2.2023039149999999"/>
    <n v="0.22275197699999999"/>
    <n v="70.833525890000004"/>
    <n v="53.988153269999998"/>
    <n v="33.278392480000001"/>
    <n v="12.621022160000001"/>
    <n v="22.044"/>
    <n v="24.834"/>
    <n v="26.436008640000001"/>
    <n v="28.505004540000002"/>
    <n v="0.101144976"/>
    <n v="69.772000000000006"/>
    <n v="58.975999999999999"/>
    <n v="1.26273773"/>
    <n v="1.4332397E-2"/>
    <n v="42.582999999999998"/>
    <n v="0.307"/>
    <s v=""/>
    <n v="-0.95573773000000006"/>
  </r>
  <r>
    <s v="Argentina"/>
    <x v="7"/>
    <x v="1"/>
    <n v="121.4134612"/>
    <n v="2.178231072"/>
    <n v="0.210398486"/>
    <n v="74.870915120000006"/>
    <n v="55.739477200000003"/>
    <n v="39.286650569999999"/>
    <n v="13.073679800000001"/>
    <n v="22.739000000000001"/>
    <n v="26.831"/>
    <n v="27.91398126"/>
    <n v="29.39198558"/>
    <n v="9.6591444999999998E-2"/>
    <n v="72.474999999999994"/>
    <n v="63.405999999999999"/>
    <n v="1.132754638"/>
    <n v="2.0696791999999999E-2"/>
    <n v="44.936"/>
    <n v="0.249"/>
    <s v=""/>
    <n v="-0.88375463799999998"/>
  </r>
  <r>
    <s v="Argentina"/>
    <x v="8"/>
    <x v="1"/>
    <n v="127.05108799999999"/>
    <n v="2.1397823050000002"/>
    <n v="0.21200539400000001"/>
    <n v="79.188497190000007"/>
    <n v="59.375707409999997"/>
    <n v="36.284593510000001"/>
    <n v="13.61117808"/>
    <n v="23.856999999999999"/>
    <n v="27.969000000000001"/>
    <n v="32.197010159999998"/>
    <n v="32.015965860000001"/>
    <n v="9.9078020000000003E-2"/>
    <n v="74.183000000000007"/>
    <n v="68.647000000000006"/>
    <n v="0.99250927600000005"/>
    <n v="4.4484585E-2"/>
    <n v="45.805"/>
    <n v="0.28699999999999998"/>
    <s v=""/>
    <n v="-0.70550927600000013"/>
  </r>
  <r>
    <s v="Argentina"/>
    <x v="9"/>
    <x v="1"/>
    <n v="128.47960370000001"/>
    <n v="2.1109007989999999"/>
    <n v="0.22190148400000001"/>
    <n v="80.708078169999993"/>
    <n v="60.864823090000002"/>
    <n v="27.20811303"/>
    <n v="14.58942646"/>
    <n v="22.053000000000001"/>
    <n v="27.498999999999999"/>
    <n v="36.741969439999998"/>
    <n v="35.032006269999997"/>
    <n v="0.105121702"/>
    <n v="80.759"/>
    <n v="71.313000000000002"/>
    <n v="1.002540888"/>
    <n v="4.3338822999999999E-2"/>
    <n v="43.966000000000001"/>
    <n v="0.33300000000000002"/>
    <s v=""/>
    <n v="-0.669540888"/>
  </r>
  <r>
    <s v="Argentina"/>
    <x v="10"/>
    <x v="1"/>
    <n v="126.6782331"/>
    <n v="2.0926342309999999"/>
    <n v="0.22053025700000001"/>
    <n v="82.669969330000001"/>
    <n v="60.53529623"/>
    <n v="32.880868370000002"/>
    <n v="15.40261857"/>
    <n v="20.489000000000001"/>
    <n v="26.574000000000002"/>
    <n v="40.996959850000003"/>
    <n v="36.586972879999998"/>
    <n v="0.105384044"/>
    <n v="88.994"/>
    <n v="75.153000000000006"/>
    <n v="0.82557470399999999"/>
    <n v="3.9328493999999999E-2"/>
    <n v="41.966000000000001"/>
    <n v="0.25700000000000001"/>
    <s v=""/>
    <n v="-0.56857470399999999"/>
  </r>
  <r>
    <s v="Argentina"/>
    <x v="11"/>
    <x v="1"/>
    <n v="120.4482263"/>
    <n v="2.138020617"/>
    <n v="0.219355669"/>
    <n v="83.494723789999995"/>
    <n v="56.336325899999999"/>
    <n v="41.552232850000003"/>
    <n v="16.32725443"/>
    <n v="18.844999999999999"/>
    <n v="27.198"/>
    <n v="40.882958619999997"/>
    <n v="35.773971230000001"/>
    <n v="0.102597546"/>
    <n v="90.153999999999996"/>
    <n v="76.259"/>
    <n v="0.57532769699999997"/>
    <n v="5.4351442999999999E-2"/>
    <n v="42.103999999999999"/>
    <n v="0.186"/>
    <s v=""/>
    <n v="-0.38932769699999997"/>
  </r>
  <r>
    <s v="Argentina"/>
    <x v="12"/>
    <x v="1"/>
    <n v="113.9342273"/>
    <n v="2.0441349610000001"/>
    <n v="0.232861709"/>
    <n v="82.081333240000006"/>
    <n v="55.737135500000001"/>
    <n v="43.140476329999998"/>
    <n v="16.655891180000001"/>
    <n v="17.207999999999998"/>
    <n v="25.024000000000001"/>
    <n v="40.269048849999997"/>
    <n v="34.930966220000002"/>
    <n v="0.11391699299999999"/>
    <n v="84.605000000000004"/>
    <n v="74.888999999999996"/>
    <n v="0.55100000000000005"/>
    <n v="8.6283316999999998E-2"/>
    <n v="41.784999999999997"/>
    <n v="9.7000000000000003E-2"/>
    <s v=""/>
    <n v="-0.45400000000000007"/>
  </r>
  <r>
    <s v="Argentina"/>
    <x v="13"/>
    <x v="1"/>
    <n v="124.3021803"/>
    <n v="2.060408587"/>
    <n v="0.233424206"/>
    <n v="86.244979630000003"/>
    <n v="60.328898379999998"/>
    <n v="37.811155999999997"/>
    <n v="16.41400093"/>
    <n v="18.568999999999999"/>
    <n v="26.814"/>
    <n v="44.937013409999999"/>
    <n v="38.673953849999997"/>
    <n v="0.11329025099999999"/>
    <n v="92.075999999999993"/>
    <n v="79.873000000000005"/>
    <n v="0.67900000000000005"/>
    <n v="8.4712628999999998E-2"/>
    <n v="41.457999999999998"/>
    <n v="0.09"/>
    <s v=""/>
    <n v="-0.58900000000000008"/>
  </r>
  <r>
    <s v="Argentina"/>
    <x v="14"/>
    <x v="1"/>
    <n v="138.61737500000001"/>
    <n v="2.069304732"/>
    <n v="0.23874841699999999"/>
    <n v="86.785536620000002"/>
    <n v="66.987415089999999"/>
    <n v="31.333579310000001"/>
    <n v="16.22918267"/>
    <n v="21.001999999999999"/>
    <n v="27.402000000000001"/>
    <n v="47.913951330000003"/>
    <n v="41.700047249999997"/>
    <n v="0.115376152"/>
    <n v="100.279"/>
    <n v="84.542000000000002"/>
    <n v="1.2969999999999999"/>
    <n v="7.1799679000000005E-2"/>
    <n v="39.823"/>
    <n v="4.8000000000000001E-2"/>
    <s v=""/>
    <n v="-1.2489999999999999"/>
  </r>
  <r>
    <s v="Argentina"/>
    <x v="15"/>
    <x v="1"/>
    <n v="141.55856349999999"/>
    <n v="2.129165296"/>
    <n v="0.223987572"/>
    <n v="84.411226859999999"/>
    <n v="66.485473810000002"/>
    <n v="33.290472629999996"/>
    <n v="16.751685819999999"/>
    <n v="20.521999999999998"/>
    <n v="27.199000000000002"/>
    <n v="47.69099817"/>
    <n v="43.700969569999998"/>
    <n v="0.10519971"/>
    <n v="105.76900000000001"/>
    <n v="89.391000000000005"/>
    <n v="1.4359999999999999"/>
    <n v="6.8072876000000004E-2"/>
    <n v="37.491"/>
    <n v="2.4E-2"/>
    <s v=""/>
    <n v="-1.4119999999999999"/>
  </r>
  <r>
    <s v="Argentina"/>
    <x v="16"/>
    <x v="1"/>
    <n v="149.95036630000001"/>
    <n v="2.1442223349999998"/>
    <n v="0.219594766"/>
    <n v="84.932647360000004"/>
    <n v="69.932284449999997"/>
    <n v="34.41609957"/>
    <n v="17.081228849999999"/>
    <n v="22.594999999999999"/>
    <n v="28.734999999999999"/>
    <n v="48.053029170000002"/>
    <n v="44.752986249999999"/>
    <n v="0.10241231100000001"/>
    <n v="113.444"/>
    <n v="95.489000000000004"/>
    <n v="1.3360000000000001"/>
    <n v="6.1704452999999999E-2"/>
    <n v="37.427999999999997"/>
    <n v="8.4000000000000005E-2"/>
    <s v=""/>
    <n v="-1.252"/>
  </r>
  <r>
    <s v="Argentina"/>
    <x v="17"/>
    <x v="1"/>
    <n v="158.76930870000001"/>
    <n v="2.163097273"/>
    <n v="0.21329664600000001"/>
    <n v="81.334430549999993"/>
    <n v="73.399060989999995"/>
    <n v="28.714606539999998"/>
    <n v="16.83987574"/>
    <n v="25.058"/>
    <n v="30.033999999999999"/>
    <n v="45.363014739999997"/>
    <n v="45.225020729999997"/>
    <n v="9.8607052000000001E-2"/>
    <n v="113.545"/>
    <n v="99.944000000000003"/>
    <n v="1.7310000000000001"/>
    <n v="5.4603902000000003E-2"/>
    <n v="36.639000000000003"/>
    <n v="0.105"/>
    <s v=""/>
    <n v="-1.6260000000000001"/>
  </r>
  <r>
    <s v="Argentina"/>
    <x v="18"/>
    <x v="1"/>
    <n v="164.2559483"/>
    <n v="2.165847925"/>
    <n v="0.212063685"/>
    <n v="82.413330189999996"/>
    <n v="75.839095830000005"/>
    <n v="26.720906769999999"/>
    <n v="17.3231088"/>
    <n v="26.789000000000001"/>
    <n v="29.713000000000001"/>
    <n v="45.465992890000003"/>
    <n v="45.980038460000003"/>
    <n v="9.7912546000000003E-2"/>
    <n v="121.92700000000001"/>
    <n v="105.158"/>
    <n v="2.165"/>
    <n v="3.4446840999999999E-2"/>
    <n v="37.076000000000001"/>
    <n v="9.0999999999999998E-2"/>
    <s v=""/>
    <n v="-2.0739999999999998"/>
  </r>
  <r>
    <s v="Argentina"/>
    <x v="19"/>
    <x v="1"/>
    <n v="152.56619620000001"/>
    <n v="2.1892053310000001"/>
    <n v="0.20936274299999999"/>
    <n v="79.200836580000001"/>
    <n v="69.690217739999994"/>
    <n v="29.60244548"/>
    <n v="18.61238217"/>
    <n v="23.806000000000001"/>
    <n v="27.609000000000002"/>
    <n v="42.643986589999997"/>
    <n v="44.451990780000003"/>
    <n v="9.5634127999999999E-2"/>
    <n v="122.348"/>
    <n v="105.349"/>
    <n v="1.2130000000000001"/>
    <n v="3.0241606000000001E-2"/>
    <n v="35.335999999999999"/>
    <n v="7.5999999999999998E-2"/>
    <s v=""/>
    <n v="-1.137"/>
  </r>
  <r>
    <s v="Argentina"/>
    <x v="20"/>
    <x v="1"/>
    <n v="162.83339849999999"/>
    <n v="2.17639863"/>
    <n v="0.20290702199999999"/>
    <n v="78.132159130000005"/>
    <n v="74.817818869999996"/>
    <n v="27.849065589999999"/>
    <n v="18.034485780000001"/>
    <n v="27.34"/>
    <n v="27.96"/>
    <n v="41.340978360000001"/>
    <n v="44.591974819999997"/>
    <n v="9.3230632999999993E-2"/>
    <n v="126.015"/>
    <n v="110.59399999999999"/>
    <n v="1.68"/>
    <n v="1.9838907999999999E-2"/>
    <n v="35.046999999999997"/>
    <n v="5.8999999999999997E-2"/>
    <s v=""/>
    <n v="-1.621"/>
  </r>
  <r>
    <s v="Argentina"/>
    <x v="21"/>
    <x v="1"/>
    <n v="170.76245130000001"/>
    <n v="2.2073715950000001"/>
    <n v="0.20073537499999999"/>
    <n v="74.424513759999996"/>
    <n v="77.360083689999996"/>
    <n v="25.582598489999999"/>
    <n v="18.32218907"/>
    <n v="27.867999999999999"/>
    <n v="27.373000000000001"/>
    <n v="39.795018089999999"/>
    <n v="46.444979099999998"/>
    <n v="9.0938642E-2"/>
    <n v="129.506"/>
    <n v="115.916"/>
    <n v="1.8360000000000001"/>
    <n v="4.7102064999999999E-2"/>
    <n v="32.401000000000003"/>
    <n v="8.5000000000000006E-2"/>
    <s v=""/>
    <n v="-1.7510000000000001"/>
  </r>
  <r>
    <s v="Argentina"/>
    <x v="22"/>
    <x v="1"/>
    <n v="172.83370009999999"/>
    <n v="2.1726999130000002"/>
    <n v="0.205277185"/>
    <n v="75.118872379999999"/>
    <n v="79.547892939999997"/>
    <n v="23.462787930000001"/>
    <n v="18.750965260000001"/>
    <n v="27.72"/>
    <n v="27.972000000000001"/>
    <n v="40.794040840000001"/>
    <n v="48.926055069999997"/>
    <n v="9.4480228999999999E-2"/>
    <n v="136.05799999999999"/>
    <n v="118.374"/>
    <n v="1.7210000000000001"/>
    <n v="0.61003395599999999"/>
    <n v="32.39"/>
    <n v="9.0999999999999998E-2"/>
    <s v=""/>
    <n v="-1.6300000000000001"/>
  </r>
  <r>
    <s v="Argentina"/>
    <x v="23"/>
    <x v="1"/>
    <n v="177.6705638"/>
    <n v="2.1791360989999999"/>
    <n v="0.20606546000000001"/>
    <n v="72.557297539999993"/>
    <n v="81.532568749999996"/>
    <n v="25.57881076"/>
    <n v="18.255328760000001"/>
    <n v="28.263000000000002"/>
    <n v="27.728999999999999"/>
    <n v="38.841964689999998"/>
    <n v="49.401006750000001"/>
    <n v="9.4562913999999998E-2"/>
    <n v="139.46700000000001"/>
    <n v="120.944"/>
    <n v="1.8620000000000001"/>
    <n v="0.73278983600000003"/>
    <n v="31.367000000000001"/>
    <n v="7.9000000000000001E-2"/>
    <s v=""/>
    <n v="-1.7830000000000001"/>
  </r>
  <r>
    <s v="Argentina"/>
    <x v="24"/>
    <x v="1"/>
    <n v="174.10359700000001"/>
    <n v="2.1307966239999998"/>
    <n v="0.20713288099999999"/>
    <n v="72.208787779999994"/>
    <n v="81.708218919999993"/>
    <n v="25.086595079999999"/>
    <n v="19.217017500000001"/>
    <n v="27.623999999999999"/>
    <n v="27.332999999999998"/>
    <n v="37.889980119999997"/>
    <n v="49.526024360000001"/>
    <n v="9.7209128000000006E-2"/>
    <n v="138.57599999999999"/>
    <n v="126.26600000000001"/>
    <n v="1.9890000000000001"/>
    <n v="0.45823230599999998"/>
    <n v="31.536999999999999"/>
    <n v="5.7000000000000002E-2"/>
    <s v=""/>
    <n v="-1.9320000000000002"/>
  </r>
  <r>
    <s v="Argentina"/>
    <x v="25"/>
    <x v="1"/>
    <n v="180.23232250000001"/>
    <n v="2.1729973980000001"/>
    <n v="0.20872371200000001"/>
    <n v="73.43704975"/>
    <n v="82.941803199999995"/>
    <n v="23.81761054"/>
    <n v="19.77940766"/>
    <n v="28.274999999999999"/>
    <n v="28.48"/>
    <n v="39.926033410000002"/>
    <n v="50.742969410000001"/>
    <n v="9.6053365000000002E-2"/>
    <n v="145.447"/>
    <n v="132.09"/>
    <n v="1.9750000000000001"/>
    <n v="0.41802168499999998"/>
    <n v="31.315999999999999"/>
    <n v="3.4000000000000002E-2"/>
    <s v=""/>
    <n v="-1.9410000000000001"/>
  </r>
  <r>
    <s v="Argentina"/>
    <x v="26"/>
    <x v="1"/>
    <n v="179.07714089999999"/>
    <n v="2.1716606430000001"/>
    <n v="0.21179188299999999"/>
    <n v="74.097249809999994"/>
    <n v="82.460922929999995"/>
    <n v="21.747045239999999"/>
    <n v="19.945883800000001"/>
    <n v="27.896999999999998"/>
    <n v="27.324999999999999"/>
    <n v="40.997010590000002"/>
    <n v="51.203017170000003"/>
    <n v="9.7525313000000002E-2"/>
    <n v="147.22"/>
    <n v="131.95099999999999"/>
    <n v="1.524"/>
    <n v="0.38174161099999998"/>
    <n v="30.129000000000001"/>
    <n v="2.3E-2"/>
    <s v=""/>
    <n v="-1.5010000000000001"/>
  </r>
  <r>
    <s v="Argentina"/>
    <x v="27"/>
    <x v="1"/>
    <n v="174.80985390000001"/>
    <n v="2.1198941269999998"/>
    <n v="0.201371252"/>
    <n v="73.152940999999998"/>
    <n v="82.461596409999999"/>
    <n v="23.47851739"/>
    <n v="19.608020570000001"/>
    <n v="26.619911999999999"/>
    <n v="26.820592000000001"/>
    <n v="41.651479360000003"/>
    <n v="51.85244307"/>
    <n v="9.4991184000000006E-2"/>
    <n v="145.644665"/>
    <n v="129.022333"/>
    <n v="1.5589710000000001"/>
    <n v="0.43125300900000002"/>
    <n v="28.532651999999999"/>
    <n v="1.9643000000000001E-2"/>
    <s v=""/>
    <n v="-1.539328"/>
  </r>
  <r>
    <s v="Argentina"/>
    <x v="28"/>
    <x v="1"/>
    <n v="171.41187339999999"/>
    <n v="2.1397226159999998"/>
    <n v="0.202482154"/>
    <n v="74.925667200000007"/>
    <n v="80.109389969999995"/>
    <n v="24.147252569999999"/>
    <n v="19.473883529999998"/>
    <n v="25.499696"/>
    <n v="25.38984"/>
    <n v="42.710632169999997"/>
    <n v="52.002587910000003"/>
    <n v="9.4630094999999997E-2"/>
    <n v="146.80029500000001"/>
    <n v="128.77270300000001"/>
    <n v="1.703854"/>
    <n v="1.036200915"/>
    <n v="29.461334999999998"/>
    <n v="0.06"/>
    <s v=""/>
    <n v="-1.6438539999999999"/>
  </r>
  <r>
    <s v="Argentina"/>
    <x v="29"/>
    <x v="1"/>
    <n v="192.21500839999999"/>
    <n v="2.4344909210000001"/>
    <n v="0.23189811799999999"/>
    <n v="77.861535079999996"/>
    <n v="78.954908689999996"/>
    <n v="24.015061280000001"/>
    <n v="19.137519600000001"/>
    <n v="24.66572824"/>
    <n v="25.634388749999999"/>
    <n v="44.808238340000003"/>
    <n v="51.724383109999998"/>
    <n v="9.5255280999999997E-2"/>
    <n v="139.555038"/>
    <n v="125.6475128"/>
    <n v="1.0096941370000001"/>
    <n v="2.8315593940000001"/>
    <n v="30.779095999999999"/>
    <n v="0.105"/>
    <s v=""/>
    <n v="-0.90469413700000012"/>
  </r>
  <r>
    <s v="Argentina"/>
    <x v="30"/>
    <x v="1"/>
    <n v="166.8502225"/>
    <n v="2.317391781"/>
    <n v="0.22491254699999999"/>
    <n v="72.449192030000006"/>
    <n v="71.999143099999998"/>
    <n v="22.791098059999999"/>
    <n v="21.229554100000001"/>
    <n v="21.243107970000001"/>
    <n v="22.026921640000001"/>
    <n v="40.831469900000002"/>
    <n v="48.681772340000002"/>
    <n v="9.7054175000000006E-2"/>
    <n v="142.76192560000001"/>
    <n v="124.0498386"/>
    <n v="0.89833897200000001"/>
    <n v="5.1712893050000002"/>
    <n v="29.144183999999999"/>
    <n v="9.3419965999999993E-2"/>
    <s v=""/>
    <n v="-0.80491900599999999"/>
  </r>
  <r>
    <s v="Australia"/>
    <x v="0"/>
    <x v="2"/>
    <n v="261.38501869999999"/>
    <n v="3.0342179979999999"/>
    <n v="0.50765139800000003"/>
    <n v="157.52583960000001"/>
    <n v="86.145761059999998"/>
    <n v="10.08263503"/>
    <n v="19.27076083"/>
    <n v="31.085999999999999"/>
    <n v="32.781999999999996"/>
    <n v="20.475012899999999"/>
    <n v="17.683994089999999"/>
    <n v="0.167308808"/>
    <n v="155.01900000000001"/>
    <n v="134.339"/>
    <n v="94.1"/>
    <n v="0"/>
    <n v="27.492999999999999"/>
    <n v="204.56200000000001"/>
    <s v=""/>
    <n v="110.46200000000002"/>
  </r>
  <r>
    <s v="Australia"/>
    <x v="1"/>
    <x v="2"/>
    <n v="262.7206999"/>
    <n v="3.0860659450000001"/>
    <n v="0.51228044399999995"/>
    <n v="167.01535190000001"/>
    <n v="85.1312657"/>
    <n v="10.758969"/>
    <n v="19.808693290000001"/>
    <n v="30.515999999999998"/>
    <n v="33.475000000000001"/>
    <n v="21.311006089999999"/>
    <n v="16.55100127"/>
    <n v="0.16599789300000001"/>
    <n v="156.81800000000001"/>
    <n v="136.94900000000001"/>
    <n v="97.971999999999994"/>
    <n v="0"/>
    <n v="27.513000000000002"/>
    <n v="219.607"/>
    <s v=""/>
    <n v="121.63500000000001"/>
  </r>
  <r>
    <s v="Australia"/>
    <x v="2"/>
    <x v="2"/>
    <n v="266.70948479999998"/>
    <n v="3.0763387010000001"/>
    <n v="0.517921619"/>
    <n v="172.14556339999999"/>
    <n v="86.697048249999995"/>
    <n v="10.3030493"/>
    <n v="19.807925050000001"/>
    <n v="30.352"/>
    <n v="32.862000000000002"/>
    <n v="22.789006069999999"/>
    <n v="17.094992250000001"/>
    <n v="0.16835650099999999"/>
    <n v="159.54499999999999"/>
    <n v="138.566"/>
    <n v="100.72"/>
    <n v="0"/>
    <n v="26.927"/>
    <n v="228.339"/>
    <s v=""/>
    <n v="127.619"/>
  </r>
  <r>
    <s v="Australia"/>
    <x v="3"/>
    <x v="2"/>
    <n v="270.70512350000001"/>
    <n v="2.969222593"/>
    <n v="0.50531934499999998"/>
    <n v="174.93376660000001"/>
    <n v="91.170370349999999"/>
    <n v="10.775435379999999"/>
    <n v="19.69135288"/>
    <n v="31.08"/>
    <n v="34.414999999999999"/>
    <n v="24.46000317"/>
    <n v="17.843992480000001"/>
    <n v="0.17018574"/>
    <n v="163.65"/>
    <n v="142.69"/>
    <n v="98.927000000000007"/>
    <n v="6.7216619999999998E-3"/>
    <n v="26.654"/>
    <n v="226.065"/>
    <s v=""/>
    <n v="127.13799999999999"/>
  </r>
  <r>
    <s v="Australia"/>
    <x v="4"/>
    <x v="2"/>
    <n v="275.24760570000001"/>
    <n v="3.0153045440000001"/>
    <n v="0.49411942599999997"/>
    <n v="173.46790590000001"/>
    <n v="91.283517680000003"/>
    <n v="10.35213749"/>
    <n v="19.743029969999998"/>
    <n v="31.884"/>
    <n v="35.08"/>
    <n v="26.404031280000002"/>
    <n v="18.725985739999999"/>
    <n v="0.16387048800000001"/>
    <n v="167.46299999999999"/>
    <n v="146.499"/>
    <n v="99.435000000000002"/>
    <n v="1.0151495999999999E-2"/>
    <n v="25.067"/>
    <n v="225.40199999999999"/>
    <s v=""/>
    <n v="125.96699999999998"/>
  </r>
  <r>
    <s v="Australia"/>
    <x v="5"/>
    <x v="2"/>
    <n v="285.40071640000002"/>
    <n v="3.0839290410000002"/>
    <n v="0.49341828599999998"/>
    <n v="186.906487"/>
    <n v="92.544514669999998"/>
    <n v="9.8089039549999999"/>
    <n v="19.66450567"/>
    <n v="33.027999999999999"/>
    <n v="35.982999999999997"/>
    <n v="29.260009409999999"/>
    <n v="20.095978200000001"/>
    <n v="0.159996641"/>
    <n v="173.15899999999999"/>
    <n v="151.119"/>
    <n v="101.706"/>
    <n v="1.328259E-2"/>
    <n v="26.87"/>
    <n v="241.80699999999999"/>
    <s v=""/>
    <n v="140.101"/>
  </r>
  <r>
    <s v="Australia"/>
    <x v="6"/>
    <x v="2"/>
    <n v="295.35614809999998"/>
    <n v="2.983712116"/>
    <n v="0.49156395800000002"/>
    <n v="189.76361829999999"/>
    <n v="98.989492499999997"/>
    <n v="9.3948130049999996"/>
    <n v="19.62757804"/>
    <n v="34.229999999999997"/>
    <n v="37.238999999999997"/>
    <n v="30.14799528"/>
    <n v="20.365010649999999"/>
    <n v="0.164749124"/>
    <n v="177.59800000000001"/>
    <n v="155.14699999999999"/>
    <n v="109.236"/>
    <n v="1.4639805000000001E-2"/>
    <n v="26.366"/>
    <n v="247.149"/>
    <s v=""/>
    <n v="137.91300000000001"/>
  </r>
  <r>
    <s v="Australia"/>
    <x v="7"/>
    <x v="2"/>
    <n v="304.25032249999998"/>
    <n v="3.002280915"/>
    <n v="0.48704787700000002"/>
    <n v="201.0230459"/>
    <n v="101.3397251"/>
    <n v="9.7557109200000003"/>
    <n v="19.806314960000002"/>
    <n v="34.353000000000002"/>
    <n v="36.936"/>
    <n v="29.907967429999999"/>
    <n v="20.330998439999998"/>
    <n v="0.16222595100000001"/>
    <n v="182.93899999999999"/>
    <n v="160.346"/>
    <n v="114.97799999999999"/>
    <n v="1.6398909E-2"/>
    <n v="26.686"/>
    <n v="264.45800000000003"/>
    <s v=""/>
    <n v="149.48000000000002"/>
  </r>
  <r>
    <s v="Australia"/>
    <x v="8"/>
    <x v="2"/>
    <n v="324.09466379999998"/>
    <n v="3.1171219059999999"/>
    <n v="0.49610954200000001"/>
    <n v="216.48398839999999"/>
    <n v="103.9724058"/>
    <n v="8.5980887450000001"/>
    <n v="20.72839918"/>
    <n v="34.783999999999999"/>
    <n v="37.829000000000001"/>
    <n v="31.05403768"/>
    <n v="21.156015790000001"/>
    <n v="0.15915628500000001"/>
    <n v="195.369"/>
    <n v="170.054"/>
    <n v="125.08"/>
    <n v="1.8426669999999999E-2"/>
    <n v="29.431999999999999"/>
    <n v="287.351"/>
    <s v=""/>
    <n v="162.27100000000002"/>
  </r>
  <r>
    <s v="Australia"/>
    <x v="9"/>
    <x v="2"/>
    <n v="329.71066969999998"/>
    <n v="3.1037396180000001"/>
    <n v="0.48033601399999998"/>
    <n v="213.54113050000001"/>
    <n v="106.23013210000001"/>
    <n v="8.7054567200000008"/>
    <n v="21.054225689999999"/>
    <n v="35.232999999999997"/>
    <n v="37.036000000000001"/>
    <n v="31.61302916"/>
    <n v="21.494984169999999"/>
    <n v="0.15476040899999999"/>
    <n v="203.98699999999999"/>
    <n v="175.45699999999999"/>
    <n v="127.636"/>
    <n v="3.0394094E-2"/>
    <n v="23.657"/>
    <n v="291.00200000000001"/>
    <s v=""/>
    <n v="163.36600000000001"/>
  </r>
  <r>
    <s v="Australia"/>
    <x v="10"/>
    <x v="2"/>
    <n v="335.85441020000002"/>
    <n v="3.1053535299999999"/>
    <n v="0.47077060199999998"/>
    <n v="233.5537483"/>
    <n v="108.1533574"/>
    <n v="8.5385113019999999"/>
    <n v="21.053350510000001"/>
    <n v="36.314"/>
    <n v="38.298000000000002"/>
    <n v="32.819008779999997"/>
    <n v="22.56700266"/>
    <n v="0.15159967999999999"/>
    <n v="210.22399999999999"/>
    <n v="179.852"/>
    <n v="127.871"/>
    <n v="4.5665575999999999E-2"/>
    <n v="32.076000000000001"/>
    <n v="306.72199999999998"/>
    <s v=""/>
    <n v="178.851"/>
  </r>
  <r>
    <s v="Australia"/>
    <x v="11"/>
    <x v="2"/>
    <n v="342.11317750000001"/>
    <n v="3.2335566660000001"/>
    <n v="0.47045956"/>
    <n v="249.17866599999999"/>
    <n v="105.8008913"/>
    <n v="8.2498274980000001"/>
    <n v="21.82788914"/>
    <n v="36.076000000000001"/>
    <n v="37.156999999999996"/>
    <n v="33.561022379999997"/>
    <n v="23.81699669"/>
    <n v="0.145492907"/>
    <n v="224.63499999999999"/>
    <n v="188.035"/>
    <n v="128.06700000000001"/>
    <n v="0.11307231700000001"/>
    <n v="33.137999999999998"/>
    <n v="329.17700000000002"/>
    <s v=""/>
    <n v="201.11"/>
  </r>
  <r>
    <s v="Australia"/>
    <x v="12"/>
    <x v="2"/>
    <n v="354.10295000000002"/>
    <n v="3.2349645100000002"/>
    <n v="0.46821244200000001"/>
    <n v="254.07236330000001"/>
    <n v="109.46115450000001"/>
    <n v="7.9325877260000004"/>
    <n v="23.29377113"/>
    <n v="35.554000000000002"/>
    <n v="37.098999999999997"/>
    <n v="34.969995789999999"/>
    <n v="26.15797281"/>
    <n v="0.144734955"/>
    <n v="227.55500000000001"/>
    <n v="197.74199999999999"/>
    <n v="130.01400000000001"/>
    <n v="0.18193403799999999"/>
    <n v="31.321000000000002"/>
    <n v="339.89800000000002"/>
    <s v=""/>
    <n v="209.88400000000001"/>
  </r>
  <r>
    <s v="Australia"/>
    <x v="13"/>
    <x v="2"/>
    <n v="353.90459520000002"/>
    <n v="3.1956708659999999"/>
    <n v="0.45438257399999998"/>
    <n v="252.42086739999999"/>
    <n v="110.7450079"/>
    <n v="8.5302669360000003"/>
    <n v="22.01474962"/>
    <n v="37.930999999999997"/>
    <n v="37.014000000000003"/>
    <n v="34.104989770000003"/>
    <n v="25.004004460000001"/>
    <n v="0.142186913"/>
    <n v="220.80199999999999"/>
    <n v="193.791"/>
    <n v="130.25381680000001"/>
    <n v="0.34510556999999997"/>
    <n v="30.545999999999999"/>
    <n v="341.661"/>
    <s v=""/>
    <n v="211.40718319999999"/>
  </r>
  <r>
    <s v="Australia"/>
    <x v="14"/>
    <x v="2"/>
    <n v="367.32125960000002"/>
    <n v="3.2603510990000002"/>
    <n v="0.45322752199999999"/>
    <n v="254.1965198"/>
    <n v="112.6630993"/>
    <n v="8.2754756300000007"/>
    <n v="22.01027728"/>
    <n v="39.183"/>
    <n v="36.503999999999998"/>
    <n v="34.279997129999998"/>
    <n v="25.757011599999998"/>
    <n v="0.13901187600000001"/>
    <n v="228.434"/>
    <n v="198.26599999999999"/>
    <n v="135.62447649999999"/>
    <n v="0.338828721"/>
    <n v="27.079000000000001"/>
    <n v="350.30399999999997"/>
    <s v=""/>
    <n v="214.67952349999999"/>
  </r>
  <r>
    <s v="Australia"/>
    <x v="15"/>
    <x v="2"/>
    <n v="372.7144164"/>
    <n v="3.284255307"/>
    <n v="0.44560411900000002"/>
    <n v="265.1662402"/>
    <n v="113.485214"/>
    <n v="8.9245571829999992"/>
    <n v="22.06223761"/>
    <n v="39.432000000000002"/>
    <n v="34.768000000000001"/>
    <n v="35.840031060000001"/>
    <n v="25.493019820000001"/>
    <n v="0.135678891"/>
    <n v="228.65"/>
    <n v="198.66"/>
    <n v="137.55693170000001"/>
    <n v="0.421605073"/>
    <n v="24.355"/>
    <n v="370.59"/>
    <s v=""/>
    <n v="233.03306829999997"/>
  </r>
  <r>
    <s v="Australia"/>
    <x v="16"/>
    <x v="2"/>
    <n v="376.43355860000003"/>
    <n v="3.1917189829999999"/>
    <n v="0.43781547500000001"/>
    <n v="269.84824909999998"/>
    <n v="117.9406961"/>
    <n v="9.3394322039999995"/>
    <n v="22.451845939999998"/>
    <n v="39.783999999999999"/>
    <n v="32.429000000000002"/>
    <n v="42.701052179999998"/>
    <n v="25.698972950000002"/>
    <n v="0.13717231299999999"/>
    <n v="232.83"/>
    <n v="202.51499999999999"/>
    <n v="140.22349349999999"/>
    <n v="0.77524373999999996"/>
    <n v="22.013000000000002"/>
    <n v="374.65300000000002"/>
    <s v=""/>
    <n v="234.42950650000003"/>
  </r>
  <r>
    <s v="Australia"/>
    <x v="17"/>
    <x v="2"/>
    <n v="387.05713930000002"/>
    <n v="3.1942742709999998"/>
    <n v="0.43350604100000001"/>
    <n v="286.13320249999998"/>
    <n v="121.1721682"/>
    <n v="8.7149454879999997"/>
    <n v="22.819790520000002"/>
    <n v="40.290999999999997"/>
    <n v="33.058999999999997"/>
    <n v="45.300977349999997"/>
    <n v="29.293972709999998"/>
    <n v="0.135713469"/>
    <n v="243.15700000000001"/>
    <n v="212.14500000000001"/>
    <n v="141.04836710000001"/>
    <n v="1.119030092"/>
    <n v="24.584"/>
    <n v="391.03899999999999"/>
    <s v=""/>
    <n v="249.99063289999998"/>
  </r>
  <r>
    <s v="Australia"/>
    <x v="18"/>
    <x v="2"/>
    <n v="390.33537910000001"/>
    <n v="3.104012145"/>
    <n v="0.42175042499999998"/>
    <n v="286.79457739999998"/>
    <n v="125.7518852"/>
    <n v="8.1711694300000008"/>
    <n v="22.558736010000001"/>
    <n v="41.448"/>
    <n v="33.204999999999998"/>
    <n v="47.200059029999998"/>
    <n v="30.284997799999999"/>
    <n v="0.135872672"/>
    <n v="243.221"/>
    <n v="213.00899999999999"/>
    <n v="140.20716569999999"/>
    <n v="1.3243099899999999"/>
    <n v="22.635999999999999"/>
    <n v="392.25099999999998"/>
    <s v=""/>
    <n v="252.04383429999999"/>
  </r>
  <r>
    <s v="Australia"/>
    <x v="19"/>
    <x v="2"/>
    <n v="393.23459639999999"/>
    <n v="3.1225928330000001"/>
    <n v="0.41680970000000001"/>
    <n v="295.30198239999999"/>
    <n v="125.9320755"/>
    <n v="7.5229084229999996"/>
    <n v="23.59932542"/>
    <n v="40.564"/>
    <n v="33.235999999999997"/>
    <n v="49.46901304"/>
    <n v="31.16999397"/>
    <n v="0.133481924"/>
    <n v="248.16200000000001"/>
    <n v="217.36099999999999"/>
    <n v="144.48941379999999"/>
    <n v="1.6058058850000001"/>
    <n v="23.26"/>
    <n v="407.89800000000002"/>
    <s v=""/>
    <n v="263.40858620000006"/>
  </r>
  <r>
    <s v="Australia"/>
    <x v="20"/>
    <x v="2"/>
    <n v="391.18767509999998"/>
    <n v="3.0987269149999999"/>
    <n v="0.40624116500000002"/>
    <n v="323.35201169999999"/>
    <n v="126.2414165"/>
    <n v="8.6154966539999993"/>
    <n v="23.510948379999999"/>
    <n v="42.228999999999999"/>
    <n v="32.984000000000002"/>
    <n v="52.65097213"/>
    <n v="31.961973929999999"/>
    <n v="0.13109937599999999"/>
    <n v="252.661"/>
    <n v="220.84800000000001"/>
    <n v="133.1583589"/>
    <n v="2.1538741629999998"/>
    <n v="24.236000000000001"/>
    <n v="435.87599999999998"/>
    <s v=""/>
    <n v="302.71764109999998"/>
  </r>
  <r>
    <s v="Australia"/>
    <x v="21"/>
    <x v="2"/>
    <n v="389.39080410000003"/>
    <n v="3.0667189509999999"/>
    <n v="0.39465562399999998"/>
    <n v="312.78628550000002"/>
    <n v="126.9730974"/>
    <n v="10.395555910000001"/>
    <n v="23.015807909999999"/>
    <n v="44.948999999999998"/>
    <n v="34.466999999999999"/>
    <n v="56.398066159999999"/>
    <n v="32.383018409999998"/>
    <n v="0.12868985699999999"/>
    <n v="253.82"/>
    <n v="224.154"/>
    <n v="128.28800000000001"/>
    <n v="2.9457883539999998"/>
    <n v="23.242000000000001"/>
    <n v="414.803"/>
    <s v=""/>
    <n v="286.51499999999999"/>
  </r>
  <r>
    <s v="Australia"/>
    <x v="22"/>
    <x v="2"/>
    <n v="388.00395730000002"/>
    <n v="3.0894016309999999"/>
    <n v="0.378422808"/>
    <n v="320.95059409999999"/>
    <n v="125.5919442"/>
    <n v="10.529587810000001"/>
    <n v="22.553205129999998"/>
    <n v="46.122"/>
    <n v="32.887"/>
    <n v="54.017007679999999"/>
    <n v="33.863960159999998"/>
    <n v="0.12249064799999999"/>
    <n v="250.93100000000001"/>
    <n v="222.05099999999999"/>
    <n v="126.977"/>
    <n v="3.7046040549999999"/>
    <n v="21.800999999999998"/>
    <n v="434.7"/>
    <s v=""/>
    <n v="307.72299999999996"/>
  </r>
  <r>
    <s v="Australia"/>
    <x v="23"/>
    <x v="2"/>
    <n v="385.04168420000002"/>
    <n v="3.0202000409999998"/>
    <n v="0.36607120100000001"/>
    <n v="346.44434710000002"/>
    <n v="127.4888017"/>
    <n v="13.17640454"/>
    <n v="22.085536749999999"/>
    <n v="47.558"/>
    <n v="32.893999999999998"/>
    <n v="62.974966469999998"/>
    <n v="36.001990970000001"/>
    <n v="0.121207601"/>
    <n v="249.37"/>
    <n v="221.83099999999999"/>
    <n v="116.078"/>
    <n v="4.5859566110000003"/>
    <n v="19.14"/>
    <n v="458.43"/>
    <s v=""/>
    <n v="342.35199999999998"/>
  </r>
  <r>
    <s v="Australia"/>
    <x v="24"/>
    <x v="2"/>
    <n v="375.33121699999998"/>
    <n v="2.958720343"/>
    <n v="0.34802332200000002"/>
    <n v="368.18461129999997"/>
    <n v="126.85592870000001"/>
    <n v="14.6271383"/>
    <n v="21.866477700000001"/>
    <n v="47.170999999999999"/>
    <n v="30.864999999999998"/>
    <n v="64.767983040000004"/>
    <n v="36.73004366"/>
    <n v="0.117626299"/>
    <n v="247.45099999999999"/>
    <n v="221.33099999999999"/>
    <n v="111.004"/>
    <n v="5.7639694319999997"/>
    <n v="18.306999999999999"/>
    <n v="488.79399999999998"/>
    <s v=""/>
    <n v="377.78999999999996"/>
  </r>
  <r>
    <s v="Australia"/>
    <x v="25"/>
    <x v="2"/>
    <n v="380.822048"/>
    <n v="3.006401071"/>
    <n v="0.34553824799999999"/>
    <n v="383.01841009999998"/>
    <n v="126.67040729999999"/>
    <n v="13.34208381"/>
    <n v="22.338755339999999"/>
    <n v="46.405999999999999"/>
    <n v="27.497"/>
    <n v="68.055971880000001"/>
    <n v="37.134021109999999"/>
    <n v="0.114934182"/>
    <n v="251.41499999999999"/>
    <n v="225.31800000000001"/>
    <n v="115.97"/>
    <n v="6.5592745060000004"/>
    <n v="17.241"/>
    <n v="512.43100000000004"/>
    <s v=""/>
    <n v="396.46100000000001"/>
  </r>
  <r>
    <s v="Australia"/>
    <x v="26"/>
    <x v="2"/>
    <n v="390.70921370000002"/>
    <n v="3.0880179000000001"/>
    <n v="0.34495191800000002"/>
    <n v="387.16149619999999"/>
    <n v="126.524271"/>
    <n v="14.596025149999999"/>
    <n v="22.19368338"/>
    <n v="46.643999999999998"/>
    <n v="23.516999999999999"/>
    <n v="81.384994579999997"/>
    <n v="38.134967349999997"/>
    <n v="0.11170658"/>
    <n v="256.56299999999999"/>
    <n v="226.38399999999999"/>
    <n v="118.357"/>
    <n v="7.1748459440000003"/>
    <n v="16.8"/>
    <n v="500.34300000000002"/>
    <s v=""/>
    <n v="381.98599999999999"/>
  </r>
  <r>
    <s v="Australia"/>
    <x v="27"/>
    <x v="2"/>
    <n v="393.51011999999997"/>
    <n v="3.083428133"/>
    <n v="0.33938935999999997"/>
    <n v="405.60192139999998"/>
    <n v="127.62098"/>
    <n v="15.67893527"/>
    <n v="21.98724039"/>
    <n v="47.361238999999998"/>
    <n v="22.670871000000002"/>
    <n v="103.6130994"/>
    <n v="39.174051040000002"/>
    <n v="0.110068841"/>
    <n v="258.01900000000001"/>
    <n v="229.874"/>
    <n v="113.99299999999999"/>
    <n v="8.0105077530000006"/>
    <n v="14.529712"/>
    <n v="499.46699999999998"/>
    <s v=""/>
    <n v="385.47399999999999"/>
  </r>
  <r>
    <s v="Australia"/>
    <x v="28"/>
    <x v="2"/>
    <n v="392.11924010000001"/>
    <n v="3.0627587570000001"/>
    <n v="0.32852989700000002"/>
    <n v="411.54242169999998"/>
    <n v="128.02811819999999"/>
    <n v="17.100514180000001"/>
    <n v="21.914660550000001"/>
    <n v="48.433926999999997"/>
    <n v="22.962195999999999"/>
    <n v="117.9458881"/>
    <n v="40.471968680000003"/>
    <n v="0.107266005"/>
    <n v="260.99799999999999"/>
    <n v="233.553"/>
    <n v="105.21"/>
    <n v="9.6142499200000007"/>
    <n v="13.071529999999999"/>
    <n v="485.09"/>
    <s v=""/>
    <n v="379.88"/>
  </r>
  <r>
    <s v="Australia"/>
    <x v="29"/>
    <x v="2"/>
    <n v="387.31629830000003"/>
    <n v="3.0104239430000002"/>
    <n v="0.31863968399999998"/>
    <n v="448.70370709999997"/>
    <n v="128.65839020000001"/>
    <n v="19.703368560000001"/>
    <n v="21.963209599999999"/>
    <n v="48.404081560000002"/>
    <n v="23.329469410000002"/>
    <n v="142.39545190000001"/>
    <n v="41.382125219999999"/>
    <n v="0.10584545200000001"/>
    <n v="263.96797980000002"/>
    <n v="236.0824241"/>
    <n v="102.63139219999999"/>
    <n v="12.329866150000001"/>
    <n v="15.4634678"/>
    <n v="503.18400000000003"/>
    <s v=""/>
    <n v="400.55260780000003"/>
  </r>
  <r>
    <s v="Australia"/>
    <x v="30"/>
    <x v="2"/>
    <n v="371.77014220000001"/>
    <n v="2.948092919"/>
    <n v="0.31369238900000002"/>
    <n v="443.43505219999997"/>
    <n v="126.10530009999999"/>
    <n v="22.97536903"/>
    <n v="22.01596851"/>
    <n v="46.514254010000002"/>
    <n v="20.997451460000001"/>
    <n v="153.64439909999999"/>
    <n v="40.059112759999998"/>
    <n v="0.106405191"/>
    <n v="256.5199222"/>
    <n v="229.3901339"/>
    <n v="98.814398979999993"/>
    <n v="15.25098098"/>
    <n v="18.238758229999998"/>
    <n v="473.26079379999999"/>
    <s v=""/>
    <n v="374.44639482000002"/>
  </r>
  <r>
    <s v="Belgium"/>
    <x v="0"/>
    <x v="3"/>
    <n v="106.4454169"/>
    <n v="2.2227658250000002"/>
    <n v="0.32184878"/>
    <n v="13.10412024"/>
    <n v="47.888722989999998"/>
    <n v="1.6722360869999999"/>
    <n v="14.70290453"/>
    <n v="17.597000000000001"/>
    <n v="29.37"/>
    <n v="1.2E-2"/>
    <n v="9.6082976599999999"/>
    <n v="0.14479653000000001"/>
    <n v="70.923000000000002"/>
    <n v="59.107999999999997"/>
    <n v="16.620146479999999"/>
    <n v="9.8698589999999999E-3"/>
    <n v="0"/>
    <n v="0"/>
    <s v=""/>
    <n v="-16.620146479999999"/>
  </r>
  <r>
    <s v="Belgium"/>
    <x v="1"/>
    <x v="3"/>
    <n v="111.1304056"/>
    <n v="2.2204516239999998"/>
    <n v="0.329965811"/>
    <n v="12.972906999999999"/>
    <n v="50.048559679999997"/>
    <n v="1.7877001779999999"/>
    <n v="14.55764168"/>
    <n v="19.187999999999999"/>
    <n v="32.494"/>
    <n v="8.9999910000000006E-3"/>
    <n v="10.243044530000001"/>
    <n v="0.148603017"/>
    <n v="71.936000000000007"/>
    <n v="61.783000000000001"/>
    <n v="16.023028490000002"/>
    <n v="1.1120995999999999E-2"/>
    <n v="0"/>
    <n v="0"/>
    <s v=""/>
    <n v="-16.023028490000002"/>
  </r>
  <r>
    <s v="Belgium"/>
    <x v="2"/>
    <x v="3"/>
    <n v="109.8310433"/>
    <n v="2.168333133"/>
    <n v="0.32119144300000002"/>
    <n v="12.72497894"/>
    <n v="50.652292119999998"/>
    <n v="1.982692973"/>
    <n v="14.96165304"/>
    <n v="19.640999999999998"/>
    <n v="32.222999999999999"/>
    <n v="6.0000050000000001E-3"/>
    <n v="10.55942188"/>
    <n v="0.148128273"/>
    <n v="72.224999999999994"/>
    <n v="63.871000000000002"/>
    <n v="14.235689669999999"/>
    <n v="1.2461059E-2"/>
    <n v="0"/>
    <n v="0"/>
    <s v=""/>
    <n v="-14.235689669999999"/>
  </r>
  <r>
    <s v="Belgium"/>
    <x v="3"/>
    <x v="3"/>
    <n v="108.2185758"/>
    <n v="2.1903984090000002"/>
    <n v="0.319549582"/>
    <n v="12.10260263"/>
    <n v="49.405886780000003"/>
    <n v="1.797159556"/>
    <n v="15.351587459999999"/>
    <n v="19.167000000000002"/>
    <n v="31.216000000000001"/>
    <n v="4.0000000000000001E-3"/>
    <n v="11.03637165"/>
    <n v="0.145886511"/>
    <n v="70.834000000000003"/>
    <n v="64.644000000000005"/>
    <n v="13.51357655"/>
    <n v="1.1294011E-2"/>
    <n v="0"/>
    <n v="2.3570000000000002"/>
    <s v=""/>
    <n v="-11.15657655"/>
  </r>
  <r>
    <s v="Belgium"/>
    <x v="4"/>
    <x v="3"/>
    <n v="113.5517455"/>
    <n v="2.1643087489999999"/>
    <n v="0.32481574099999999"/>
    <n v="11.62765093"/>
    <n v="52.465594639999999"/>
    <n v="1.9922692200000001"/>
    <n v="14.809461880000001"/>
    <n v="21.558"/>
    <n v="31.734999999999999"/>
    <n v="1E-3"/>
    <n v="11.23836661"/>
    <n v="0.15007828300000001"/>
    <n v="72.179000000000002"/>
    <n v="67.822000000000003"/>
    <n v="14.47283569"/>
    <n v="1.2469001E-2"/>
    <n v="0"/>
    <n v="2.1070000000000002"/>
    <s v=""/>
    <n v="-12.365835690000001"/>
  </r>
  <r>
    <s v="Belgium"/>
    <x v="5"/>
    <x v="3"/>
    <n v="113.96060540000001"/>
    <n v="2.1364148250000001"/>
    <n v="0.31839240299999999"/>
    <n v="11.933697329999999"/>
    <n v="53.341983999999997"/>
    <n v="2.096548758"/>
    <n v="14.9083141"/>
    <n v="21.454999999999998"/>
    <n v="28.940999999999999"/>
    <n v="2.6315799999999999E-4"/>
    <n v="12.755185409999999"/>
    <n v="0.14903117099999999"/>
    <n v="74.408000000000001"/>
    <n v="69.828999999999994"/>
    <n v="13.79664914"/>
    <n v="1.2095474E-2"/>
    <n v="0"/>
    <n v="1.1970000000000001"/>
    <s v=""/>
    <n v="-12.59964914"/>
  </r>
  <r>
    <s v="Belgium"/>
    <x v="6"/>
    <x v="3"/>
    <n v="119.4241091"/>
    <n v="2.1271239959999999"/>
    <n v="0.329305087"/>
    <n v="12.355228719999999"/>
    <n v="56.14346381"/>
    <n v="2.0000262819999999"/>
    <n v="14.42679143"/>
    <n v="22.873999999999999"/>
    <n v="35.164000000000001"/>
    <n v="2E-3"/>
    <n v="14.237328919999999"/>
    <n v="0.15481236100000001"/>
    <n v="76.099000000000004"/>
    <n v="71.405000000000001"/>
    <n v="13.12545102"/>
    <n v="1.0512621999999999E-2"/>
    <n v="0"/>
    <n v="0.97099999999999997"/>
    <s v=""/>
    <n v="-12.15445102"/>
  </r>
  <r>
    <s v="Belgium"/>
    <x v="7"/>
    <x v="3"/>
    <n v="115.9620097"/>
    <n v="2.0581886639999998"/>
    <n v="0.30807141300000002"/>
    <n v="13.401386179999999"/>
    <n v="56.34177845"/>
    <n v="1.9788667179999999"/>
    <n v="14.98568214"/>
    <n v="22.89"/>
    <n v="36.552999999999997"/>
    <n v="1.5789499999999999E-4"/>
    <n v="13.47588502"/>
    <n v="0.14968084200000001"/>
    <n v="78.832999999999998"/>
    <n v="73.320999999999998"/>
    <n v="12.190577469999999"/>
    <n v="1.0148034E-2"/>
    <n v="0"/>
    <n v="0.753"/>
    <s v=""/>
    <n v="-11.437577469999999"/>
  </r>
  <r>
    <s v="Belgium"/>
    <x v="8"/>
    <x v="3"/>
    <n v="118.5562855"/>
    <n v="2.0674199510000002"/>
    <n v="0.30890332500000001"/>
    <n v="13.10683929"/>
    <n v="57.345042749999998"/>
    <n v="2.2444489860000001"/>
    <n v="15.185563800000001"/>
    <n v="22.922999999999998"/>
    <n v="37.895000000000003"/>
    <n v="0"/>
    <n v="14.80757"/>
    <n v="0.14941488999999999"/>
    <n v="83.183000000000007"/>
    <n v="75.527000000000001"/>
    <n v="12.144"/>
    <n v="1.3223856000000001E-2"/>
    <n v="0"/>
    <n v="0.63700000000000001"/>
    <s v=""/>
    <n v="-11.507"/>
  </r>
  <r>
    <s v="Belgium"/>
    <x v="9"/>
    <x v="3"/>
    <n v="114.2759202"/>
    <n v="1.9914095000000001"/>
    <n v="0.28756306100000001"/>
    <n v="13.905022969999999"/>
    <n v="57.38444063"/>
    <n v="2.364105355"/>
    <n v="15.204205290000001"/>
    <n v="22.564"/>
    <n v="35.691000000000003"/>
    <n v="4.4736800000000002E-4"/>
    <n v="15.666446909999999"/>
    <n v="0.14440177200000001"/>
    <n v="84.513999999999996"/>
    <n v="76.05"/>
    <n v="10.545"/>
    <n v="1.5382066999999999E-2"/>
    <n v="0"/>
    <n v="0.56000000000000005"/>
    <s v=""/>
    <n v="-9.9849999999999994"/>
  </r>
  <r>
    <s v="Belgium"/>
    <x v="10"/>
    <x v="3"/>
    <n v="116.3659107"/>
    <n v="2.0046535670000001"/>
    <n v="0.28232903799999998"/>
    <n v="13.73288732"/>
    <n v="58.047890459999998"/>
    <n v="2.7174689330000001"/>
    <n v="15.41701986"/>
    <n v="22.574000000000002"/>
    <n v="38.173999999999999"/>
    <n v="2E-3"/>
    <n v="15.84220073"/>
    <n v="0.140836822"/>
    <n v="84.012"/>
    <n v="79.165999999999997"/>
    <n v="11.614000000000001"/>
    <n v="1.9044898000000001E-2"/>
    <n v="0"/>
    <n v="0.42699999999999999"/>
    <s v=""/>
    <n v="-11.187000000000001"/>
  </r>
  <r>
    <s v="Belgium"/>
    <x v="11"/>
    <x v="3"/>
    <n v="116.1275516"/>
    <n v="2.0136581859999998"/>
    <n v="0.27868624800000003"/>
    <n v="13.323356670000001"/>
    <n v="57.66994236"/>
    <n v="2.853885569"/>
    <n v="15.254583800000001"/>
    <n v="23.152999999999999"/>
    <n v="39.993000000000002"/>
    <n v="0"/>
    <n v="15.84267826"/>
    <n v="0.138397991"/>
    <n v="79.820999999999998"/>
    <n v="79.816000000000003"/>
    <n v="10.974"/>
    <n v="4.6353716000000003E-2"/>
    <n v="0"/>
    <n v="0.312"/>
    <s v=""/>
    <n v="-10.662000000000001"/>
  </r>
  <r>
    <s v="Belgium"/>
    <x v="12"/>
    <x v="3"/>
    <n v="110.65665389999999"/>
    <n v="1.9840101080000001"/>
    <n v="0.26110033700000002"/>
    <n v="13.496157459999999"/>
    <n v="55.774238990000001"/>
    <n v="2.7635282509999999"/>
    <n v="16.061111230000002"/>
    <n v="21.956"/>
    <n v="46.145000000000003"/>
    <n v="0"/>
    <n v="16.225502410000001"/>
    <n v="0.13160232199999999"/>
    <n v="82.069000000000003"/>
    <n v="80.438000000000002"/>
    <n v="9.5289999999999999"/>
    <n v="6.9453751999999994E-2"/>
    <n v="0"/>
    <n v="0.36399999999999999"/>
    <s v=""/>
    <n v="-9.1649999999999991"/>
  </r>
  <r>
    <s v="Belgium"/>
    <x v="13"/>
    <x v="3"/>
    <n v="114.3261809"/>
    <n v="1.9641573269999999"/>
    <n v="0.266987578"/>
    <n v="13.69625349"/>
    <n v="58.206223790000003"/>
    <n v="2.6716294459999999"/>
    <n v="15.887435999999999"/>
    <n v="22.89"/>
    <n v="45.597000000000001"/>
    <n v="0"/>
    <n v="17.152938989999999"/>
    <n v="0.135929833"/>
    <n v="84.63"/>
    <n v="82.064999999999998"/>
    <n v="9.2040000000000006"/>
    <n v="0.103982039"/>
    <n v="0"/>
    <n v="0.375"/>
    <s v=""/>
    <n v="-8.8290000000000006"/>
  </r>
  <r>
    <s v="Belgium"/>
    <x v="14"/>
    <x v="3"/>
    <n v="114.0036491"/>
    <n v="1.9521832690000001"/>
    <n v="0.25705445399999999"/>
    <n v="13.747161240000001"/>
    <n v="58.398025910000001"/>
    <n v="3.2542064150000001"/>
    <n v="15.825222739999999"/>
    <n v="23.202999999999999"/>
    <n v="43.481000000000002"/>
    <n v="0"/>
    <n v="17.601986440000001"/>
    <n v="0.13167537000000001"/>
    <n v="85.643000000000001"/>
    <n v="83.76"/>
    <n v="8.5267196169999995"/>
    <n v="0.16697219899999999"/>
    <n v="0"/>
    <n v="0.218"/>
    <s v=""/>
    <n v="-8.3087196169999995"/>
  </r>
  <r>
    <s v="Belgium"/>
    <x v="15"/>
    <x v="3"/>
    <n v="111.2141613"/>
    <n v="1.914864165"/>
    <n v="0.24507474900000001"/>
    <n v="13.90603692"/>
    <n v="58.07939975"/>
    <n v="3.9322033900000002"/>
    <n v="16.04513541"/>
    <n v="23.141999999999999"/>
    <n v="37.250999999999998"/>
    <n v="0"/>
    <n v="17.093315740000001"/>
    <n v="0.127985448"/>
    <n v="87.025000000000006"/>
    <n v="83.635999999999996"/>
    <n v="7.8849999999999998"/>
    <n v="0.26199368000000001"/>
    <n v="0"/>
    <n v="0.17299999999999999"/>
    <s v=""/>
    <n v="-7.7119999999999997"/>
  </r>
  <r>
    <s v="Belgium"/>
    <x v="16"/>
    <x v="3"/>
    <n v="109.9231149"/>
    <n v="1.915932787"/>
    <n v="0.23620107400000001"/>
    <n v="13.76958084"/>
    <n v="57.373158199999999"/>
    <n v="4.930095659"/>
    <n v="16.70255242"/>
    <n v="21.998000000000001"/>
    <n v="36.750999999999998"/>
    <n v="0"/>
    <n v="17.632535860000001"/>
    <n v="0.12328254700000001"/>
    <n v="85.617000000000004"/>
    <n v="86.055000000000007"/>
    <n v="7.6939688459999998"/>
    <n v="0.42982118000000002"/>
    <n v="0"/>
    <n v="0.129"/>
    <s v=""/>
    <n v="-7.5649688459999993"/>
  </r>
  <r>
    <s v="Belgium"/>
    <x v="17"/>
    <x v="3"/>
    <n v="106.05132930000001"/>
    <n v="1.8851580429999999"/>
    <n v="0.21979959099999999"/>
    <n v="14.39315624"/>
    <n v="56.2559355"/>
    <n v="5.381549616"/>
    <n v="17.237684590000001"/>
    <n v="21.085000000000001"/>
    <n v="38.575000000000003"/>
    <n v="0"/>
    <n v="17.80619995"/>
    <n v="0.11659478199999999"/>
    <n v="88.822000000000003"/>
    <n v="86.084000000000003"/>
    <n v="7.0229999999999997"/>
    <n v="0.55954605800000001"/>
    <n v="0"/>
    <n v="0.18099999999999999"/>
    <s v=""/>
    <n v="-6.8419999999999996"/>
  </r>
  <r>
    <s v="Belgium"/>
    <x v="18"/>
    <x v="3"/>
    <n v="109.4185863"/>
    <n v="1.8873604559999999"/>
    <n v="0.22576948999999999"/>
    <n v="13.96289535"/>
    <n v="57.974398020000002"/>
    <n v="6.7879430120000004"/>
    <n v="16.257351140000001"/>
    <n v="22.766999999999999"/>
    <n v="37.985999999999997"/>
    <n v="0"/>
    <n v="18.47112705"/>
    <n v="0.119621819"/>
    <n v="84.93"/>
    <n v="85.822000000000003"/>
    <n v="6.9009999999999998"/>
    <n v="0.80183680700000004"/>
    <n v="0"/>
    <n v="0.109"/>
    <s v=""/>
    <n v="-6.7919999999999998"/>
  </r>
  <r>
    <s v="Belgium"/>
    <x v="19"/>
    <x v="3"/>
    <n v="105.2578343"/>
    <n v="1.89276858"/>
    <n v="0.22166359099999999"/>
    <n v="14.777537300000001"/>
    <n v="55.610514369999997"/>
    <n v="7.5278127909999997"/>
    <n v="16.601954200000002"/>
    <n v="21.021999999999998"/>
    <n v="34.624000000000002"/>
    <n v="0"/>
    <n v="21.310164489999998"/>
    <n v="0.117110773"/>
    <n v="91.234999999999999"/>
    <n v="79.662000000000006"/>
    <n v="4.5049999999999999"/>
    <n v="1.2758261630000001"/>
    <n v="0"/>
    <n v="2.9000000000000001E-2"/>
    <s v=""/>
    <n v="-4.476"/>
  </r>
  <r>
    <s v="Belgium"/>
    <x v="20"/>
    <x v="3"/>
    <n v="114.2312941"/>
    <n v="1.909489829"/>
    <n v="0.23386240899999999"/>
    <n v="15.572405870000001"/>
    <n v="59.822939290000001"/>
    <n v="8.2467512000000003"/>
    <n v="16.589044560000001"/>
    <n v="21.538"/>
    <n v="35.094000000000001"/>
    <n v="0"/>
    <n v="23.25280081"/>
    <n v="0.122473765"/>
    <n v="95.188999999999993"/>
    <n v="85.918000000000006"/>
    <n v="5.7108947570000002"/>
    <n v="1.945602958"/>
    <n v="0"/>
    <n v="1.6E-2"/>
    <s v=""/>
    <n v="-5.6948947570000001"/>
  </r>
  <r>
    <s v="Belgium"/>
    <x v="21"/>
    <x v="3"/>
    <n v="105.61527390000001"/>
    <n v="1.886810369"/>
    <n v="0.21262023699999999"/>
    <n v="16.12204517"/>
    <n v="55.975563630000003"/>
    <n v="10.64261256"/>
    <n v="17.200096599999998"/>
    <n v="20.132000000000001"/>
    <n v="32.776000000000003"/>
    <n v="0"/>
    <n v="21.427112940000001"/>
    <n v="0.112687655"/>
    <n v="90.241"/>
    <n v="83.894000000000005"/>
    <n v="5.3725745060000003"/>
    <n v="3.8574483879999999"/>
    <n v="0"/>
    <n v="1.4E-2"/>
    <s v=""/>
    <n v="-5.3585745060000001"/>
  </r>
  <r>
    <s v="Belgium"/>
    <x v="22"/>
    <x v="3"/>
    <n v="99.159951120000002"/>
    <n v="1.8535705950000001"/>
    <n v="0.198159795"/>
    <n v="14.18560109"/>
    <n v="53.496722140000003"/>
    <n v="14.18183134"/>
    <n v="17.2949427"/>
    <n v="20.146999999999998"/>
    <n v="34.828000000000003"/>
    <n v="0"/>
    <n v="18.735523789999998"/>
    <n v="0.10690706699999999"/>
    <n v="82.923000000000002"/>
    <n v="84.415999999999997"/>
    <n v="5.1034936699999998"/>
    <n v="5.9078904530000003"/>
    <n v="0"/>
    <n v="0.02"/>
    <s v=""/>
    <n v="-5.0834936700000002"/>
  </r>
  <r>
    <s v="Belgium"/>
    <x v="23"/>
    <x v="3"/>
    <n v="100.21459"/>
    <n v="1.796622656"/>
    <n v="0.199351891"/>
    <n v="15.057826199999999"/>
    <n v="55.779431299999999"/>
    <n v="15.569902259999999"/>
    <n v="16.704046760000001"/>
    <n v="20.802"/>
    <n v="32.145000000000003"/>
    <n v="0"/>
    <n v="18.691041259999999"/>
    <n v="0.110959243"/>
    <n v="83.488"/>
    <n v="84.46"/>
    <n v="5.4453948030000001"/>
    <n v="7.5699501720000004"/>
    <n v="0"/>
    <n v="0.11600000000000001"/>
    <s v=""/>
    <n v="-5.3293948030000005"/>
  </r>
  <r>
    <s v="Belgium"/>
    <x v="24"/>
    <x v="3"/>
    <n v="93.480321279999998"/>
    <n v="1.776543083"/>
    <n v="0.183066006"/>
    <n v="12.71212965"/>
    <n v="52.6192256"/>
    <n v="18.497921430000002"/>
    <n v="17.059511669999999"/>
    <n v="20.75"/>
    <n v="35.25"/>
    <n v="0"/>
    <n v="16.503206939999998"/>
    <n v="0.10304619600000001"/>
    <n v="72.646000000000001"/>
    <n v="82.691000000000003"/>
    <n v="5.2026910910000002"/>
    <n v="10.33642596"/>
    <n v="0"/>
    <n v="0.126"/>
    <s v=""/>
    <n v="-5.0766910909999998"/>
  </r>
  <r>
    <s v="Belgium"/>
    <x v="25"/>
    <x v="3"/>
    <n v="99.540695999999997"/>
    <n v="1.8966596149999999"/>
    <n v="0.19105060800000001"/>
    <n v="10.746054669999999"/>
    <n v="52.482108660000002"/>
    <n v="22.360186179999999"/>
    <n v="16.74213379"/>
    <n v="21.138999999999999"/>
    <n v="35.203000000000003"/>
    <n v="0"/>
    <n v="18.51517797"/>
    <n v="0.100730045"/>
    <n v="69.825000000000003"/>
    <n v="83.162000000000006"/>
    <n v="5.062394716"/>
    <n v="12.37522377"/>
    <n v="0"/>
    <n v="0.106"/>
    <s v=""/>
    <n v="-4.9563947160000001"/>
  </r>
  <r>
    <s v="Belgium"/>
    <x v="26"/>
    <x v="3"/>
    <n v="96.331708280000001"/>
    <n v="1.7325556010000001"/>
    <n v="0.18213921199999999"/>
    <n v="15.40469369"/>
    <n v="55.600933240000003"/>
    <n v="18.029902230000001"/>
    <n v="16.695042950000001"/>
    <n v="20.797999999999998"/>
    <n v="33.631"/>
    <n v="0"/>
    <n v="17.68119574"/>
    <n v="0.10512748500000001"/>
    <n v="85.813000000000002"/>
    <n v="83.680999999999997"/>
    <n v="4.706761481"/>
    <n v="9.9565333900000006"/>
    <n v="0"/>
    <n v="0.107"/>
    <s v=""/>
    <n v="-4.5997614809999998"/>
  </r>
  <r>
    <s v="Belgium"/>
    <x v="27"/>
    <x v="3"/>
    <n v="95.823536450000006"/>
    <n v="1.7329605219999999"/>
    <n v="0.17768824699999999"/>
    <n v="15.134888719999999"/>
    <n v="55.294702460000003"/>
    <n v="19.585597320000002"/>
    <n v="16.921903690000001"/>
    <n v="20.148052"/>
    <n v="35.283200000000001"/>
    <n v="0"/>
    <n v="18.122903149999999"/>
    <n v="0.102534503"/>
    <n v="86.775499999999994"/>
    <n v="83.865499999999997"/>
    <n v="4.5666847559999999"/>
    <n v="11.33015655"/>
    <n v="0"/>
    <n v="9.0300000000000005E-2"/>
    <s v=""/>
    <n v="-4.4763847559999999"/>
  </r>
  <r>
    <s v="Belgium"/>
    <x v="28"/>
    <x v="3"/>
    <n v="97.755485530000001"/>
    <n v="1.835990945"/>
    <n v="0.17866505299999999"/>
    <n v="11.7556753"/>
    <n v="53.243991080000001"/>
    <n v="24.19095381"/>
    <n v="16.840797980000001"/>
    <n v="20.279081999999999"/>
    <n v="34.069600000000001"/>
    <n v="0"/>
    <n v="19.223246830000001"/>
    <n v="9.7312599999999999E-2"/>
    <n v="75.0946"/>
    <n v="84.384100000000004"/>
    <n v="4.5619511829999997"/>
    <n v="15.148759030000001"/>
    <n v="3.3500000000000002E-2"/>
    <n v="0.1167"/>
    <s v=""/>
    <n v="-4.4452511829999999"/>
  </r>
  <r>
    <s v="Belgium"/>
    <x v="29"/>
    <x v="3"/>
    <n v="98.667249139999996"/>
    <n v="1.7838984360000001"/>
    <n v="0.17783466000000001"/>
    <n v="15.88163022"/>
    <n v="55.309902829999999"/>
    <n v="21.135083460000001"/>
    <n v="16.594163439999999"/>
    <n v="19.36715534"/>
    <n v="35.039588610000003"/>
    <n v="0"/>
    <n v="19.306078880000001"/>
    <n v="9.9688781000000004E-2"/>
    <n v="93.823955069999997"/>
    <n v="83.025536639999999"/>
    <n v="4.4818621629999997"/>
    <n v="14.325368729999999"/>
    <n v="3.3500000000000002E-2"/>
    <n v="9.9401702999999994E-2"/>
    <s v=""/>
    <n v="-4.3824604599999999"/>
  </r>
  <r>
    <s v="Belgium"/>
    <x v="30"/>
    <x v="3"/>
    <n v="90.674572729999994"/>
    <n v="1.7653070710000001"/>
    <n v="0.174231256"/>
    <n v="13.86080896"/>
    <n v="51.36475927"/>
    <n v="27.194533270000001"/>
    <n v="17.017888939999999"/>
    <n v="18.207344339999999"/>
    <n v="27.443311380000001"/>
    <n v="0"/>
    <n v="19.426190470000002"/>
    <n v="9.8697422000000007E-2"/>
    <n v="91.010723330000005"/>
    <n v="81.722119050000003"/>
    <n v="3.6123981000000001"/>
    <n v="19.997472989999999"/>
    <n v="3.3500000000000002E-2"/>
    <n v="8.4824619000000004E-2"/>
    <s v=""/>
    <n v="-3.5275734810000001"/>
  </r>
  <r>
    <s v="Brazil"/>
    <x v="0"/>
    <x v="1"/>
    <n v="193.76575220000001"/>
    <n v="1.377371897"/>
    <n v="0.12628651599999999"/>
    <n v="104.5932097"/>
    <n v="140.6778754"/>
    <n v="94.500518349999993"/>
    <n v="15.86749271"/>
    <n v="57.32"/>
    <n v="61.121000000000002"/>
    <n v="3.9289981360000001"/>
    <n v="3.9719978189999998"/>
    <n v="9.1686578000000005E-2"/>
    <n v="222.821"/>
    <n v="215.79499999999999"/>
    <n v="15.374000000000001"/>
    <n v="0"/>
    <n v="32.723999999999997"/>
    <n v="4.5949999999999998"/>
    <s v=""/>
    <n v="-10.779"/>
  </r>
  <r>
    <s v="Brazil"/>
    <x v="1"/>
    <x v="1"/>
    <n v="198.99299569999999"/>
    <n v="1.388357541"/>
    <n v="0.12776168700000001"/>
    <n v="105.1985452"/>
    <n v="143.3297906"/>
    <n v="94.62575253"/>
    <n v="16.0958656"/>
    <n v="57.857999999999997"/>
    <n v="58.984999999999999"/>
    <n v="3.8429966950000001"/>
    <n v="3.9879966410000001"/>
    <n v="9.202362E-2"/>
    <n v="234.37700000000001"/>
    <n v="222.81399999999999"/>
    <n v="17.757000000000001"/>
    <n v="0"/>
    <n v="32.326999999999998"/>
    <n v="5.1879999999999997"/>
    <s v=""/>
    <n v="-12.569000000000003"/>
  </r>
  <r>
    <s v="Brazil"/>
    <x v="2"/>
    <x v="1"/>
    <n v="203.69165390000001"/>
    <n v="1.406763682"/>
    <n v="0.131391905"/>
    <n v="105.14134869999999"/>
    <n v="144.79450700000001"/>
    <n v="94.419439710000006"/>
    <n v="16.219633819999999"/>
    <n v="59.871000000000002"/>
    <n v="60.963999999999999"/>
    <n v="4.1389981760000003"/>
    <n v="4.2580018409999996"/>
    <n v="9.3400126E-2"/>
    <n v="241.732"/>
    <n v="227.97300000000001"/>
    <n v="17.023"/>
    <n v="0"/>
    <n v="32.781999999999996"/>
    <n v="4.7309999999999999"/>
    <s v=""/>
    <n v="-12.292"/>
  </r>
  <r>
    <s v="Brazil"/>
    <x v="3"/>
    <x v="1"/>
    <n v="211.1014213"/>
    <n v="1.422270184"/>
    <n v="0.13010211399999999"/>
    <n v="106.0514886"/>
    <n v="148.4256815"/>
    <n v="95.254706799999994"/>
    <n v="16.52883564"/>
    <n v="61.884"/>
    <n v="61.465000000000003"/>
    <n v="4.5160030139999998"/>
    <n v="4.6289949850000003"/>
    <n v="9.1474964000000006E-2"/>
    <n v="251.976"/>
    <n v="238.63499999999999"/>
    <n v="17.216000000000001"/>
    <n v="0"/>
    <n v="33.424999999999997"/>
    <n v="4.5949999999999998"/>
    <s v=""/>
    <n v="-12.621000000000002"/>
  </r>
  <r>
    <s v="Brazil"/>
    <x v="4"/>
    <x v="1"/>
    <n v="218.96601279999999"/>
    <n v="1.4014986389999999"/>
    <n v="0.12811472700000001"/>
    <n v="111.1030615"/>
    <n v="156.23705000000001"/>
    <n v="95.405339929999997"/>
    <n v="16.31579777"/>
    <n v="65.516999999999996"/>
    <n v="65.328000000000003"/>
    <n v="4.6859978130000002"/>
    <n v="4.678998912"/>
    <n v="9.1412666000000004E-2"/>
    <n v="260.041"/>
    <n v="247.666"/>
    <n v="17.895"/>
    <n v="0"/>
    <n v="34.752000000000002"/>
    <n v="5.1340000000000003"/>
    <s v=""/>
    <n v="-12.760999999999999"/>
  </r>
  <r>
    <s v="Brazil"/>
    <x v="5"/>
    <x v="1"/>
    <n v="235.72865970000001"/>
    <n v="1.458870737"/>
    <n v="0.132088387"/>
    <n v="112.48855159999999"/>
    <n v="161.58296540000001"/>
    <n v="94.157495800000007"/>
    <n v="16.59622409"/>
    <n v="69.986999999999995"/>
    <n v="64.272000000000006"/>
    <n v="5.0259976770000003"/>
    <n v="4.9839946829999997"/>
    <n v="9.0541528999999996E-2"/>
    <n v="275.601"/>
    <n v="262.35500000000002"/>
    <n v="18.774999999999999"/>
    <n v="0"/>
    <n v="36.073999999999998"/>
    <n v="5.1989999999999998"/>
    <s v=""/>
    <n v="-13.575999999999999"/>
  </r>
  <r>
    <s v="Brazil"/>
    <x v="6"/>
    <x v="1"/>
    <n v="254.2501101"/>
    <n v="1.4941877640000001"/>
    <n v="0.13938963600000001"/>
    <n v="119.04855070000001"/>
    <n v="170.15941119999999"/>
    <n v="93.561134039999999"/>
    <n v="16.572641170000001"/>
    <n v="75.311999999999998"/>
    <n v="68.822999999999993"/>
    <n v="5.6329979229999996"/>
    <n v="5.6950000379999999"/>
    <n v="9.3287897999999994E-2"/>
    <n v="291.27800000000002"/>
    <n v="274.892"/>
    <n v="19.216000000000001"/>
    <n v="6.8662900000000002E-4"/>
    <n v="40.683"/>
    <n v="4.8049999999999997"/>
    <s v=""/>
    <n v="-14.411000000000001"/>
  </r>
  <r>
    <s v="Brazil"/>
    <x v="7"/>
    <x v="1"/>
    <n v="271.27956940000001"/>
    <n v="1.5177982800000001"/>
    <n v="0.14384260200000001"/>
    <n v="126.75425130000001"/>
    <n v="178.73229470000001"/>
    <n v="92.977836370000006"/>
    <n v="16.691183729999999"/>
    <n v="81.463999999999999"/>
    <n v="74.587999999999994"/>
    <n v="6.25299637"/>
    <n v="6.2709972939999998"/>
    <n v="9.4770566000000001E-2"/>
    <n v="307.98200000000003"/>
    <n v="292.601"/>
    <n v="19.713000000000001"/>
    <n v="1.2987770000000001E-3"/>
    <n v="43.749000000000002"/>
    <n v="5.6470000000000002"/>
    <s v=""/>
    <n v="-14.066000000000001"/>
  </r>
  <r>
    <s v="Brazil"/>
    <x v="8"/>
    <x v="1"/>
    <n v="278.76724089999999"/>
    <n v="1.52335255"/>
    <n v="0.14731477800000001"/>
    <n v="133.88913640000001"/>
    <n v="182.99588030000001"/>
    <n v="92.923343729999999"/>
    <n v="16.84912121"/>
    <n v="84.879000000000005"/>
    <n v="80.010000000000005"/>
    <n v="6.5629985870000001"/>
    <n v="6.5429931740000002"/>
    <n v="9.6704322999999995E-2"/>
    <n v="321.74799999999999"/>
    <n v="304.71199999999999"/>
    <n v="18.954999999999998"/>
    <n v="1.5540110000000001E-3"/>
    <n v="50.576999999999998"/>
    <n v="5.516"/>
    <s v=""/>
    <n v="-13.438999999999998"/>
  </r>
  <r>
    <s v="Brazil"/>
    <x v="9"/>
    <x v="1"/>
    <n v="287.94857530000002"/>
    <n v="1.538787125"/>
    <n v="0.15145793299999999"/>
    <n v="141.78498669999999"/>
    <n v="187.12697199999999"/>
    <n v="90.036926829999999"/>
    <n v="16.954652750000001"/>
    <n v="86.558000000000007"/>
    <n v="82.879000000000005"/>
    <n v="6.9740072639999999"/>
    <n v="7.3649968289999999"/>
    <n v="9.8426825999999995E-2"/>
    <n v="334.71600000000001"/>
    <n v="313.06200000000001"/>
    <n v="20.396999999999998"/>
    <n v="5.9752099999999995E-4"/>
    <n v="56.774999999999999"/>
    <n v="5.66"/>
    <s v=""/>
    <n v="-14.736999999999998"/>
  </r>
  <r>
    <s v="Brazil"/>
    <x v="10"/>
    <x v="1"/>
    <n v="298.47811130000002"/>
    <n v="1.5887482040000001"/>
    <n v="0.150397014"/>
    <n v="147.96649650000001"/>
    <n v="187.86999130000001"/>
    <n v="89.492705860000001"/>
    <n v="17.608466709999998"/>
    <n v="87.659000000000006"/>
    <n v="85.028999999999996"/>
    <n v="7.3609994289999996"/>
    <n v="9.5720094049999993"/>
    <n v="9.4663844999999996E-2"/>
    <n v="348.91"/>
    <n v="328.89800000000002"/>
    <n v="22.027054679999999"/>
    <n v="5.7321399999999995E-4"/>
    <n v="64.096999999999994"/>
    <n v="6.806"/>
    <s v=""/>
    <n v="-15.221054679999998"/>
  </r>
  <r>
    <s v="Brazil"/>
    <x v="11"/>
    <x v="1"/>
    <n v="304.8355158"/>
    <n v="1.5946899080000001"/>
    <n v="0.15149475900000001"/>
    <n v="151.97588329999999"/>
    <n v="191.15660930000001"/>
    <n v="84.287445050000002"/>
    <n v="16.427596229999999"/>
    <n v="87.567999999999998"/>
    <n v="87.674000000000007"/>
    <n v="7.4789973520000004"/>
    <n v="12.178004359999999"/>
    <n v="9.4999509999999995E-2"/>
    <n v="328.50799999999998"/>
    <n v="306.76100000000002"/>
    <n v="21.476892500000002"/>
    <n v="1.0654231E-2"/>
    <n v="67.075999999999993"/>
    <n v="5.6539999999999999"/>
    <s v=""/>
    <n v="-15.822892500000002"/>
  </r>
  <r>
    <s v="Brazil"/>
    <x v="12"/>
    <x v="1"/>
    <n v="302.8308308"/>
    <n v="1.5428963339999999"/>
    <n v="0.14603923499999999"/>
    <n v="167.75047939999999"/>
    <n v="196.27425650000001"/>
    <n v="85.738173000000003"/>
    <n v="16.642411589999998"/>
    <n v="85.313000000000002"/>
    <n v="86.481999999999999"/>
    <n v="9.5970039099999997"/>
    <n v="15.015015549999999"/>
    <n v="9.4652655000000002E-2"/>
    <n v="345.67099999999999"/>
    <n v="321.12099999999998"/>
    <n v="20.033761930000001"/>
    <n v="1.7646838000000001E-2"/>
    <n v="75.406000000000006"/>
    <n v="5.1440000000000001"/>
    <s v=""/>
    <n v="-14.889761930000001"/>
  </r>
  <r>
    <s v="Brazil"/>
    <x v="13"/>
    <x v="1"/>
    <n v="297.88707299999999"/>
    <n v="1.4932869129999999"/>
    <n v="0.14203474899999999"/>
    <n v="178.7318142"/>
    <n v="199.48415170000001"/>
    <n v="87.163603129999998"/>
    <n v="17.327407229999999"/>
    <n v="82.391000000000005"/>
    <n v="87.111999999999995"/>
    <n v="10.36999084"/>
    <n v="15.460983369999999"/>
    <n v="9.5115511999999999E-2"/>
    <n v="364.339"/>
    <n v="339.09500000000003"/>
    <n v="20.770263889999999"/>
    <n v="1.6742648999999998E-2"/>
    <n v="77.936999999999998"/>
    <n v="4.6459999999999999"/>
    <s v=""/>
    <n v="-16.124263889999998"/>
  </r>
  <r>
    <s v="Brazil"/>
    <x v="14"/>
    <x v="1"/>
    <n v="314.75899620000001"/>
    <n v="1.4940681819999999"/>
    <n v="0.141905689"/>
    <n v="182.94062199999999"/>
    <n v="210.67244450000001"/>
    <n v="86.032112280000007"/>
    <n v="17.24959788"/>
    <n v="85.34"/>
    <n v="92.522000000000006"/>
    <n v="10.890989149999999"/>
    <n v="19.080996209999999"/>
    <n v="9.4979392999999995E-2"/>
    <n v="387.45299999999997"/>
    <n v="356.26799999999997"/>
    <n v="21.94226622"/>
    <n v="1.5743844999999999E-2"/>
    <n v="77.13"/>
    <n v="5.4059999999999997"/>
    <s v=""/>
    <n v="-16.536266220000002"/>
  </r>
  <r>
    <s v="Brazil"/>
    <x v="15"/>
    <x v="1"/>
    <n v="318.25041729999998"/>
    <n v="1.473241096"/>
    <n v="0.13902790200000001"/>
    <n v="195.23557020000001"/>
    <n v="216.02059439999999"/>
    <n v="87.124627509999996"/>
    <n v="17.6500111"/>
    <n v="86.510999999999996"/>
    <n v="92.617000000000004"/>
    <n v="11.192988420000001"/>
    <n v="20.294991979999999"/>
    <n v="9.4368736999999994E-2"/>
    <n v="403.03300000000002"/>
    <n v="371.31400000000002"/>
    <n v="21.450031150000001"/>
    <n v="2.3075034000000001E-2"/>
    <n v="85.094999999999999"/>
    <n v="6.2549999999999999"/>
    <s v=""/>
    <n v="-15.195031150000002"/>
  </r>
  <r>
    <s v="Brazil"/>
    <x v="16"/>
    <x v="1"/>
    <n v="322.16236040000001"/>
    <n v="1.440940173"/>
    <n v="0.13537336"/>
    <n v="206.91479509999999"/>
    <n v="223.57788790000001"/>
    <n v="86.747651649999995"/>
    <n v="17.762623640000001"/>
    <n v="88.122"/>
    <n v="93.576999999999998"/>
    <n v="11.3430023"/>
    <n v="20.923002"/>
    <n v="9.3947938999999994E-2"/>
    <n v="419.33699999999999"/>
    <n v="386.089"/>
    <n v="21.465"/>
    <n v="5.6517788999999999E-2"/>
    <n v="90.257000000000005"/>
    <n v="5.8819999999999997"/>
    <s v=""/>
    <n v="-15.583"/>
  </r>
  <r>
    <s v="Brazil"/>
    <x v="17"/>
    <x v="1"/>
    <n v="337.17981209999999"/>
    <n v="1.426621785"/>
    <n v="0.133575846"/>
    <n v="217.19289570000001"/>
    <n v="236.34842509999999"/>
    <n v="88.214679649999994"/>
    <n v="17.652589330000001"/>
    <n v="92.006"/>
    <n v="95.747"/>
    <n v="11.11301066"/>
    <n v="21.544002760000001"/>
    <n v="9.3630875000000002E-2"/>
    <n v="445.14699999999999"/>
    <n v="406.42200000000003"/>
    <n v="22.332999999999998"/>
    <n v="0.14489595599999999"/>
    <n v="92.204999999999998"/>
    <n v="5.9649999999999999"/>
    <s v=""/>
    <n v="-16.367999999999999"/>
  </r>
  <r>
    <s v="Brazil"/>
    <x v="18"/>
    <x v="1"/>
    <n v="355.3178719"/>
    <n v="1.422939782"/>
    <n v="0.133938272"/>
    <n v="229.1052205"/>
    <n v="249.70689300000001"/>
    <n v="84.266423649999993"/>
    <n v="17.664098259999999"/>
    <n v="95.2"/>
    <n v="96.302999999999997"/>
    <n v="14.26098404"/>
    <n v="25.842990740000001"/>
    <n v="9.4127856999999995E-2"/>
    <n v="463.06700000000001"/>
    <n v="422.56599999999997"/>
    <n v="22.079537850000001"/>
    <n v="0.18075138199999999"/>
    <n v="95.503"/>
    <n v="6.6120000000000001"/>
    <s v=""/>
    <n v="-15.467537850000001"/>
  </r>
  <r>
    <s v="Brazil"/>
    <x v="19"/>
    <x v="1"/>
    <n v="332.84100039999998"/>
    <n v="1.3779941899999999"/>
    <n v="0.12562358900000001"/>
    <n v="231.54199059999999"/>
    <n v="241.54020589999999"/>
    <n v="88.995775769999995"/>
    <n v="17.96211851"/>
    <n v="94.337000000000003"/>
    <n v="96.819000000000003"/>
    <n v="11.98400519"/>
    <n v="20.675013440000001"/>
    <n v="9.1164092000000002E-2"/>
    <n v="466.12099999999998"/>
    <n v="420.53199999999998"/>
    <n v="17.862062309999999"/>
    <n v="0.26559627200000002"/>
    <n v="102.121"/>
    <n v="5.7089999999999996"/>
    <s v=""/>
    <n v="-12.153062309999999"/>
  </r>
  <r>
    <s v="Brazil"/>
    <x v="20"/>
    <x v="1"/>
    <n v="376.96914149999998"/>
    <n v="1.411160083"/>
    <n v="0.13231762599999999"/>
    <n v="247.66010420000001"/>
    <n v="267.13421520000003"/>
    <n v="84.72423388"/>
    <n v="17.483483140000001"/>
    <n v="103.529"/>
    <n v="97.650999999999996"/>
    <n v="15.14600169"/>
    <n v="27.920010550000001"/>
    <n v="9.3765141999999996E-2"/>
    <n v="515.745"/>
    <n v="459.30799999999999"/>
    <n v="23.445906539999999"/>
    <n v="0.42210782499999999"/>
    <n v="107.44499999999999"/>
    <n v="5.415"/>
    <s v=""/>
    <n v="-18.03090654"/>
  </r>
  <r>
    <s v="Brazil"/>
    <x v="21"/>
    <x v="1"/>
    <n v="396.9225922"/>
    <n v="1.465153409"/>
    <n v="0.133995801"/>
    <n v="249.93660929999999"/>
    <n v="270.90855449999998"/>
    <n v="87.15860816"/>
    <n v="17.654667660000001"/>
    <n v="109.238"/>
    <n v="99.741"/>
    <n v="17.174994359999999"/>
    <n v="28.22503202"/>
    <n v="9.1455133999999993E-2"/>
    <n v="531.75699999999995"/>
    <n v="475.89299999999997"/>
    <n v="25.085622740000002"/>
    <n v="0.508691"/>
    <n v="110.509"/>
    <n v="5.5049999999999999"/>
    <s v=""/>
    <n v="-19.580622740000003"/>
  </r>
  <r>
    <s v="Brazil"/>
    <x v="22"/>
    <x v="1"/>
    <n v="429.85404419999998"/>
    <n v="1.5269930899999999"/>
    <n v="0.14237773200000001"/>
    <n v="251.3890044"/>
    <n v="281.5035949"/>
    <n v="82.522112680000006"/>
    <n v="17.740159869999999"/>
    <n v="115.8"/>
    <n v="105.348"/>
    <n v="19.709981710000001"/>
    <n v="33.07699332"/>
    <n v="9.3240587E-2"/>
    <n v="552.62400000000002"/>
    <n v="492.25599999999997"/>
    <n v="25.483577109999999"/>
    <n v="0.91382205599999999"/>
    <n v="108.863"/>
    <n v="6.6159999999999997"/>
    <s v=""/>
    <n v="-18.867577109999999"/>
  </r>
  <r>
    <s v="Brazil"/>
    <x v="23"/>
    <x v="1"/>
    <n v="461.63426850000002"/>
    <n v="1.569479751"/>
    <n v="0.14844358499999999"/>
    <n v="252.99366029999999"/>
    <n v="294.13203199999998"/>
    <n v="76.75355193"/>
    <n v="18.00065167"/>
    <n v="119.815"/>
    <n v="112.34"/>
    <n v="21.769989169999999"/>
    <n v="38.765973529999997"/>
    <n v="9.4581395999999998E-2"/>
    <n v="571.09799999999996"/>
    <n v="508.512"/>
    <n v="27.972456040000001"/>
    <n v="1.152866934"/>
    <n v="106.63500000000001"/>
    <n v="8.5939999999999994"/>
    <s v=""/>
    <n v="-19.378456040000003"/>
  </r>
  <r>
    <s v="Brazil"/>
    <x v="24"/>
    <x v="1"/>
    <n v="486.95850380000002"/>
    <n v="1.605630232"/>
    <n v="0.15580169999999999"/>
    <n v="266.92063710000002"/>
    <n v="303.2818479"/>
    <n v="73.199571320000004"/>
    <n v="18.183178609999999"/>
    <n v="123.595"/>
    <n v="114.723"/>
    <n v="23.38698836"/>
    <n v="42.41098899"/>
    <n v="9.7034607999999994E-2"/>
    <n v="590.65099999999995"/>
    <n v="522.39200000000005"/>
    <n v="29.551813079999999"/>
    <n v="2.070088766"/>
    <n v="118.256"/>
    <n v="7.9370000000000003"/>
    <s v=""/>
    <n v="-21.614813079999998"/>
  </r>
  <r>
    <s v="Brazil"/>
    <x v="25"/>
    <x v="1"/>
    <n v="462.79013420000001"/>
    <n v="1.556263102"/>
    <n v="0.15351224499999999"/>
    <n v="278.27735269999999"/>
    <n v="297.37268310000002"/>
    <n v="74.07762717"/>
    <n v="18.22663593"/>
    <n v="115.17100000000001"/>
    <n v="108.11"/>
    <n v="24.105973370000001"/>
    <n v="42.065983009999997"/>
    <n v="9.8641575999999995E-2"/>
    <n v="581.65200000000004"/>
    <n v="514.399"/>
    <n v="29.761439230000001"/>
    <n v="3.728174235"/>
    <n v="127.32899999999999"/>
    <n v="8.0289999999999999"/>
    <s v=""/>
    <n v="-21.732439230000001"/>
  </r>
  <r>
    <s v="Brazil"/>
    <x v="26"/>
    <x v="1"/>
    <n v="429.72855729999998"/>
    <n v="1.4991267370000001"/>
    <n v="0.14737320400000001"/>
    <n v="285.18574580000001"/>
    <n v="286.65258699999998"/>
    <n v="80.398832940000005"/>
    <n v="18.564057389999999"/>
    <n v="109.59399999999999"/>
    <n v="100.845"/>
    <n v="24.35097678"/>
    <n v="36.132036710000001"/>
    <n v="9.8306034E-2"/>
    <n v="578.88900000000001"/>
    <n v="513.85400000000004"/>
    <n v="26.74317185"/>
    <n v="5.799557428"/>
    <n v="131.91"/>
    <n v="7.0049999999999999"/>
    <s v=""/>
    <n v="-19.738171850000001"/>
  </r>
  <r>
    <s v="Brazil"/>
    <x v="27"/>
    <x v="1"/>
    <n v="436.43686609999997"/>
    <n v="1.494909391"/>
    <n v="0.14771964600000001"/>
    <n v="294.4493473"/>
    <n v="291.94870859999997"/>
    <n v="79.173739839999996"/>
    <n v="18.45435737"/>
    <n v="110.578372"/>
    <n v="97.520685"/>
    <n v="27.546852300000001"/>
    <n v="38.467952949999997"/>
    <n v="9.8815116999999994E-2"/>
    <n v="589.40138100000001"/>
    <n v="520.29717000000005"/>
    <n v="27.30787591"/>
    <n v="7.3303187589999999"/>
    <n v="137.781375"/>
    <n v="4.8188740000000001"/>
    <s v=""/>
    <n v="-22.489001909999999"/>
  </r>
  <r>
    <s v="Brazil"/>
    <x v="28"/>
    <x v="1"/>
    <n v="411.12593629999998"/>
    <n v="1.427227834"/>
    <n v="0.13734359900000001"/>
    <n v="296.8120083"/>
    <n v="288.05907960000002"/>
    <n v="82.281622159999998"/>
    <n v="19.11719162"/>
    <n v="103.703355"/>
    <n v="94.991287999999997"/>
    <n v="24.767113070000001"/>
    <n v="35.506213180000003"/>
    <n v="9.6231025999999997E-2"/>
    <n v="601.37115800000004"/>
    <n v="530.58203900000001"/>
    <n v="26.460442329999999"/>
    <n v="8.6363594779999993"/>
    <n v="135.69325499999999"/>
    <n v="4.8375409999999999"/>
    <s v=""/>
    <n v="-21.622901329999998"/>
  </r>
  <r>
    <s v="Brazil"/>
    <x v="29"/>
    <x v="1"/>
    <n v="413.0677743"/>
    <n v="1.411197034"/>
    <n v="0.136440969"/>
    <n v="312.15072040000001"/>
    <n v="292.7073714"/>
    <n v="82.229331479999999"/>
    <n v="19.18287144"/>
    <n v="104.84877"/>
    <n v="95.123681000000005"/>
    <n v="25.93593143"/>
    <n v="35.793087479999997"/>
    <n v="9.6684564000000001E-2"/>
    <n v="626.33493999999996"/>
    <n v="538.01425600000005"/>
    <n v="25.489554720000001"/>
    <n v="10.00107083"/>
    <n v="145.60913300000001"/>
    <n v="5.4096710000000003"/>
    <s v=""/>
    <n v="-20.079883720000002"/>
  </r>
  <r>
    <s v="Brazil"/>
    <x v="30"/>
    <x v="1"/>
    <n v="385.43708930000003"/>
    <n v="1.346575429"/>
    <n v="0.13317389199999999"/>
    <n v="323.98680960000002"/>
    <n v="286.23505310000002"/>
    <n v="84.100644599999995"/>
    <n v="19.13704886"/>
    <n v="100.3192547"/>
    <n v="97.757252339999994"/>
    <n v="23.848248850000001"/>
    <n v="33.084967239999997"/>
    <n v="9.8898204000000003E-2"/>
    <n v="613.97694779999995"/>
    <n v="529.50563009999996"/>
    <n v="22.545433599999999"/>
    <n v="10.60427988"/>
    <n v="155.97911110000001"/>
    <n v="5.5494661089999999"/>
    <s v=""/>
    <n v="-16.995967490999998"/>
  </r>
  <r>
    <s v="Canada"/>
    <x v="0"/>
    <x v="4"/>
    <n v="429.73180810000002"/>
    <n v="1.439730341"/>
    <n v="0.36726675600000003"/>
    <n v="276.260492"/>
    <n v="211.06460680000001"/>
    <n v="62.38737991"/>
    <n v="22.715223810000001"/>
    <n v="76.727000000000004"/>
    <n v="84.929000000000002"/>
    <n v="109.0709081"/>
    <n v="67.318932450000005"/>
    <n v="0.25509412799999998"/>
    <n v="482.15199999999999"/>
    <n v="441.31400000000002"/>
    <n v="49.372999999999998"/>
    <n v="5.3924899999999998E-3"/>
    <n v="91.61"/>
    <n v="68.331999999999994"/>
    <s v=""/>
    <n v="18.958999999999996"/>
  </r>
  <r>
    <s v="Canada"/>
    <x v="1"/>
    <x v="4"/>
    <n v="422.7696024"/>
    <n v="1.4077432540000001"/>
    <n v="0.36569405100000002"/>
    <n v="287.55615669999997"/>
    <n v="210.45236249999999"/>
    <n v="61.418835479999998"/>
    <n v="23.187014349999998"/>
    <n v="73.087000000000003"/>
    <n v="82.620999999999995"/>
    <n v="115.0511499"/>
    <n v="67.688930240000005"/>
    <n v="0.25977325800000001"/>
    <n v="508.572"/>
    <n v="446.077"/>
    <n v="51.485999999999997"/>
    <n v="6.2921280000000001E-3"/>
    <n v="91.995999999999995"/>
    <n v="71.134"/>
    <s v=""/>
    <n v="19.648000000000003"/>
  </r>
  <r>
    <s v="Canada"/>
    <x v="2"/>
    <x v="4"/>
    <n v="435.46855640000001"/>
    <n v="1.40398628"/>
    <n v="0.37020635699999999"/>
    <n v="296.56685429999999"/>
    <n v="215.54237130000001"/>
    <n v="61.687388300000002"/>
    <n v="22.9620772"/>
    <n v="74.858000000000004"/>
    <n v="81.555000000000007"/>
    <n v="126.1960375"/>
    <n v="70.833975710000004"/>
    <n v="0.26368231800000003"/>
    <n v="520.39"/>
    <n v="450.92700000000002"/>
    <n v="53.182000000000002"/>
    <n v="1.8063375999999999E-2"/>
    <n v="96.367000000000004"/>
    <n v="65.614000000000004"/>
    <s v=""/>
    <n v="12.432000000000002"/>
  </r>
  <r>
    <s v="Canada"/>
    <x v="3"/>
    <x v="4"/>
    <n v="435.14440919999998"/>
    <n v="1.323986391"/>
    <n v="0.35169102800000002"/>
    <n v="318.57881759999998"/>
    <n v="222.91243689999999"/>
    <n v="61.730311069999999"/>
    <n v="22.881634049999999"/>
    <n v="75.78"/>
    <n v="83.994"/>
    <n v="138.6459112"/>
    <n v="74.485951069999999"/>
    <n v="0.26563039500000002"/>
    <n v="532.22799999999995"/>
    <n v="460.21899999999999"/>
    <n v="50.198"/>
    <n v="1.7849493000000001E-2"/>
    <n v="101.316"/>
    <n v="69.003"/>
    <s v=""/>
    <n v="18.805"/>
  </r>
  <r>
    <s v="Canada"/>
    <x v="4"/>
    <x v="4"/>
    <n v="451.60131109999998"/>
    <n v="1.3155686289999999"/>
    <n v="0.34647378000000001"/>
    <n v="341.3176618"/>
    <n v="230.94400329999999"/>
    <n v="60.408360080000001"/>
    <n v="22.38861966"/>
    <n v="77.424000000000007"/>
    <n v="85.323999999999998"/>
    <n v="150.04996109999999"/>
    <n v="77.483910460000004"/>
    <n v="0.26336427699999998"/>
    <n v="555.78399999999999"/>
    <n v="466.762"/>
    <n v="52.375"/>
    <n v="1.7092970999999998E-2"/>
    <n v="105.28"/>
    <n v="72.822999999999993"/>
    <s v=""/>
    <n v="20.447999999999993"/>
  </r>
  <r>
    <s v="Canada"/>
    <x v="5"/>
    <x v="4"/>
    <n v="460.99646430000001"/>
    <n v="1.3130489590000001"/>
    <n v="0.34154148099999998"/>
    <n v="352.14253989999997"/>
    <n v="234.23798930000001"/>
    <n v="61.011826120000002"/>
    <n v="22.409494670000001"/>
    <n v="78.555999999999997"/>
    <n v="85.105999999999995"/>
    <n v="159.20483659999999"/>
    <n v="81.427040009999999"/>
    <n v="0.26011328700000003"/>
    <n v="560.11599999999999"/>
    <n v="475.82900000000001"/>
    <n v="53.204000000000001"/>
    <n v="1.7139306999999999E-2"/>
    <n v="110.277"/>
    <n v="74.980999999999995"/>
    <s v=""/>
    <n v="21.776999999999994"/>
  </r>
  <r>
    <s v="Canada"/>
    <x v="6"/>
    <x v="4"/>
    <n v="476.21240360000002"/>
    <n v="1.319651388"/>
    <n v="0.34458564699999999"/>
    <n v="360.93902709999998"/>
    <n v="238.95075829999999"/>
    <n v="63.113220720000001"/>
    <n v="22.033301179999999"/>
    <n v="80.734999999999999"/>
    <n v="88.947999999999993"/>
    <n v="165.11392420000001"/>
    <n v="85.251076119999993"/>
    <n v="0.26111869399999998"/>
    <n v="573.04"/>
    <n v="483.60399999999998"/>
    <n v="54.002000000000002"/>
    <n v="1.7450789000000001E-2"/>
    <n v="113.486"/>
    <n v="75.853999999999999"/>
    <s v=""/>
    <n v="21.851999999999997"/>
  </r>
  <r>
    <s v="Canada"/>
    <x v="7"/>
    <x v="4"/>
    <n v="492.88718890000001"/>
    <n v="1.3691241949999999"/>
    <n v="0.34651313"/>
    <n v="367.39508110000003"/>
    <n v="241.51743490000001"/>
    <n v="62.358225660000002"/>
    <n v="22.012878099999998"/>
    <n v="84.153999999999996"/>
    <n v="91.402000000000001"/>
    <n v="168.01587610000001"/>
    <n v="85.835991609999994"/>
    <n v="0.25309108699999999"/>
    <n v="573.71100000000001"/>
    <n v="489.78699999999998"/>
    <n v="57.253999999999998"/>
    <n v="1.7604682E-2"/>
    <n v="118.985"/>
    <n v="78.674000000000007"/>
    <s v=""/>
    <n v="21.420000000000009"/>
  </r>
  <r>
    <s v="Canada"/>
    <x v="8"/>
    <x v="4"/>
    <n v="497.76383170000003"/>
    <n v="1.4177826019999999"/>
    <n v="0.347325565"/>
    <n v="368.3087127"/>
    <n v="240.3129931"/>
    <n v="60.413877810000002"/>
    <n v="22.422185840000001"/>
    <n v="84.504000000000005"/>
    <n v="90.96"/>
    <n v="173.0260414"/>
    <n v="83.001089870000001"/>
    <n v="0.24497801299999999"/>
    <n v="561.76"/>
    <n v="487.53199999999998"/>
    <n v="59.691000000000003"/>
    <n v="1.8513244000000002E-2"/>
    <n v="124.684"/>
    <n v="75.138000000000005"/>
    <s v=""/>
    <n v="15.447000000000003"/>
  </r>
  <r>
    <s v="Canada"/>
    <x v="9"/>
    <x v="4"/>
    <n v="509.0674042"/>
    <n v="1.3951298569999999"/>
    <n v="0.33795578199999998"/>
    <n v="366.92287920000001"/>
    <n v="247.0617153"/>
    <n v="61.191145589999998"/>
    <n v="22.113790259999998"/>
    <n v="87.108000000000004"/>
    <n v="92.813999999999993"/>
    <n v="176.24106019999999"/>
    <n v="86.928971750000002"/>
    <n v="0.24223966"/>
    <n v="579.05600000000004"/>
    <n v="497.50200000000001"/>
    <n v="59.496031610000003"/>
    <n v="3.6093227999999998E-2"/>
    <n v="119.858"/>
    <n v="72.478999999999999"/>
    <s v=""/>
    <n v="12.982968389999996"/>
  </r>
  <r>
    <s v="Canada"/>
    <x v="10"/>
    <x v="4"/>
    <n v="529.71661879999999"/>
    <n v="1.404045207"/>
    <n v="0.33353879600000003"/>
    <n v="375.14861309999998"/>
    <n v="254.19938239999999"/>
    <n v="60.607521460000001"/>
    <n v="22.281394890000001"/>
    <n v="87.347999999999999"/>
    <n v="94.563999999999993"/>
    <n v="181.67286129999999"/>
    <n v="91.537036060000005"/>
    <n v="0.23755559600000001"/>
    <n v="605.70699999999999"/>
    <n v="513.66700000000003"/>
    <n v="63.573968389999997"/>
    <n v="5.1510054E-2"/>
    <n v="124.806"/>
    <n v="69.162999999999997"/>
    <s v=""/>
    <n v="5.5890316099999993"/>
  </r>
  <r>
    <s v="Canada"/>
    <x v="11"/>
    <x v="4"/>
    <n v="523.50585520000004"/>
    <n v="1.4315095280000001"/>
    <n v="0.330042638"/>
    <n v="379.35462840000002"/>
    <n v="250.1765858"/>
    <n v="58.040553250000002"/>
    <n v="23.017773720000001"/>
    <n v="88.745999999999995"/>
    <n v="97.433999999999997"/>
    <n v="186.00288789999999"/>
    <n v="87.173018709999994"/>
    <n v="0.23055566999999999"/>
    <n v="589.89099999999996"/>
    <n v="514.11300000000006"/>
    <n v="63.053968390000001"/>
    <n v="6.5774863000000003E-2"/>
    <n v="126.57899999999999"/>
    <n v="70.355000000000004"/>
    <s v=""/>
    <n v="7.3010316100000026"/>
  </r>
  <r>
    <s v="Canada"/>
    <x v="12"/>
    <x v="4"/>
    <n v="530.29162650000001"/>
    <n v="1.4216157810000001"/>
    <n v="0.31793714099999998"/>
    <n v="386.77447740000002"/>
    <n v="250.98249319999999"/>
    <n v="59.893824559999999"/>
    <n v="22.84579613"/>
    <n v="89.462999999999994"/>
    <n v="99.915999999999997"/>
    <n v="187.27923340000001"/>
    <n v="91.273112960000006"/>
    <n v="0.223644915"/>
    <n v="601.26900000000001"/>
    <n v="523.851"/>
    <n v="62.44196839"/>
    <n v="7.6837488999999995E-2"/>
    <n v="132.852"/>
    <n v="66.507999999999996"/>
    <s v=""/>
    <n v="4.066031609999996"/>
  </r>
  <r>
    <s v="Canada"/>
    <x v="13"/>
    <x v="4"/>
    <n v="551.76613540000005"/>
    <n v="1.4000480479999999"/>
    <n v="0.31753701899999998"/>
    <n v="388.52733330000001"/>
    <n v="264.2284492"/>
    <n v="58.923298959999997"/>
    <n v="22.444768029999999"/>
    <n v="95.941999999999993"/>
    <n v="104.646"/>
    <n v="184.08806279999999"/>
    <n v="95.370888109999996"/>
    <n v="0.226804373"/>
    <n v="589.65300000000002"/>
    <n v="534.90300000000002"/>
    <n v="62.755031610000003"/>
    <n v="0.14957949800000001"/>
    <n v="140.42599999999999"/>
    <n v="62.154000000000003"/>
    <s v="Above Average"/>
    <n v="-0.60103160999999972"/>
  </r>
  <r>
    <s v="Canada"/>
    <x v="14"/>
    <x v="4"/>
    <n v="545.13363019999997"/>
    <n v="1.3600959850000001"/>
    <n v="0.30425038100000001"/>
    <n v="400.77175039999997"/>
    <n v="270.80950719999998"/>
    <n v="58.454004830000002"/>
    <n v="22.12020755"/>
    <n v="99.031000000000006"/>
    <n v="107.08499999999999"/>
    <n v="183.6351836"/>
    <n v="92.753011009999994"/>
    <n v="0.22369772700000001"/>
    <n v="599.976"/>
    <n v="541.92899999999997"/>
    <n v="59.963000000000001"/>
    <n v="0.16633998699999999"/>
    <n v="145.41900000000001"/>
    <n v="65.997"/>
    <s v=""/>
    <n v="6.0339999999999989"/>
  </r>
  <r>
    <s v="Canada"/>
    <x v="15"/>
    <x v="4"/>
    <n v="555.28303430000005"/>
    <n v="1.3828855090000001"/>
    <n v="0.29839718100000001"/>
    <n v="402.31589339999999"/>
    <n v="274.27296719999998"/>
    <n v="59.842778439999996"/>
    <n v="22.243613379999999"/>
    <n v="102.447"/>
    <n v="102.672"/>
    <n v="187.98980660000001"/>
    <n v="98.567013130000007"/>
    <n v="0.21577866000000001"/>
    <n v="620.78"/>
    <n v="535.09"/>
    <n v="59.473999999999997"/>
    <n v="0.25967331399999999"/>
    <n v="139.57"/>
    <n v="70.028000000000006"/>
    <s v="Above Average"/>
    <n v="10.554000000000009"/>
  </r>
  <r>
    <s v="Canada"/>
    <x v="16"/>
    <x v="4"/>
    <n v="548.10995270000001"/>
    <n v="1.3382099249999999"/>
    <n v="0.28143310999999999"/>
    <n v="419.09861940000002"/>
    <n v="278.45221950000001"/>
    <n v="59.542797"/>
    <n v="22.222058870000001"/>
    <n v="101.86799999999999"/>
    <n v="101.146"/>
    <n v="188.32409390000001"/>
    <n v="98.123877890000003"/>
    <n v="0.21030565100000001"/>
    <n v="609.92600000000004"/>
    <n v="526.31600000000003"/>
    <n v="59.131999999999998"/>
    <n v="0.41201719599999997"/>
    <n v="155.24"/>
    <n v="69.903000000000006"/>
    <s v=""/>
    <n v="10.771000000000008"/>
  </r>
  <r>
    <s v="Canada"/>
    <x v="17"/>
    <x v="4"/>
    <n v="579.63048500000002"/>
    <n v="1.4120766490000001"/>
    <n v="0.27764857300000001"/>
    <n v="421.72002170000002"/>
    <n v="278.21918299999999"/>
    <n v="60.279920709999999"/>
    <n v="21.901030500000001"/>
    <n v="105.515"/>
    <n v="102.994"/>
    <n v="183.03209810000001"/>
    <n v="98.240084890000006"/>
    <n v="0.19662429300000001"/>
    <n v="628.03499999999997"/>
    <n v="538.28800000000001"/>
    <n v="63.752000000000002"/>
    <n v="0.48659708499999998"/>
    <n v="159.16"/>
    <n v="74.051000000000002"/>
    <s v="Above Average"/>
    <n v="10.298999999999999"/>
  </r>
  <r>
    <s v="Canada"/>
    <x v="18"/>
    <x v="4"/>
    <n v="557.98323770000002"/>
    <n v="1.3763125169999999"/>
    <n v="0.26123835000000001"/>
    <n v="409.30592239999999"/>
    <n v="271.28383689999998"/>
    <n v="61.369300109999998"/>
    <n v="22.152656830000002"/>
    <n v="101.732"/>
    <n v="99.227000000000004"/>
    <n v="174.08204660000001"/>
    <n v="96.476117000000002"/>
    <n v="0.18981034199999999"/>
    <n v="633.21400000000006"/>
    <n v="531.00599999999997"/>
    <n v="58.469000000000001"/>
    <n v="0.60611420500000002"/>
    <n v="156.66"/>
    <n v="67.75"/>
    <s v="Above Average"/>
    <n v="9.2809999999999988"/>
  </r>
  <r>
    <s v="Canada"/>
    <x v="19"/>
    <x v="4"/>
    <n v="530.75722370000005"/>
    <n v="1.3450662849999999"/>
    <n v="0.25308858200000001"/>
    <n v="393.50438830000002"/>
    <n v="261.0508423"/>
    <n v="63.005422279999998"/>
    <n v="22.561384350000001"/>
    <n v="98.995999999999995"/>
    <n v="95.897999999999996"/>
    <n v="162.0939836"/>
    <n v="93.9819703"/>
    <n v="0.188160676"/>
    <n v="608.6"/>
    <n v="516.42100000000005"/>
    <n v="49.524999999999999"/>
    <n v="1.432467959"/>
    <n v="155.84"/>
    <n v="62.936"/>
    <s v=""/>
    <n v="13.411000000000001"/>
  </r>
  <r>
    <s v="Canada"/>
    <x v="20"/>
    <x v="4"/>
    <n v="546.20615669999995"/>
    <n v="1.3872318589999999"/>
    <n v="0.25367985399999998"/>
    <n v="399.41951060000002"/>
    <n v="261.54569120000002"/>
    <n v="61.280544429999999"/>
    <n v="22.25648808"/>
    <n v="103.33"/>
    <n v="98.045000000000002"/>
    <n v="156.30390370000001"/>
    <n v="97.361978550000003"/>
    <n v="0.18286766700000001"/>
    <n v="603.05600000000004"/>
    <n v="520.09400000000005"/>
    <n v="50.837000000000003"/>
    <n v="1.992020642"/>
    <n v="163.78"/>
    <n v="67.894000000000005"/>
    <s v=""/>
    <n v="17.057000000000002"/>
  </r>
  <r>
    <s v="Canada"/>
    <x v="21"/>
    <x v="4"/>
    <n v="558.53762280000001"/>
    <n v="1.338528562"/>
    <n v="0.242507798"/>
    <n v="414.2859808"/>
    <n v="267.27898349999998"/>
    <n v="62.483975880000003"/>
    <n v="21.87651455"/>
    <n v="103.81"/>
    <n v="93.97"/>
    <n v="157.73696129999999"/>
    <n v="107.5090828"/>
    <n v="0.18117491399999999"/>
    <n v="633.41999999999996"/>
    <n v="529.90700000000004"/>
    <n v="48.530999999999999"/>
    <n v="2.1028701339999998"/>
    <n v="174.21799999999999"/>
    <n v="67.507000000000005"/>
    <s v="Above Average"/>
    <n v="18.976000000000006"/>
  </r>
  <r>
    <s v="Canada"/>
    <x v="22"/>
    <x v="4"/>
    <n v="559.86969079999994"/>
    <n v="1.3178882999999999"/>
    <n v="0.23649498199999999"/>
    <n v="427.93779990000002"/>
    <n v="269.39956869999997"/>
    <n v="63.64487785"/>
    <n v="21.640169480000001"/>
    <n v="106.46"/>
    <n v="96.667000000000002"/>
    <n v="156.28215349999999"/>
    <n v="106.6410771"/>
    <n v="0.179449945"/>
    <n v="632.09799999999996"/>
    <n v="527.178"/>
    <n v="44.353999999999999"/>
    <n v="2.3681454460000002"/>
    <n v="187.57499999999999"/>
    <n v="66.582999999999998"/>
    <s v="Above Average"/>
    <n v="22.228999999999999"/>
  </r>
  <r>
    <s v="Canada"/>
    <x v="23"/>
    <x v="4"/>
    <n v="567.99161170000002"/>
    <n v="1.2860062969999999"/>
    <n v="0.23015449399999999"/>
    <n v="448.770332"/>
    <n v="274.93729000000002"/>
    <n v="64.066474580000005"/>
    <n v="21.954848210000002"/>
    <n v="104.70699999999999"/>
    <n v="94.715000000000003"/>
    <n v="157.45603600000001"/>
    <n v="111.41004220000001"/>
    <n v="0.178968404"/>
    <n v="657.69500000000005"/>
    <n v="538.89099999999996"/>
    <n v="42.84"/>
    <n v="3.3559628699999999"/>
    <n v="200.22800000000001"/>
    <n v="70.147000000000006"/>
    <s v="Above Average"/>
    <n v="27.307000000000002"/>
  </r>
  <r>
    <s v="Canada"/>
    <x v="24"/>
    <x v="4"/>
    <n v="570.18967290000001"/>
    <n v="1.225613069"/>
    <n v="0.21872535600000001"/>
    <n v="470.01671470000002"/>
    <n v="282.02346540000002"/>
    <n v="63.151942579999996"/>
    <n v="22.210623139999999"/>
    <n v="102.623"/>
    <n v="91.308000000000007"/>
    <n v="164.102"/>
    <n v="115.5810656"/>
    <n v="0.17846199700000001"/>
    <n v="658.76199999999994"/>
    <n v="546.96400000000006"/>
    <n v="42.07"/>
    <n v="4.0887300719999997"/>
    <n v="215.66800000000001"/>
    <n v="67.444999999999993"/>
    <s v="Above Average"/>
    <n v="25.374999999999993"/>
  </r>
  <r>
    <s v="Canada"/>
    <x v="25"/>
    <x v="4"/>
    <n v="570.1871903"/>
    <n v="1.2160365390000001"/>
    <n v="0.21624505099999999"/>
    <n v="473.40994849999998"/>
    <n v="282.95996009999999"/>
    <n v="64.032349260000004"/>
    <n v="22.133104459999998"/>
    <n v="104.977"/>
    <n v="90.316999999999993"/>
    <n v="164.9660677"/>
    <n v="114.9399208"/>
    <n v="0.177827757"/>
    <n v="657.94399999999996"/>
    <n v="544.89800000000002"/>
    <n v="38.847999999999999"/>
    <n v="4.5616344250000003"/>
    <n v="221.99199999999999"/>
    <n v="62.344000000000001"/>
    <s v="Above Average"/>
    <n v="23.496000000000002"/>
  </r>
  <r>
    <s v="Canada"/>
    <x v="26"/>
    <x v="4"/>
    <n v="561.10420910000005"/>
    <n v="1.1925881190000001"/>
    <n v="0.21297443799999999"/>
    <n v="479.99256530000002"/>
    <n v="287.30559720000002"/>
    <n v="64.801117189999999"/>
    <n v="22.214952709999999"/>
    <n v="105.41500000000001"/>
    <n v="92.055000000000007"/>
    <n v="176.9780682"/>
    <n v="112.0890919"/>
    <n v="0.17858172"/>
    <n v="663.80799999999999"/>
    <n v="540.77300000000002"/>
    <n v="38.804000000000002"/>
    <n v="5.2965616559999997"/>
    <n v="220.84700000000001"/>
    <n v="59.26"/>
    <s v="Above Average"/>
    <n v="20.455999999999996"/>
  </r>
  <r>
    <s v="Canada"/>
    <x v="27"/>
    <x v="4"/>
    <n v="572.02484930000003"/>
    <n v="1.1781492499999999"/>
    <n v="0.209899116"/>
    <n v="509.42890199999999"/>
    <n v="295.16456829999998"/>
    <n v="66.543685100000005"/>
    <n v="22.561470620000001"/>
    <n v="104.964"/>
    <n v="96.275000000000006"/>
    <n v="181.05800669999999"/>
    <n v="114.4149788"/>
    <n v="0.17816003899999999"/>
    <n v="662.97199999999998"/>
    <n v="560.51400000000001"/>
    <n v="38.960999999999999"/>
    <n v="5.323754246"/>
    <n v="243.678"/>
    <n v="61.709000000000003"/>
    <s v="Above Average"/>
    <n v="22.748000000000005"/>
  </r>
  <r>
    <s v="Canada"/>
    <x v="28"/>
    <x v="4"/>
    <n v="582.05988160000004"/>
    <n v="1.1498119920000001"/>
    <n v="0.20302298999999999"/>
    <n v="530.17840439999998"/>
    <n v="298.08052459999999"/>
    <n v="66.260950890000004"/>
    <n v="22.354684930000001"/>
    <n v="107.7296"/>
    <n v="93.748999999999995"/>
    <n v="183.22805500000001"/>
    <n v="121.80990130000001"/>
    <n v="0.176570598"/>
    <n v="654.399"/>
    <n v="571.99400000000003"/>
    <n v="31.841999999999999"/>
    <n v="5.685980571"/>
    <n v="261.60700000000003"/>
    <n v="60.286999999999999"/>
    <s v="Above Average"/>
    <n v="28.445"/>
  </r>
  <r>
    <s v="Canada"/>
    <x v="29"/>
    <x v="4"/>
    <n v="579.55682549999995"/>
    <n v="1.1230941059999999"/>
    <n v="0.19706299999999999"/>
    <n v="527.35172820000003"/>
    <n v="301.1183168"/>
    <n v="65.984150619999994"/>
    <n v="22.56463819"/>
    <n v="105.4665234"/>
    <n v="102.2486418"/>
    <n v="176.08659069999999"/>
    <n v="122.8654782"/>
    <n v="0.17546437000000001"/>
    <n v="653.29729980000002"/>
    <n v="575.46065229999999"/>
    <n v="30.626683450000002"/>
    <n v="5.9033033909999997"/>
    <n v="266.95535469999999"/>
    <n v="57.196463129999998"/>
    <s v="Above Average"/>
    <n v="26.569779679999996"/>
  </r>
  <r>
    <s v="Canada"/>
    <x v="30"/>
    <x v="4"/>
    <n v="515.56875749999995"/>
    <n v="1.0167671060000001"/>
    <n v="0.175872003"/>
    <n v="504.33040920000002"/>
    <n v="280.81130639999998"/>
    <n v="67.723029740000001"/>
    <n v="24.03373474"/>
    <n v="89.223369640000001"/>
    <n v="90.500378740000002"/>
    <n v="172.01189629999999"/>
    <n v="117.15845969999999"/>
    <n v="0.172971767"/>
    <n v="648.35920520000002"/>
    <n v="555.84020120000002"/>
    <n v="27.85305378"/>
    <n v="6.5275766590000002"/>
    <n v="254.9965378"/>
    <n v="45.22610822"/>
    <s v=""/>
    <n v="17.373054440000001"/>
  </r>
  <r>
    <s v="Chile"/>
    <x v="0"/>
    <x v="1"/>
    <n v="30.954349619999999"/>
    <n v="2.2093639760000001"/>
    <n v="0.255029956"/>
    <n v="7.9288174360000001"/>
    <n v="14.01052518"/>
    <n v="53.837361199999997"/>
    <n v="11.83773422"/>
    <n v="6.2140000000000004"/>
    <n v="6.3449999999999998"/>
    <n v="1.679001162"/>
    <n v="1.36000041"/>
    <n v="0.11543139099999999"/>
    <n v="18.372"/>
    <n v="15.811"/>
    <n v="3.7413296890000001"/>
    <n v="0"/>
    <n v="1.1020000000000001"/>
    <n v="2.1829999999999998"/>
    <s v=""/>
    <n v="-1.5583296890000002"/>
  </r>
  <r>
    <s v="Chile"/>
    <x v="1"/>
    <x v="1"/>
    <n v="29.465361290000001"/>
    <n v="2.0567268869999999"/>
    <n v="0.225187785"/>
    <n v="8.3496376639999994"/>
    <n v="14.32633641"/>
    <n v="70.973398130000007"/>
    <n v="12.207029049999999"/>
    <n v="6.54"/>
    <n v="6.4770000000000003"/>
    <n v="1.4730003250000001"/>
    <n v="1.14299968"/>
    <n v="0.109488424"/>
    <n v="19.960999999999999"/>
    <n v="17.271999999999998"/>
    <n v="2.976548223"/>
    <n v="0"/>
    <n v="1.0049999999999999"/>
    <n v="2.2080000000000002"/>
    <s v=""/>
    <n v="-0.76854822299999981"/>
  </r>
  <r>
    <s v="Chile"/>
    <x v="2"/>
    <x v="1"/>
    <n v="30.607020609999999"/>
    <n v="1.975605104"/>
    <n v="0.210416295"/>
    <n v="8.631507719"/>
    <n v="15.49247901"/>
    <n v="82.694629520000007"/>
    <n v="12.47933587"/>
    <n v="7.085"/>
    <n v="6.7190000000000003"/>
    <n v="1.6859983220000001"/>
    <n v="1.3579985020000001"/>
    <n v="0.106507264"/>
    <n v="22.363"/>
    <n v="19.613"/>
    <n v="2.6494481410000001"/>
    <n v="0"/>
    <n v="0.86599999999999999"/>
    <n v="1.6259999999999999"/>
    <s v=""/>
    <n v="-1.0234481410000003"/>
  </r>
  <r>
    <s v="Chile"/>
    <x v="3"/>
    <x v="1"/>
    <n v="32.402555489999997"/>
    <n v="2.0408041969999999"/>
    <n v="0.20899027100000001"/>
    <n v="8.2315696230000004"/>
    <n v="15.877346559999999"/>
    <n v="81.664791899999997"/>
    <n v="12.83237849"/>
    <n v="7.6609999999999996"/>
    <n v="7.14"/>
    <n v="1.611998577"/>
    <n v="1.2740005729999999"/>
    <n v="0.102405842"/>
    <n v="24.003"/>
    <n v="20.648"/>
    <n v="2.6727755439999998"/>
    <n v="0"/>
    <n v="0.85"/>
    <n v="1.355"/>
    <s v=""/>
    <n v="-1.3177755439999999"/>
  </r>
  <r>
    <s v="Chile"/>
    <x v="4"/>
    <x v="1"/>
    <n v="35.629929750000002"/>
    <n v="2.0871645559999998"/>
    <n v="0.21880013700000001"/>
    <n v="8.3172673879999994"/>
    <n v="17.070972980000001"/>
    <n v="74.265142220000001"/>
    <n v="12.88267538"/>
    <n v="8.3209999999999997"/>
    <n v="7.6950000000000003"/>
    <n v="1.768001044"/>
    <n v="1.3679988139999999"/>
    <n v="0.104831282"/>
    <n v="25.277000000000001"/>
    <n v="21.957000000000001"/>
    <n v="3.1750332229999998"/>
    <n v="0"/>
    <n v="0.84"/>
    <n v="1.1819999999999999"/>
    <s v=""/>
    <n v="-1.9930332229999999"/>
  </r>
  <r>
    <s v="Chile"/>
    <x v="5"/>
    <x v="1"/>
    <n v="38.789704129999997"/>
    <n v="2.1146074490000002"/>
    <n v="0.21866961800000001"/>
    <n v="8.303657673"/>
    <n v="18.343690290000001"/>
    <n v="72.405180720000004"/>
    <n v="13.49644692"/>
    <n v="9.0120000000000005"/>
    <n v="8.1259999999999994"/>
    <n v="1.7040008799999999"/>
    <n v="1.3589989149999999"/>
    <n v="0.103409083"/>
    <n v="28.027000000000001"/>
    <n v="24.481000000000002"/>
    <n v="3.5159000379999998"/>
    <n v="0"/>
    <n v="0.63500000000000001"/>
    <n v="1.038"/>
    <s v=""/>
    <n v="-2.4779000379999996"/>
  </r>
  <r>
    <s v="Chile"/>
    <x v="6"/>
    <x v="1"/>
    <n v="44.738846240000001"/>
    <n v="2.201966144"/>
    <n v="0.23614222300000001"/>
    <n v="8.3307932010000005"/>
    <n v="20.31768125"/>
    <n v="60.45293333"/>
    <n v="13.914608729999999"/>
    <n v="9.952"/>
    <n v="8.5779999999999994"/>
    <n v="1.723998557"/>
    <n v="1.3950015600000001"/>
    <n v="0.107241532"/>
    <n v="30.733000000000001"/>
    <n v="27.242000000000001"/>
    <n v="4.7893147389999999"/>
    <n v="0"/>
    <n v="0.56399999999999995"/>
    <n v="1.004"/>
    <s v=""/>
    <n v="-3.7853147389999999"/>
  </r>
  <r>
    <s v="Chile"/>
    <x v="7"/>
    <x v="1"/>
    <n v="51.941810169999997"/>
    <n v="2.2830700460000002"/>
    <n v="0.25520483700000002"/>
    <n v="8.3642610879999992"/>
    <n v="22.750861400000002"/>
    <n v="62.13472685"/>
    <n v="13.52887791"/>
    <n v="10.473000000000001"/>
    <n v="8.923"/>
    <n v="1.700999806"/>
    <n v="2.3510001429999998"/>
    <n v="0.111781431"/>
    <n v="33.296999999999997"/>
    <n v="29.652999999999999"/>
    <n v="6.2284669680000002"/>
    <n v="0"/>
    <n v="0.441"/>
    <n v="1.044"/>
    <s v=""/>
    <n v="-5.1844669680000006"/>
  </r>
  <r>
    <s v="Chile"/>
    <x v="8"/>
    <x v="1"/>
    <n v="53.036066470000002"/>
    <n v="2.2512926969999998"/>
    <n v="0.249779323"/>
    <n v="8.108323317"/>
    <n v="23.55805024"/>
    <n v="48.170886250000002"/>
    <n v="14.229044780000001"/>
    <n v="10.644"/>
    <n v="9.8059999999999992"/>
    <n v="1.5010016909999999"/>
    <n v="3.3480033219999998"/>
    <n v="0.11094928900000001"/>
    <n v="35.509"/>
    <n v="31.251999999999999"/>
    <n v="5.8894261109999997"/>
    <n v="0"/>
    <n v="0.42199999999999999"/>
    <n v="0.94099999999999995"/>
    <s v=""/>
    <n v="-4.9484261109999998"/>
  </r>
  <r>
    <s v="Chile"/>
    <x v="9"/>
    <x v="1"/>
    <n v="56.682648370000003"/>
    <n v="2.2645235100000001"/>
    <n v="0.26805796799999998"/>
    <n v="7.9593659209999998"/>
    <n v="25.030717549999999"/>
    <n v="38.030737170000002"/>
    <n v="15.04648151"/>
    <n v="10.881"/>
    <n v="9.8970000000000002"/>
    <n v="1.7590019189999999"/>
    <n v="4.6960055650000001"/>
    <n v="0.118372791"/>
    <n v="38.39"/>
    <n v="35.06"/>
    <n v="6.1472304019999999"/>
    <n v="0"/>
    <n v="0.41899999999999998"/>
    <n v="0.48499999999999999"/>
    <s v=""/>
    <n v="-5.6622304019999996"/>
  </r>
  <r>
    <s v="Chile"/>
    <x v="10"/>
    <x v="1"/>
    <n v="52.743338979999997"/>
    <n v="2.095432797"/>
    <n v="0.23681365800000001"/>
    <n v="8.5818872030000009"/>
    <n v="25.17061824"/>
    <n v="48.547831729999999"/>
    <n v="15.34910069"/>
    <n v="9.77"/>
    <n v="9.5579999999999998"/>
    <n v="1.9020013659999999"/>
    <n v="6.1959976169999997"/>
    <n v="0.113014199"/>
    <n v="40.078000000000003"/>
    <n v="37.140999999999998"/>
    <n v="4.606628562"/>
    <n v="0"/>
    <n v="0.39800000000000002"/>
    <n v="0.36599999999999999"/>
    <s v=""/>
    <n v="-4.2406285620000004"/>
  </r>
  <r>
    <s v="Chile"/>
    <x v="11"/>
    <x v="1"/>
    <n v="50.510743689999998"/>
    <n v="2.0449217260000001"/>
    <n v="0.219538027"/>
    <n v="9.0798879299999999"/>
    <n v="24.700575600000001"/>
    <n v="54.261597420000001"/>
    <n v="16.5353104"/>
    <n v="9.3719999999999999"/>
    <n v="10.023999999999999"/>
    <n v="2.0199986179999998"/>
    <n v="7.0260039670000003"/>
    <n v="0.107357668"/>
    <n v="42.530999999999999"/>
    <n v="39.933"/>
    <n v="3.5944388960000002"/>
    <n v="1.6458582999999999E-2"/>
    <n v="0.441"/>
    <n v="0.57599999999999996"/>
    <s v=""/>
    <n v="-3.0184388960000001"/>
  </r>
  <r>
    <s v="Chile"/>
    <x v="12"/>
    <x v="1"/>
    <n v="51.40212193"/>
    <n v="2.0101961620000002"/>
    <n v="0.21668009399999999"/>
    <n v="9.075710699"/>
    <n v="25.570699470000001"/>
    <n v="55.450985780000003"/>
    <n v="16.883167319999998"/>
    <n v="9.6609999999999996"/>
    <n v="9.5129999999999999"/>
    <n v="1.9750018549999999"/>
    <n v="7.0200055219999999"/>
    <n v="0.107790522"/>
    <n v="43.670999999999999"/>
    <n v="41.359000000000002"/>
    <n v="3.65632124"/>
    <n v="1.6028944E-2"/>
    <n v="0.39800000000000002"/>
    <n v="0.433"/>
    <s v=""/>
    <n v="-3.2233212400000002"/>
  </r>
  <r>
    <s v="Chile"/>
    <x v="13"/>
    <x v="1"/>
    <n v="52.741606089999998"/>
    <n v="2.041358207"/>
    <n v="0.213588536"/>
    <n v="8.5639948760000006"/>
    <n v="25.836526840000001"/>
    <n v="50.156954020000001"/>
    <n v="18.210646489999998"/>
    <n v="9.9350000000000005"/>
    <n v="10.7"/>
    <n v="1.6499992320000001"/>
    <n v="7.6590008249999997"/>
    <n v="0.104630601"/>
    <n v="46.829000000000001"/>
    <n v="44.878"/>
    <n v="3.6244269070000001"/>
    <n v="1.4948002E-2"/>
    <n v="0.35799999999999998"/>
    <n v="0.57599999999999996"/>
    <s v=""/>
    <n v="-3.0484269070000001"/>
  </r>
  <r>
    <s v="Chile"/>
    <x v="14"/>
    <x v="1"/>
    <n v="57.533838750000001"/>
    <n v="2.0910207939999998"/>
    <n v="0.217327412"/>
    <n v="8.5540283380000002"/>
    <n v="27.514713830000002"/>
    <n v="46.900874860000002"/>
    <n v="18.500309099999999"/>
    <n v="10.593999999999999"/>
    <n v="11.021000000000001"/>
    <n v="1.634999181"/>
    <n v="8.3410078159999994"/>
    <n v="0.10393364400000001"/>
    <n v="51.207999999999998"/>
    <n v="47.543999999999997"/>
    <n v="4.6255419389999997"/>
    <n v="1.3669739E-2"/>
    <n v="0.35499999999999998"/>
    <n v="0.23300000000000001"/>
    <s v=""/>
    <n v="-4.392541939"/>
  </r>
  <r>
    <s v="Chile"/>
    <x v="15"/>
    <x v="1"/>
    <n v="58.331418399999997"/>
    <n v="2.0562856549999999"/>
    <n v="0.208373632"/>
    <n v="9.3384362660000004"/>
    <n v="28.367371160000001"/>
    <n v="53.883088180000001"/>
    <n v="18.84925994"/>
    <n v="10.935"/>
    <n v="10.952999999999999"/>
    <n v="1.9109976440000001"/>
    <n v="8.0860024240000001"/>
    <n v="0.101334964"/>
    <n v="52.484000000000002"/>
    <n v="48.906999999999996"/>
    <n v="4.6098565579999997"/>
    <n v="1.3337398E-2"/>
    <n v="0.32400000000000001"/>
    <n v="0.54400000000000004"/>
    <s v=""/>
    <n v="-4.0658565580000001"/>
  </r>
  <r>
    <s v="Chile"/>
    <x v="16"/>
    <x v="1"/>
    <n v="60.090585410000003"/>
    <n v="2.035130369"/>
    <n v="0.201903211"/>
    <n v="9.6228763940000004"/>
    <n v="29.526651619999999"/>
    <n v="55.25488069"/>
    <n v="18.911662979999999"/>
    <n v="10.968999999999999"/>
    <n v="11.396000000000001"/>
    <n v="1.8459999279999999"/>
    <n v="7.4509934280000003"/>
    <n v="9.9208981000000002E-2"/>
    <n v="55.32"/>
    <n v="51.37"/>
    <n v="5.75603994"/>
    <n v="1.2653651E-2"/>
    <n v="0.316"/>
    <n v="0.67400000000000004"/>
    <s v=""/>
    <n v="-5.0820399399999996"/>
  </r>
  <r>
    <s v="Chile"/>
    <x v="17"/>
    <x v="1"/>
    <n v="65.764956310000002"/>
    <n v="2.1474095860000002"/>
    <n v="0.21063657999999999"/>
    <n v="9.3711151239999992"/>
    <n v="30.62525041"/>
    <n v="44.155599989999999"/>
    <n v="19.74826135"/>
    <n v="14.503"/>
    <n v="10.9"/>
    <n v="1.778000528"/>
    <n v="4.4470005309999996"/>
    <n v="9.8088683999999995E-2"/>
    <n v="58.509"/>
    <n v="53.634999999999998"/>
    <n v="5.691741188"/>
    <n v="1.5382249000000001E-2"/>
    <n v="0.52700000000000002"/>
    <n v="0.24299999999999999"/>
    <s v=""/>
    <n v="-5.4487411879999996"/>
  </r>
  <r>
    <s v="Chile"/>
    <x v="18"/>
    <x v="1"/>
    <n v="68.335016350000004"/>
    <n v="2.252879471"/>
    <n v="0.211406491"/>
    <n v="9.7280522650000005"/>
    <n v="30.332300159999999"/>
    <n v="45.749028539999998"/>
    <n v="20.194434489999999"/>
    <n v="15.208"/>
    <n v="10.775"/>
    <n v="1.733000297"/>
    <n v="2.7519985249999999"/>
    <n v="9.3838349000000001E-2"/>
    <n v="59.704000000000001"/>
    <n v="54.152999999999999"/>
    <n v="7.2818263209999996"/>
    <n v="6.3647327000000004E-2"/>
    <n v="0.53600000000000003"/>
    <n v="0.66700000000000004"/>
    <s v=""/>
    <n v="-6.6148263209999998"/>
  </r>
  <r>
    <s v="Chile"/>
    <x v="19"/>
    <x v="1"/>
    <n v="65.774822400000005"/>
    <n v="2.2270073319999999"/>
    <n v="0.206719667"/>
    <n v="10.208680060000001"/>
    <n v="29.535072230000001"/>
    <n v="48.827443100000004"/>
    <n v="20.473274499999999"/>
    <n v="14.472"/>
    <n v="10.006"/>
    <n v="1.8450019870000001"/>
    <n v="3.2520006260000001"/>
    <n v="9.2823973000000004E-2"/>
    <n v="60.722000000000001"/>
    <n v="54.533000000000001"/>
    <n v="6.6674837550000001"/>
    <n v="0.28984552600000002"/>
    <n v="0.64400000000000002"/>
    <n v="0.63600000000000001"/>
    <s v=""/>
    <n v="-6.031483755"/>
  </r>
  <r>
    <s v="Chile"/>
    <x v="20"/>
    <x v="1"/>
    <n v="70.250459169999999"/>
    <n v="2.2762448219999998"/>
    <n v="0.20859519900000001"/>
    <n v="9.2230871109999999"/>
    <n v="30.862435569999999"/>
    <n v="40.202534999999997"/>
    <n v="19.633698859999999"/>
    <n v="13.765000000000001"/>
    <n v="8.6329999999999991"/>
    <n v="1.848000021"/>
    <n v="5.295993331"/>
    <n v="9.1640053999999999E-2"/>
    <n v="60.433999999999997"/>
    <n v="55.29"/>
    <n v="8.3800849639999999"/>
    <n v="0.73468577300000004"/>
    <n v="0.55100000000000005"/>
    <n v="0.61899999999999999"/>
    <s v=""/>
    <n v="-7.7610849640000001"/>
  </r>
  <r>
    <s v="Chile"/>
    <x v="21"/>
    <x v="1"/>
    <n v="76.306330020000004"/>
    <n v="2.2699218669999999"/>
    <n v="0.21352839400000001"/>
    <n v="9.8829626509999997"/>
    <n v="33.616280420000002"/>
    <n v="39.596426889999996"/>
    <n v="19.685944670000001"/>
    <n v="14.236000000000001"/>
    <n v="8.8339999999999996"/>
    <n v="1.479999386"/>
    <n v="5.7029985500000002"/>
    <n v="9.4068609999999997E-2"/>
    <n v="65.712999999999994"/>
    <n v="58.491999999999997"/>
    <n v="9.5798906699999993"/>
    <n v="0.51435788999999998"/>
    <n v="0.58199999999999996"/>
    <n v="0.65400000000000003"/>
    <s v=""/>
    <n v="-8.9258906699999994"/>
  </r>
  <r>
    <s v="Chile"/>
    <x v="22"/>
    <x v="1"/>
    <n v="78.722886869999996"/>
    <n v="2.1161141040000002"/>
    <n v="0.20916590099999999"/>
    <n v="13.02017543"/>
    <n v="37.201626660000002"/>
    <n v="36.445355620000001"/>
    <n v="21.233039479999999"/>
    <n v="14.327999999999999"/>
    <n v="8.8930000000000007"/>
    <n v="1.224998721"/>
    <n v="4.8810032190000001"/>
    <n v="9.8844340000000003E-2"/>
    <n v="69.751000000000005"/>
    <n v="62.947000000000003"/>
    <n v="11.06696885"/>
    <n v="0.58637152199999998"/>
    <n v="0.48899999999999999"/>
    <n v="0.71199999999999997"/>
    <s v=""/>
    <n v="-10.354968850000001"/>
  </r>
  <r>
    <s v="Chile"/>
    <x v="23"/>
    <x v="1"/>
    <n v="82.613913109999999"/>
    <n v="2.1462346710000002"/>
    <n v="0.21097055000000001"/>
    <n v="14.60566852"/>
    <n v="38.492488369999997"/>
    <n v="35.666871960000002"/>
    <n v="20.972978690000001"/>
    <n v="14.614000000000001"/>
    <n v="9.3849999999999998"/>
    <n v="0.964999885"/>
    <n v="4.8900046079999999"/>
    <n v="9.8297988000000003E-2"/>
    <n v="73.064999999999998"/>
    <n v="66.064999999999998"/>
    <n v="12.521000000000001"/>
    <n v="0.76917812900000004"/>
    <n v="0.5"/>
    <n v="3.028"/>
    <s v=""/>
    <n v="-9.4930000000000003"/>
  </r>
  <r>
    <s v="Chile"/>
    <x v="24"/>
    <x v="1"/>
    <n v="76.693898300000001"/>
    <n v="2.2070019639999998"/>
    <n v="0.19245251599999999"/>
    <n v="12.380307350000001"/>
    <n v="34.750262820000003"/>
    <n v="42.89429423"/>
    <n v="23.192386379999999"/>
    <n v="14.41"/>
    <n v="9.4689999999999994"/>
    <n v="0.78999910500000003"/>
    <n v="4.0770025470000002"/>
    <n v="8.7200880999999994E-2"/>
    <n v="70.753"/>
    <n v="67.835999999999999"/>
    <n v="10.86"/>
    <n v="2.717905955"/>
    <n v="0.41299999999999998"/>
    <n v="4.1639999999999997"/>
    <s v=""/>
    <n v="-6.6959999999999997"/>
  </r>
  <r>
    <s v="Chile"/>
    <x v="25"/>
    <x v="1"/>
    <n v="81.495428140000001"/>
    <n v="2.2946686760000001"/>
    <n v="0.199896136"/>
    <n v="12.08410451"/>
    <n v="35.515117709999998"/>
    <n v="43.604334960000003"/>
    <n v="23.053944690000002"/>
    <n v="14.326000000000001"/>
    <n v="9.6029999999999998"/>
    <n v="1.0060009409999999"/>
    <n v="4.3919957250000001"/>
    <n v="8.7113288999999997E-2"/>
    <n v="75.387"/>
    <n v="67.647000000000006"/>
    <n v="12.07403161"/>
    <n v="4.4782256890000003"/>
    <n v="0.28199999999999997"/>
    <n v="3.1429999999999998"/>
    <s v=""/>
    <n v="-8.9310316100000016"/>
  </r>
  <r>
    <s v="Chile"/>
    <x v="26"/>
    <x v="1"/>
    <n v="86.117438219999997"/>
    <n v="2.2773786970000001"/>
    <n v="0.207762482"/>
    <n v="12.54654648"/>
    <n v="37.814281110000003"/>
    <n v="43.273061990000002"/>
    <n v="22.881105300000002"/>
    <n v="15.32"/>
    <n v="9.3930000000000007"/>
    <n v="1.204999859"/>
    <n v="4.7910039380000002"/>
    <n v="9.1228780999999995E-2"/>
    <n v="79.308000000000007"/>
    <n v="70.83"/>
    <n v="12.711"/>
    <n v="6.4154940229999999"/>
    <n v="0.24399999999999999"/>
    <n v="2.5249999999999999"/>
    <s v=""/>
    <n v="-10.186"/>
  </r>
  <r>
    <s v="Chile"/>
    <x v="27"/>
    <x v="1"/>
    <n v="86.937147679999995"/>
    <n v="2.264641868"/>
    <n v="0.207090997"/>
    <n v="13.02189557"/>
    <n v="38.388916539999997"/>
    <n v="43.91575066"/>
    <n v="22.464443849999999"/>
    <n v="15.427460999999999"/>
    <n v="9.6157649999999997"/>
    <n v="1.2256075470000001"/>
    <n v="5.0240847019999997"/>
    <n v="9.1445363000000002E-2"/>
    <n v="79.416650000000004"/>
    <n v="70.350288000000006"/>
    <n v="13.02954497"/>
    <n v="9.4432061790000006"/>
    <n v="0.32365500000000003"/>
    <n v="2.4249999999999998"/>
    <s v=""/>
    <n v="-10.604544969999999"/>
  </r>
  <r>
    <s v="Chile"/>
    <x v="28"/>
    <x v="1"/>
    <n v="86.814246920000002"/>
    <n v="2.2224981069999998"/>
    <n v="0.19879733499999999"/>
    <n v="13.62817501"/>
    <n v="39.061561689999998"/>
    <n v="46.25691072"/>
    <n v="22.633663330000001"/>
    <n v="15.643846999999999"/>
    <n v="9.6806900000000002"/>
    <n v="1.2494871759999999"/>
    <n v="5.2994022589999998"/>
    <n v="8.9447695999999993E-2"/>
    <n v="82.312703999999997"/>
    <n v="73.716050999999993"/>
    <n v="12.32715597"/>
    <n v="10.95794156"/>
    <n v="0.37769999999999998"/>
    <n v="2.2566549999999999"/>
    <s v=""/>
    <n v="-10.070500969999999"/>
  </r>
  <r>
    <s v="Chile"/>
    <x v="29"/>
    <x v="1"/>
    <n v="85.252730959999994"/>
    <n v="2.1493691190000002"/>
    <n v="0.193288708"/>
    <n v="13.49215229"/>
    <n v="39.664071759999999"/>
    <n v="46.004865389999999"/>
    <n v="23.019561410000001"/>
    <n v="15.498588099999999"/>
    <n v="10.08611451"/>
    <n v="1.5262978679999999"/>
    <n v="5.5862844269999998"/>
    <n v="8.9928113000000004E-2"/>
    <n v="83.631583590000005"/>
    <n v="74.897188180000001"/>
    <n v="12.0423311"/>
    <n v="13.76965321"/>
    <n v="0.40960764500000002"/>
    <n v="1.426831"/>
    <s v=""/>
    <n v="-10.6155001"/>
  </r>
  <r>
    <s v="Chile"/>
    <x v="30"/>
    <x v="1"/>
    <n v="79.627039760000002"/>
    <n v="2.103049226"/>
    <n v="0.19124353399999999"/>
    <n v="13.18212417"/>
    <n v="37.862660929999997"/>
    <n v="48.177958269999998"/>
    <n v="24.6659796"/>
    <n v="14.157520999999999"/>
    <n v="8.0118611400000006"/>
    <n v="1.222782635"/>
    <n v="5.226413945"/>
    <n v="9.0936309000000007E-2"/>
    <n v="84.283647439999996"/>
    <n v="75.481151159999996"/>
    <n v="11.587521730000001"/>
    <n v="16.172436659999999"/>
    <n v="0.31150833500000003"/>
    <n v="0.90978471500000002"/>
    <s v=""/>
    <n v="-10.677737015"/>
  </r>
  <r>
    <s v="China"/>
    <x v="0"/>
    <x v="2"/>
    <n v="2255.3939049999999"/>
    <n v="2.5800499280000002"/>
    <n v="1.367078322"/>
    <n v="880.92626859999996"/>
    <n v="874.16676719999998"/>
    <n v="20.407939890000002"/>
    <n v="5.5818278709999998"/>
    <n v="142.88499999999999"/>
    <n v="146.41900000000001"/>
    <n v="15.29999229"/>
    <n v="15.870011379999999"/>
    <n v="0.52986506499999997"/>
    <n v="621.26800000000003"/>
    <n v="507.05399999999997"/>
    <n v="1004.80898"/>
    <n v="1.0945356999999999E-2"/>
    <n v="138.30600000000001"/>
    <n v="1039.82"/>
    <s v="Above Average"/>
    <n v="35.011019999999917"/>
  </r>
  <r>
    <s v="China"/>
    <x v="1"/>
    <x v="2"/>
    <n v="2370.1848909999999"/>
    <n v="2.7953735339999999"/>
    <n v="1.314487913"/>
    <n v="886.76228119999996"/>
    <n v="847.89558969999996"/>
    <n v="18.47113079"/>
    <n v="6.2394896019999999"/>
    <n v="152.60599999999999"/>
    <n v="153.017"/>
    <n v="16.069995630000001"/>
    <n v="15.88998484"/>
    <n v="0.47023694599999999"/>
    <n v="677.625"/>
    <n v="581.21100000000001"/>
    <n v="1050.1767239999999"/>
    <n v="1.1068069E-2"/>
    <n v="140.99199999999999"/>
    <n v="1040.692"/>
    <s v="Above Average"/>
    <n v="-9.4847239999999147"/>
  </r>
  <r>
    <s v="China"/>
    <x v="2"/>
    <x v="2"/>
    <n v="2461.9858049999998"/>
    <n v="2.8076262999999999"/>
    <n v="1.195452564"/>
    <n v="904.08534410000004"/>
    <n v="876.89227219999998"/>
    <n v="17.58468367"/>
    <n v="6.7864138909999996"/>
    <n v="160.893"/>
    <n v="159.22300000000001"/>
    <n v="15.78998741"/>
    <n v="15.880018489999999"/>
    <n v="0.42578763600000002"/>
    <n v="754.07100000000003"/>
    <n v="644.97699999999998"/>
    <n v="1090.394176"/>
    <n v="1.7372368999999999E-2"/>
    <n v="142.09700000000001"/>
    <n v="1072.8"/>
    <s v="Above Average"/>
    <n v="-17.594176000000061"/>
  </r>
  <r>
    <s v="China"/>
    <x v="3"/>
    <x v="2"/>
    <n v="2631.2090750000002"/>
    <n v="2.8316889070000002"/>
    <n v="1.122023843"/>
    <n v="933.00554390000002"/>
    <n v="929.20132160000003"/>
    <n v="18.125260170000001"/>
    <n v="7.2208063390000001"/>
    <n v="175.697"/>
    <n v="166.304"/>
    <n v="16.765996250000001"/>
    <n v="16.766004559999999"/>
    <n v="0.396238386"/>
    <n v="838.399"/>
    <n v="715.63400000000001"/>
    <n v="1152.136287"/>
    <n v="1.7056318000000001E-2"/>
    <n v="145.17400000000001"/>
    <n v="1112.298"/>
    <s v="Above Average"/>
    <n v="-39.838287000000037"/>
  </r>
  <r>
    <s v="China"/>
    <x v="4"/>
    <x v="2"/>
    <n v="2756.5247549999999"/>
    <n v="2.8328458589999999"/>
    <n v="1.0397520010000001"/>
    <n v="986.19479230000002"/>
    <n v="973.05850429999998"/>
    <n v="18.088435700000002"/>
    <n v="7.8518772070000002"/>
    <n v="175.666"/>
    <n v="166.00800000000001"/>
    <n v="17.558988979999999"/>
    <n v="17.5260012"/>
    <n v="0.36703444299999999"/>
    <n v="928.245"/>
    <n v="797.8"/>
    <n v="1226.1772739999999"/>
    <n v="1.7452288999999999E-2"/>
    <n v="146.08199999999999"/>
    <n v="1202.836"/>
    <s v="Above Average"/>
    <n v="-23.341273999999885"/>
  </r>
  <r>
    <s v="China"/>
    <x v="5"/>
    <x v="2"/>
    <n v="2944.451149"/>
    <n v="2.818832343"/>
    <n v="1.00103195"/>
    <n v="1064.5852609999999"/>
    <n v="1044.564128"/>
    <n v="19.214139299999999"/>
    <n v="7.9080407749999999"/>
    <n v="189.786"/>
    <n v="177.65199999999999"/>
    <n v="17.94700881"/>
    <n v="17.800980689999999"/>
    <n v="0.35512291200000001"/>
    <n v="1007.914"/>
    <n v="848.43499999999995"/>
    <n v="1342.337945"/>
    <n v="1.8652385E-2"/>
    <n v="150.04400000000001"/>
    <n v="1338.7460000000001"/>
    <s v="Above Average"/>
    <n v="-3.591944999999896"/>
  </r>
  <r>
    <s v="China"/>
    <x v="6"/>
    <x v="2"/>
    <n v="2938.5613090000002"/>
    <n v="2.7372420499999999"/>
    <n v="0.90880047200000003"/>
    <n v="1091.140748"/>
    <n v="1073.5482119999999"/>
    <n v="17.55221062"/>
    <n v="8.8451441180000003"/>
    <n v="196.58500000000001"/>
    <n v="185.97200000000001"/>
    <n v="20.11399656"/>
    <n v="18.512995969999999"/>
    <n v="0.33201319200000001"/>
    <n v="1080.24"/>
    <n v="915.94"/>
    <n v="1344.193939"/>
    <n v="2.0643561000000001E-2"/>
    <n v="157.334"/>
    <n v="1379.376"/>
    <s v="Above Average"/>
    <n v="35.182060999999976"/>
  </r>
  <r>
    <s v="China"/>
    <x v="7"/>
    <x v="2"/>
    <n v="2967.5060830000002"/>
    <n v="2.7659054649999999"/>
    <n v="0.840195621"/>
    <n v="1080.5928389999999"/>
    <n v="1072.887747"/>
    <n v="17.512466020000002"/>
    <n v="8.9567603869999992"/>
    <n v="212.68100000000001"/>
    <n v="197.024"/>
    <n v="22.70298734"/>
    <n v="19.63198804"/>
    <n v="0.30376874100000001"/>
    <n v="1135.8879999999999"/>
    <n v="952.63699999999994"/>
    <n v="1333.551847"/>
    <n v="2.9316271000000001E-2"/>
    <n v="160.74100000000001"/>
    <n v="1335.8710000000001"/>
    <s v="Above Average"/>
    <n v="2.3191530000001421"/>
  </r>
  <r>
    <s v="China"/>
    <x v="8"/>
    <x v="2"/>
    <n v="3084.7568070000002"/>
    <n v="2.859900009"/>
    <n v="0.80991502699999995"/>
    <n v="1079.2668960000001"/>
    <n v="1078.6240069999999"/>
    <n v="18.061156319999998"/>
    <n v="9.2190284840000007"/>
    <n v="217.54300000000001"/>
    <n v="199.071"/>
    <n v="23.279006450000001"/>
    <n v="20.184020239999999"/>
    <n v="0.28319697300000002"/>
    <n v="1167.5"/>
    <n v="986.45399999999995"/>
    <n v="1313.539004"/>
    <n v="4.2826551999999997E-2"/>
    <n v="161.203"/>
    <n v="1295.6379999999999"/>
    <s v="Above Average"/>
    <n v="-17.901004000000057"/>
  </r>
  <r>
    <s v="China"/>
    <x v="9"/>
    <x v="2"/>
    <n v="2995.5549209999999"/>
    <n v="2.7254711899999999"/>
    <n v="0.73048489299999997"/>
    <n v="1073.8917899999999"/>
    <n v="1099.0961600000001"/>
    <n v="16.681465930000002"/>
    <n v="10.07354597"/>
    <n v="227.934"/>
    <n v="212.52"/>
    <n v="25.19799132"/>
    <n v="21.49397269"/>
    <n v="0.26802150600000002"/>
    <n v="1239.9269999999999"/>
    <n v="1043.5740000000001"/>
    <n v="1226.28457"/>
    <n v="5.0567492999999998E-2"/>
    <n v="160.16900000000001"/>
    <n v="1263.752"/>
    <s v="Above Average"/>
    <n v="37.467429999999922"/>
  </r>
  <r>
    <s v="China"/>
    <x v="10"/>
    <x v="2"/>
    <n v="3140.310907"/>
    <n v="2.7796808560000001"/>
    <n v="0.70584745400000004"/>
    <n v="1123.707793"/>
    <n v="1129.737934"/>
    <n v="16.639498190000001"/>
    <n v="10.73678441"/>
    <n v="241.327"/>
    <n v="233.31"/>
    <n v="27.19999486"/>
    <n v="24.62697915"/>
    <n v="0.25393111299999999"/>
    <n v="1355.7380000000001"/>
    <n v="1138.463"/>
    <n v="1304.074985"/>
    <n v="5.5541704999999997E-2"/>
    <n v="163.078"/>
    <n v="1354.886"/>
    <s v="Above Average"/>
    <n v="50.811014999999998"/>
  </r>
  <r>
    <s v="China"/>
    <x v="11"/>
    <x v="2"/>
    <n v="3274.6858940000002"/>
    <n v="2.8028287330000001"/>
    <n v="0.67939036100000005"/>
    <n v="1176.292128"/>
    <n v="1168.3503370000001"/>
    <n v="18.958519169999999"/>
    <n v="11.33911468"/>
    <n v="245.67099999999999"/>
    <n v="235.66300000000001"/>
    <n v="30.328992320000001"/>
    <n v="28.3479916"/>
    <n v="0.242394533"/>
    <n v="1480.9490000000001"/>
    <n v="1240.951"/>
    <n v="1377.898903"/>
    <n v="6.0501746000000002E-2"/>
    <n v="164.05600000000001"/>
    <n v="1450.443"/>
    <s v="Above Average"/>
    <n v="72.544096999999965"/>
  </r>
  <r>
    <s v="China"/>
    <x v="12"/>
    <x v="2"/>
    <n v="3534.0845570000001"/>
    <n v="2.836421713"/>
    <n v="0.67186179000000001"/>
    <n v="1226.9353000000001"/>
    <n v="1245.9658380000001"/>
    <n v="17.6186279"/>
    <n v="12.04489558"/>
    <n v="258.375"/>
    <n v="243.28399999999999"/>
    <n v="32.660989960000002"/>
    <n v="29.285998670000001"/>
    <n v="0.23686949900000001"/>
    <n v="1654.164"/>
    <n v="1380.0060000000001"/>
    <n v="1492.4028330000001"/>
    <n v="6.2690277000000003E-2"/>
    <n v="167.14500000000001"/>
    <n v="1538.8389999999999"/>
    <s v="Above Average"/>
    <n v="46.436166999999841"/>
  </r>
  <r>
    <s v="China"/>
    <x v="13"/>
    <x v="2"/>
    <n v="4108.3775530000003"/>
    <n v="2.8930231329999998"/>
    <n v="0.70980675199999999"/>
    <n v="1375.1854740000001"/>
    <n v="1420.0984109999999"/>
    <n v="15.03704033"/>
    <n v="12.82080386"/>
    <n v="281.51799999999997"/>
    <n v="264.101"/>
    <n v="35.015000899999997"/>
    <n v="34.964989160000002"/>
    <n v="0.24535121900000001"/>
    <n v="1910.7550000000001"/>
    <n v="1604.7190000000001"/>
    <n v="1778.7894940000001"/>
    <n v="6.3796771000000002E-2"/>
    <n v="169.655"/>
    <n v="1818.95"/>
    <s v="Above Average"/>
    <n v="40.160505999999941"/>
  </r>
  <r>
    <s v="China"/>
    <x v="14"/>
    <x v="2"/>
    <n v="4835.5947079999996"/>
    <n v="2.99474632"/>
    <n v="0.75873144599999998"/>
    <n v="1534.2445700000001"/>
    <n v="1614.6925960000001"/>
    <n v="16.223266420000002"/>
    <n v="12.81810832"/>
    <n v="329.96600000000001"/>
    <n v="306.95800000000003"/>
    <n v="41.459993320000002"/>
    <n v="41.363016389999999"/>
    <n v="0.25335416300000002"/>
    <n v="2203.502"/>
    <n v="1859.2660000000001"/>
    <n v="2042.694299"/>
    <n v="6.9162633000000001E-2"/>
    <n v="175.941"/>
    <n v="2089.2730000000001"/>
    <s v="Above Average"/>
    <n v="46.578701000000137"/>
  </r>
  <r>
    <s v="China"/>
    <x v="15"/>
    <x v="2"/>
    <n v="5470.5147230000002"/>
    <n v="3.06984199"/>
    <n v="0.77054438199999997"/>
    <n v="1671.4234329999999"/>
    <n v="1782.018339"/>
    <n v="16.17502498"/>
    <n v="12.991479959999999"/>
    <n v="333.99799999999999"/>
    <n v="317.80599999999998"/>
    <n v="49.320002049999999"/>
    <n v="46.574014849999998"/>
    <n v="0.25100457399999998"/>
    <n v="2500.4659999999999"/>
    <n v="2126.4319999999998"/>
    <n v="2345.024214"/>
    <n v="8.9343346000000004E-2"/>
    <n v="181.42599999999999"/>
    <n v="2317.3249999999998"/>
    <s v="Above Average"/>
    <n v="-27.699214000000211"/>
  </r>
  <r>
    <s v="China"/>
    <x v="16"/>
    <x v="2"/>
    <n v="6052.1447950000002"/>
    <n v="3.1037831890000001"/>
    <n v="0.75627510399999998"/>
    <n v="1792.636853"/>
    <n v="1949.9251159999999"/>
    <n v="15.59278342"/>
    <n v="13.98143387"/>
    <n v="353.83"/>
    <n v="336.65"/>
    <n v="58.553004029999997"/>
    <n v="57.298939150000002"/>
    <n v="0.24366235"/>
    <n v="2865.9540000000002"/>
    <n v="2446.346"/>
    <n v="2608.7589910000002"/>
    <n v="0.142919251"/>
    <n v="184.85300000000001"/>
    <n v="2519.9389999999999"/>
    <s v="Above Average"/>
    <n v="-88.8199910000003"/>
  </r>
  <r>
    <s v="China"/>
    <x v="17"/>
    <x v="2"/>
    <n v="6513.5538530000003"/>
    <n v="3.1034957529999998"/>
    <n v="0.712529827"/>
    <n v="1916.580573"/>
    <n v="2098.779689"/>
    <n v="15.26334714"/>
    <n v="15.212093189999999"/>
    <n v="367.25799999999998"/>
    <n v="352.25400000000002"/>
    <n v="69.239988699999998"/>
    <n v="70.483010879999995"/>
    <n v="0.22958943200000001"/>
    <n v="3281.79"/>
    <n v="2816.826"/>
    <n v="2820.6163139999999"/>
    <n v="0.181212082"/>
    <n v="186.42099999999999"/>
    <n v="2721.8449999999998"/>
    <s v="Above Average"/>
    <n v="-98.771314000000075"/>
  </r>
  <r>
    <s v="China"/>
    <x v="18"/>
    <x v="2"/>
    <n v="6707.1182159999998"/>
    <n v="3.1128540390000001"/>
    <n v="0.66910669700000003"/>
    <n v="1966.945714"/>
    <n v="2154.652333"/>
    <n v="17.737444060000001"/>
    <n v="15.623167260000001"/>
    <n v="375.39299999999997"/>
    <n v="368.24299999999999"/>
    <n v="80.299992290000006"/>
    <n v="81.188076339999995"/>
    <n v="0.214949589"/>
    <n v="3467.1849999999999"/>
    <n v="2988.7429999999999"/>
    <n v="2919.8769040000002"/>
    <n v="0.43559833100000001"/>
    <n v="190.559"/>
    <n v="2844.3270000000002"/>
    <s v="Above Average"/>
    <n v="-75.54990399999997"/>
  </r>
  <r>
    <s v="China"/>
    <x v="19"/>
    <x v="2"/>
    <n v="7218.0731260000002"/>
    <n v="3.1427443629999998"/>
    <n v="0.65820944999999997"/>
    <n v="2051.6656520000001"/>
    <n v="2296.742049"/>
    <n v="17.863798200000002"/>
    <n v="16.028144430000001"/>
    <n v="382.56099999999998"/>
    <n v="388.29700000000003"/>
    <n v="85.268988719999996"/>
    <n v="89.450928820000001"/>
    <n v="0.20943779500000001"/>
    <n v="3715.0610000000001"/>
    <n v="3222.5189999999998"/>
    <n v="3158.0065319999999"/>
    <n v="0.73514270699999995"/>
    <n v="189.61600000000001"/>
    <n v="3042.6990000000001"/>
    <s v="Above Average"/>
    <n v="-115.30753199999981"/>
  </r>
  <r>
    <s v="China"/>
    <x v="20"/>
    <x v="2"/>
    <n v="7798.1310519999997"/>
    <n v="3.074514744"/>
    <n v="0.64274150900000004"/>
    <n v="2236.1582400000002"/>
    <n v="2536.3778349999998"/>
    <n v="18.831471440000001"/>
    <n v="16.931348799999999"/>
    <n v="400.53699999999998"/>
    <n v="400.93400000000003"/>
    <n v="95.790989190000005"/>
    <n v="125.1379752"/>
    <n v="0.209054619"/>
    <n v="4207.9930000000004"/>
    <n v="3625.5239999999999"/>
    <n v="3349.5157490000001"/>
    <n v="1.0802061700000001"/>
    <n v="203.81899999999999"/>
    <n v="3316.1010000000001"/>
    <s v="Above Average"/>
    <n v="-33.414749000000029"/>
  </r>
  <r>
    <s v="China"/>
    <x v="21"/>
    <x v="2"/>
    <n v="8488.0220700000009"/>
    <n v="3.1176100830000002"/>
    <n v="0.63861087900000002"/>
    <n v="2385.8184190000002"/>
    <n v="2722.6054079999999"/>
    <n v="16.954167099999999"/>
    <n v="17.868140050000001"/>
    <n v="419.30900000000003"/>
    <n v="415.99799999999999"/>
    <n v="105.3370065"/>
    <n v="131.27314989999999"/>
    <n v="0.204839881"/>
    <n v="4715.7610000000004"/>
    <n v="4051.605"/>
    <n v="3694.925201"/>
    <n v="1.549548419"/>
    <n v="204.119"/>
    <n v="3608.201"/>
    <s v="Above Average"/>
    <n v="-86.724200999999994"/>
  </r>
  <r>
    <s v="China"/>
    <x v="22"/>
    <x v="2"/>
    <n v="8748.9672769999997"/>
    <n v="3.1017156739999998"/>
    <n v="0.61027796400000001"/>
    <n v="2401.4889910000002"/>
    <n v="2820.6864190000001"/>
    <n v="20.115497560000001"/>
    <n v="18.380359129999999"/>
    <n v="438.233"/>
    <n v="439.87"/>
    <n v="110.6079988"/>
    <n v="147.2430268"/>
    <n v="0.196754967"/>
    <n v="4994.0450000000001"/>
    <n v="4326.0789999999997"/>
    <n v="3831.5527069999998"/>
    <n v="2.0518437459999999"/>
    <n v="208.82300000000001"/>
    <n v="3677.5889999999999"/>
    <s v="Above Average"/>
    <n v="-153.96370699999989"/>
  </r>
  <r>
    <s v="China"/>
    <x v="23"/>
    <x v="2"/>
    <n v="9161.1819039999991"/>
    <n v="3.1464110399999998"/>
    <n v="0.59296642099999997"/>
    <n v="2467.3467099999998"/>
    <n v="2911.6290869999998"/>
    <n v="20.452496459999999"/>
    <n v="19.310349120000001"/>
    <n v="461.197"/>
    <n v="459.69600000000003"/>
    <n v="120.86000869999999"/>
    <n v="167.4748658"/>
    <n v="0.188458028"/>
    <n v="5447.2470000000003"/>
    <n v="4717.5680000000002"/>
    <n v="3970.1754820000001"/>
    <n v="2.8786467729999998"/>
    <n v="211.50800000000001"/>
    <n v="3748.53"/>
    <s v="Above Average"/>
    <n v="-221.6454819999999"/>
  </r>
  <r>
    <s v="China"/>
    <x v="24"/>
    <x v="2"/>
    <n v="9082.9434980000005"/>
    <n v="3.062404039"/>
    <n v="0.54790773500000001"/>
    <n v="2507.263199"/>
    <n v="2965.952037"/>
    <n v="22.789039160000002"/>
    <n v="19.82071526"/>
    <n v="476.33699999999999"/>
    <n v="485.06099999999998"/>
    <n v="130.15699570000001"/>
    <n v="184.32011589999999"/>
    <n v="0.17891425399999999"/>
    <n v="5678.9449999999997"/>
    <n v="4938.6229999999996"/>
    <n v="3837.4338980000002"/>
    <n v="3.2653952450000001"/>
    <n v="213.56700000000001"/>
    <n v="3640.1669999999999"/>
    <s v="Above Average"/>
    <n v="-197.26689800000031"/>
  </r>
  <r>
    <s v="China"/>
    <x v="25"/>
    <x v="2"/>
    <n v="9076.666647"/>
    <n v="3.0319008649999999"/>
    <n v="0.51216264600000005"/>
    <n v="2515.6994810000001"/>
    <n v="2993.7214479999998"/>
    <n v="24.126194739999999"/>
    <n v="20.162440539999999"/>
    <n v="507.19900000000001"/>
    <n v="510.51900000000001"/>
    <n v="134.61000229999999"/>
    <n v="191.80116570000001"/>
    <n v="0.16892460200000001"/>
    <n v="5859.5150000000003"/>
    <n v="5103.4459999999999"/>
    <n v="3769.8281969999998"/>
    <n v="3.9373224580000001"/>
    <n v="216.75899999999999"/>
    <n v="3563.165"/>
    <s v="Above Average"/>
    <n v="-206.66319699999985"/>
  </r>
  <r>
    <s v="China"/>
    <x v="26"/>
    <x v="2"/>
    <n v="9032.7709529999993"/>
    <n v="3.0340296919999998"/>
    <n v="0.47751700499999999"/>
    <n v="2363.350621"/>
    <n v="2977.153116"/>
    <n v="25.2594779"/>
    <n v="21.27175969"/>
    <n v="522.90599999999995"/>
    <n v="533.90800000000002"/>
    <n v="136.86499190000001"/>
    <n v="207.89401760000001"/>
    <n v="0.157387057"/>
    <n v="6217.9669999999996"/>
    <n v="5407.4070000000002"/>
    <n v="3717.9845369999998"/>
    <n v="5.0265947049999999"/>
    <n v="203.04"/>
    <n v="3268.2069999999999"/>
    <s v="Above Average"/>
    <n v="-449.77753699999994"/>
  </r>
  <r>
    <s v="China"/>
    <x v="27"/>
    <x v="2"/>
    <n v="9185.7181359999995"/>
    <n v="2.9920015530000001"/>
    <n v="0.45486714299999997"/>
    <n v="2455.3280749999999"/>
    <n v="3070.0913660000001"/>
    <n v="25.555850469999999"/>
    <n v="22.490490300000001"/>
    <n v="546.09760000000006"/>
    <n v="564.25964499999998"/>
    <n v="148.035"/>
    <n v="237.79325299999999"/>
    <n v="0.15202771000000001"/>
    <n v="6635.4801889999999"/>
    <n v="5784.302111"/>
    <n v="3750.395528"/>
    <n v="6.4273177349999999"/>
    <n v="196.102743"/>
    <n v="3397.1936999999998"/>
    <s v="Above Average"/>
    <n v="-353.20182800000021"/>
  </r>
  <r>
    <s v="China"/>
    <x v="28"/>
    <x v="2"/>
    <n v="9345.788853"/>
    <n v="2.9194398920000002"/>
    <n v="0.43427495500000002"/>
    <n v="2567.9476300000001"/>
    <n v="3201.2266730000001"/>
    <n v="25.979568489999998"/>
    <n v="23.86104533"/>
    <n v="568.87466199999994"/>
    <n v="599.21435099999997"/>
    <n v="161.6917359"/>
    <n v="279.63171519999997"/>
    <n v="0.148752833"/>
    <n v="7181.8009810000003"/>
    <n v="6268.8689690000001"/>
    <n v="3769.5008320000002"/>
    <n v="7.5626741879999999"/>
    <n v="195.16098500000001"/>
    <n v="3549.0481329999998"/>
    <s v="Above Average"/>
    <n v="-220.45269900000039"/>
  </r>
  <r>
    <s v="China"/>
    <x v="29"/>
    <x v="2"/>
    <n v="9561.8905599999998"/>
    <n v="2.8894075840000002"/>
    <n v="0.41873211700000001"/>
    <n v="2685.9561549999999"/>
    <n v="3309.2910160000001"/>
    <n v="27.02464767"/>
    <n v="24.235217680000002"/>
    <n v="606.21300729999996"/>
    <n v="639.96073920000003"/>
    <n v="177.53800000000001"/>
    <n v="303.6800427"/>
    <n v="0.14491971300000001"/>
    <n v="7519.3456269999997"/>
    <n v="6549.1249269999998"/>
    <n v="3807.1958399999999"/>
    <n v="8.4395987039999998"/>
    <n v="197.817925"/>
    <n v="3691.0100579999998"/>
    <s v="Above Average"/>
    <n v="-116.18578200000002"/>
  </r>
  <r>
    <s v="China"/>
    <x v="30"/>
    <x v="2"/>
    <n v="9716.7724780000008"/>
    <n v="2.8735951380000002"/>
    <n v="0.41799083500000001"/>
    <n v="2749.0465800000002"/>
    <n v="3381.3992619999999"/>
    <n v="28.39562093"/>
    <n v="24.58500536"/>
    <n v="628.6900832"/>
    <n v="648.3808957"/>
    <n v="194.936724"/>
    <n v="325.54500569999999"/>
    <n v="0.14545919500000001"/>
    <n v="7797.5614150000001"/>
    <n v="6752.1477999999997"/>
    <n v="3830.0390149999998"/>
    <n v="9.5904983599999998"/>
    <n v="200.98301180000001"/>
    <n v="3742.6841989999998"/>
    <s v="Above Average"/>
    <n v="-87.354816000000028"/>
  </r>
  <r>
    <s v="Colombia"/>
    <x v="0"/>
    <x v="1"/>
    <n v="46.106290250000001"/>
    <n v="1.9032818490000001"/>
    <n v="0.17007186499999999"/>
    <n v="48.181291829999999"/>
    <n v="24.224625629999998"/>
    <n v="76.384190110000006"/>
    <n v="12.1200169"/>
    <n v="8.1120000000000001"/>
    <n v="11.101000000000001"/>
    <n v="4.5370049249999997"/>
    <n v="4.3260037689999997"/>
    <n v="8.9357162000000004E-2"/>
    <n v="36.356999999999999"/>
    <n v="26.866"/>
    <n v="5.0549999999999997"/>
    <n v="0"/>
    <n v="22.824000000000002"/>
    <n v="21.375"/>
    <s v=""/>
    <n v="16.32"/>
  </r>
  <r>
    <s v="Colombia"/>
    <x v="1"/>
    <x v="1"/>
    <n v="47.754812129999998"/>
    <n v="1.9500745829999999"/>
    <n v="0.17269605599999999"/>
    <n v="46.351154010000002"/>
    <n v="24.488710609999998"/>
    <n v="75.682616920000001"/>
    <n v="12.23597509"/>
    <n v="8.52"/>
    <n v="11.943"/>
    <n v="4.4929965840000001"/>
    <n v="4.4609977049999996"/>
    <n v="8.8558692999999994E-2"/>
    <n v="36.99"/>
    <n v="27.672000000000001"/>
    <n v="5.21"/>
    <n v="0"/>
    <n v="22.117000000000001"/>
    <n v="19.893999999999998"/>
    <s v=""/>
    <n v="14.683999999999997"/>
  </r>
  <r>
    <s v="Colombia"/>
    <x v="2"/>
    <x v="1"/>
    <n v="49.483417920000001"/>
    <n v="1.9763006359999999"/>
    <n v="0.17199033699999999"/>
    <n v="47.877524700000002"/>
    <n v="25.0384061"/>
    <n v="68.665007290000005"/>
    <n v="12.82953992"/>
    <n v="9.0749999999999993"/>
    <n v="11.901999999999999"/>
    <n v="4.601997023"/>
    <n v="4.3890025660000003"/>
    <n v="8.7026404000000002E-2"/>
    <n v="32.944000000000003"/>
    <n v="29.007999999999999"/>
    <n v="5.3150000000000004"/>
    <n v="0"/>
    <n v="22.786999999999999"/>
    <n v="21.817"/>
    <s v=""/>
    <n v="16.501999999999999"/>
  </r>
  <r>
    <s v="Colombia"/>
    <x v="3"/>
    <x v="1"/>
    <n v="51.765998760000002"/>
    <n v="1.983066065"/>
    <n v="0.17072946"/>
    <n v="48.557421779999999"/>
    <n v="26.104021280000001"/>
    <n v="73.25397443"/>
    <n v="13.49832831"/>
    <n v="9.3729999999999993"/>
    <n v="11.993"/>
    <n v="4.5060004859999996"/>
    <n v="4.5569945870000002"/>
    <n v="8.6093682000000005E-2"/>
    <n v="38.558999999999997"/>
    <n v="31.684000000000001"/>
    <n v="5.9219999999999997"/>
    <n v="0"/>
    <n v="23.515000000000001"/>
    <n v="21.138999999999999"/>
    <s v=""/>
    <n v="15.216999999999999"/>
  </r>
  <r>
    <s v="Colombia"/>
    <x v="4"/>
    <x v="1"/>
    <n v="51.741684360000001"/>
    <n v="1.903732097"/>
    <n v="0.16127185499999999"/>
    <n v="50.425205630000001"/>
    <n v="27.179078629999999"/>
    <n v="78.492598229999999"/>
    <n v="13.481145740000001"/>
    <n v="9.7720000000000002"/>
    <n v="11.929"/>
    <n v="4.6479996760000004"/>
    <n v="4.5089956759999996"/>
    <n v="8.4713523999999998E-2"/>
    <n v="41.408999999999999"/>
    <n v="33.369999999999997"/>
    <n v="5.5309999999999997"/>
    <n v="0"/>
    <n v="23.731000000000002"/>
    <n v="22.599"/>
    <s v=""/>
    <n v="17.068000000000001"/>
  </r>
  <r>
    <s v="Colombia"/>
    <x v="5"/>
    <x v="1"/>
    <n v="54.278902549999998"/>
    <n v="1.965546475"/>
    <n v="0.16081378599999999"/>
    <n v="59.243698780000003"/>
    <n v="27.615171279999998"/>
    <n v="76.404625899999999"/>
    <n v="13.69464791"/>
    <n v="10.362"/>
    <n v="12.622999999999999"/>
    <n v="4.8729984389999998"/>
    <n v="4.7949937130000002"/>
    <n v="8.1816322999999996E-2"/>
    <n v="42.716000000000001"/>
    <n v="34.847000000000001"/>
    <n v="5.609"/>
    <n v="0"/>
    <n v="30.291"/>
    <n v="25.651"/>
    <s v=""/>
    <n v="20.042000000000002"/>
  </r>
  <r>
    <s v="Colombia"/>
    <x v="6"/>
    <x v="1"/>
    <n v="53.975782049999999"/>
    <n v="1.9115529790000001"/>
    <n v="0.156694314"/>
    <n v="64.836673279999999"/>
    <n v="28.236613179999999"/>
    <n v="82.992020659999994"/>
    <n v="13.80576945"/>
    <n v="10.74"/>
    <n v="13.811"/>
    <n v="5.2570057659999998"/>
    <n v="5.2139948499999997"/>
    <n v="8.1972258000000006E-2"/>
    <n v="43.362000000000002"/>
    <n v="36.204999999999998"/>
    <n v="4.7149999999999999"/>
    <n v="0"/>
    <n v="32.640999999999998"/>
    <n v="29.998999999999999"/>
    <s v=""/>
    <n v="25.283999999999999"/>
  </r>
  <r>
    <s v="Colombia"/>
    <x v="7"/>
    <x v="1"/>
    <n v="58.945789439999999"/>
    <n v="2.1483825730000001"/>
    <n v="0.16544716300000001"/>
    <n v="66.729941490000002"/>
    <n v="27.437287090000002"/>
    <n v="71.644434480000001"/>
    <n v="13.74236696"/>
    <n v="11.757999999999999"/>
    <n v="14.281000000000001"/>
    <n v="6.5599926010000003"/>
    <n v="6.5599926010000003"/>
    <n v="7.7010102999999996E-2"/>
    <n v="44.604999999999997"/>
    <n v="35.435000000000002"/>
    <n v="4.9450000000000003"/>
    <n v="0"/>
    <n v="33.773000000000003"/>
    <n v="32.564999999999998"/>
    <s v=""/>
    <n v="27.619999999999997"/>
  </r>
  <r>
    <s v="Colombia"/>
    <x v="8"/>
    <x v="1"/>
    <n v="59.982232779999997"/>
    <n v="2.100131631"/>
    <n v="0.16740238700000001"/>
    <n v="72.707093139999998"/>
    <n v="28.561177740000002"/>
    <n v="69.746308220000003"/>
    <n v="13.61399224"/>
    <n v="11.603999999999999"/>
    <n v="14.337"/>
    <n v="7.5029988059999999"/>
    <n v="7.6169955720000004"/>
    <n v="7.9710426000000001E-2"/>
    <n v="44.896999999999998"/>
    <n v="34.484000000000002"/>
    <n v="4.8650000000000002"/>
    <n v="0"/>
    <n v="38.341999999999999"/>
    <n v="33.707999999999998"/>
    <s v=""/>
    <n v="28.842999999999996"/>
  </r>
  <r>
    <s v="Colombia"/>
    <x v="9"/>
    <x v="1"/>
    <n v="52.551085880000002"/>
    <n v="2.0479799870000002"/>
    <n v="0.15309937100000001"/>
    <n v="75.551019949999997"/>
    <n v="25.659960649999999"/>
    <n v="79.860819210000002"/>
    <n v="13.33252148"/>
    <n v="10.664"/>
    <n v="14.933"/>
    <n v="6.5819960230000003"/>
    <n v="6.5789990869999997"/>
    <n v="7.4756283000000007E-2"/>
    <n v="42.822000000000003"/>
    <n v="32.054000000000002"/>
    <n v="3.976"/>
    <n v="0"/>
    <n v="42.21"/>
    <n v="32.718000000000004"/>
    <s v=""/>
    <n v="28.742000000000004"/>
  </r>
  <r>
    <s v="Colombia"/>
    <x v="10"/>
    <x v="1"/>
    <n v="54.759747570000002"/>
    <n v="2.1294971089999999"/>
    <n v="0.155000414"/>
    <n v="72.332308729999994"/>
    <n v="25.714872929999999"/>
    <n v="75.528042479999996"/>
    <n v="13.760714399999999"/>
    <n v="10.646000000000001"/>
    <n v="14.954000000000001"/>
    <n v="7.3380005669999999"/>
    <n v="7.3380101340000001"/>
    <n v="7.2787331999999996E-2"/>
    <n v="43.131"/>
    <n v="33.335999999999999"/>
    <n v="4.8879999999999999"/>
    <n v="1.3911108E-2"/>
    <n v="35.51"/>
    <n v="38.241999999999997"/>
    <s v=""/>
    <n v="33.353999999999999"/>
  </r>
  <r>
    <s v="Colombia"/>
    <x v="11"/>
    <x v="1"/>
    <n v="55.100785270000003"/>
    <n v="2.1435589689999999"/>
    <n v="0.15339197800000001"/>
    <n v="72.101504820000002"/>
    <n v="25.705280819999999"/>
    <n v="74.341741850000005"/>
    <n v="14.42461445"/>
    <n v="10.69"/>
    <n v="15.584"/>
    <n v="7.7909893869999998"/>
    <n v="7.7739978440000002"/>
    <n v="7.1559486000000005E-2"/>
    <n v="43.448"/>
    <n v="35.19"/>
    <n v="4.9050000000000002"/>
    <n v="1.3809610999999999E-2"/>
    <n v="31.21"/>
    <n v="44.314999999999998"/>
    <s v=""/>
    <n v="39.409999999999997"/>
  </r>
  <r>
    <s v="Colombia"/>
    <x v="12"/>
    <x v="1"/>
    <n v="53.052095139999999"/>
    <n v="2.104041509"/>
    <n v="0.14408098499999999"/>
    <n v="68.344148070000003"/>
    <n v="25.21437667"/>
    <n v="76.507281120000002"/>
    <n v="14.6961409"/>
    <n v="10.263"/>
    <n v="15.07"/>
    <n v="7.7830026449999998"/>
    <n v="7.7449954620000003"/>
    <n v="6.8478205E-2"/>
    <n v="45.048000000000002"/>
    <n v="35.402000000000001"/>
    <n v="4.6459999999999999"/>
    <n v="1.3319126000000001E-2"/>
    <n v="29.856999999999999"/>
    <n v="40.095999999999997"/>
    <s v=""/>
    <n v="35.449999999999996"/>
  </r>
  <r>
    <s v="Colombia"/>
    <x v="13"/>
    <x v="1"/>
    <n v="52.294840360000002"/>
    <n v="2.0314198640000001"/>
    <n v="0.13666932700000001"/>
    <n v="73.427469610000003"/>
    <n v="25.742999409999999"/>
    <n v="78.791329189999999"/>
    <n v="15.143280519999999"/>
    <n v="10.180999999999999"/>
    <n v="15.337"/>
    <n v="7.4500056360000002"/>
    <n v="7.4540099829999997"/>
    <n v="6.7277735000000005E-2"/>
    <n v="46.546999999999997"/>
    <n v="36.768000000000001"/>
    <n v="4.6219999999999999"/>
    <n v="1.2890197000000001E-2"/>
    <n v="28.027999999999999"/>
    <n v="50.481000000000002"/>
    <s v=""/>
    <n v="45.859000000000002"/>
  </r>
  <r>
    <s v="Colombia"/>
    <x v="14"/>
    <x v="1"/>
    <n v="52.463369909999997"/>
    <n v="2.0232831089999999"/>
    <n v="0.13016788600000001"/>
    <n v="75.320092020000004"/>
    <n v="25.929821520000001"/>
    <n v="81.653460969999998"/>
    <n v="15.7371696"/>
    <n v="10.503"/>
    <n v="15.670999999999999"/>
    <n v="7.8430046359999999"/>
    <n v="7.8430086020000003"/>
    <n v="6.4334983999999998E-2"/>
    <n v="49.725999999999999"/>
    <n v="38.567"/>
    <n v="3.8570000000000002"/>
    <n v="0.118650203"/>
    <n v="27.361000000000001"/>
    <n v="54.183999999999997"/>
    <s v=""/>
    <n v="50.326999999999998"/>
  </r>
  <r>
    <s v="Colombia"/>
    <x v="15"/>
    <x v="1"/>
    <n v="53.426542869999999"/>
    <n v="1.9709022869999999"/>
    <n v="0.12659917200000001"/>
    <n v="78.615600650000005"/>
    <n v="27.107656850000001"/>
    <n v="80.172413789999993"/>
    <n v="15.702787109999999"/>
    <n v="10.33"/>
    <n v="14.637"/>
    <n v="8.2289968669999993"/>
    <n v="8.2289917480000003"/>
    <n v="6.4234119000000006E-2"/>
    <n v="50.344000000000001"/>
    <n v="38.926000000000002"/>
    <n v="4.2569999999999997"/>
    <n v="0.111234705"/>
    <n v="27.173999999999999"/>
    <n v="59.064"/>
    <s v=""/>
    <n v="54.807000000000002"/>
  </r>
  <r>
    <s v="Colombia"/>
    <x v="16"/>
    <x v="1"/>
    <n v="53.260371929999998"/>
    <n v="1.862813649"/>
    <n v="0.11819265499999999"/>
    <n v="83.721233900000001"/>
    <n v="28.591358"/>
    <n v="80.603287960000003"/>
    <n v="15.791208170000001"/>
    <n v="10.558999999999999"/>
    <n v="14.43"/>
    <n v="8.2439935139999996"/>
    <n v="8.247001934"/>
    <n v="6.3448458999999999E-2"/>
    <n v="53.771999999999998"/>
    <n v="40.625"/>
    <n v="3.968"/>
    <n v="0.13017927500000001"/>
    <n v="27.396000000000001"/>
    <n v="65.596000000000004"/>
    <s v=""/>
    <n v="61.628"/>
  </r>
  <r>
    <s v="Colombia"/>
    <x v="17"/>
    <x v="1"/>
    <n v="54.098878540000001"/>
    <n v="1.9034272059999999"/>
    <n v="0.112358388"/>
    <n v="86.709548499999997"/>
    <n v="28.421826880000001"/>
    <n v="81.536066050000002"/>
    <n v="16.345829250000001"/>
    <n v="10.458"/>
    <n v="14.175000000000001"/>
    <n v="8.2450035410000009"/>
    <n v="8.1619906180000008"/>
    <n v="5.9029516999999997E-2"/>
    <n v="55.231999999999999"/>
    <n v="42.235999999999997"/>
    <n v="4.1829999999999998"/>
    <n v="0.10320104300000001"/>
    <n v="27.451000000000001"/>
    <n v="69.902000000000001"/>
    <s v=""/>
    <n v="65.718999999999994"/>
  </r>
  <r>
    <s v="Colombia"/>
    <x v="18"/>
    <x v="1"/>
    <n v="54.738066930000002"/>
    <n v="1.832144483"/>
    <n v="0.11009991600000001"/>
    <n v="92.831298720000007"/>
    <n v="29.87650125"/>
    <n v="84.012869780000003"/>
    <n v="15.86190066"/>
    <n v="10.472"/>
    <n v="14.170999999999999"/>
    <n v="8.8400041619999996"/>
    <n v="8.7499927740000008"/>
    <n v="6.0093467999999997E-2"/>
    <n v="55.945"/>
    <n v="43.051000000000002"/>
    <n v="4.0839999999999996"/>
    <n v="0.10903566000000001"/>
    <n v="30.466000000000001"/>
    <n v="73.501999999999995"/>
    <s v=""/>
    <n v="69.417999999999992"/>
  </r>
  <r>
    <s v="Colombia"/>
    <x v="19"/>
    <x v="1"/>
    <n v="57.974533289999997"/>
    <n v="1.8682454399999999"/>
    <n v="0.11522083299999999"/>
    <n v="98.475306709999998"/>
    <n v="31.031540110000002"/>
    <n v="72.881237319999997"/>
    <n v="17.638834259999999"/>
    <n v="9.5960000000000001"/>
    <n v="13.025"/>
    <n v="11.95798516"/>
    <n v="10.00800636"/>
    <n v="6.1673285000000001E-2"/>
    <n v="57.155999999999999"/>
    <n v="45.103618259999998"/>
    <n v="4.9429999999999996"/>
    <n v="0.113723844"/>
    <n v="34.622999999999998"/>
    <n v="72.807000000000002"/>
    <s v=""/>
    <n v="67.864000000000004"/>
  </r>
  <r>
    <s v="Colombia"/>
    <x v="20"/>
    <x v="1"/>
    <n v="59.94850589"/>
    <n v="1.9659918329999999"/>
    <n v="0.114179948"/>
    <n v="106.35540229999999"/>
    <n v="30.49275428"/>
    <n v="70.700489860000005"/>
    <n v="17.727559429999999"/>
    <n v="9.6950000000000003"/>
    <n v="13.196"/>
    <n v="12.672996599999999"/>
    <n v="10.601011079999999"/>
    <n v="5.8077529000000003E-2"/>
    <n v="60.628999999999998"/>
    <n v="45.873860919999998"/>
    <n v="4.266"/>
    <n v="7.7520658000000006E-2"/>
    <n v="40.558"/>
    <n v="74.349999999999994"/>
    <s v=""/>
    <n v="70.083999999999989"/>
  </r>
  <r>
    <s v="Colombia"/>
    <x v="21"/>
    <x v="1"/>
    <n v="64.672773939999999"/>
    <n v="2.0687202070000001"/>
    <n v="0.11473085399999999"/>
    <n v="120.897009"/>
    <n v="31.262214050000001"/>
    <n v="81.891713699999997"/>
    <n v="16.627060749999998"/>
    <n v="11.382999999999999"/>
    <n v="15.058999999999999"/>
    <n v="12.30299422"/>
    <n v="10.015001209999999"/>
    <n v="5.5459821999999999E-2"/>
    <n v="62.186999999999998"/>
    <n v="48.527075330000002"/>
    <n v="5.0229999999999997"/>
    <n v="7.8794603000000005E-2"/>
    <n v="47.3"/>
    <n v="85.802999999999997"/>
    <s v=""/>
    <n v="80.78"/>
  </r>
  <r>
    <s v="Colombia"/>
    <x v="22"/>
    <x v="1"/>
    <n v="64.544272070000005"/>
    <n v="2.1331232939999998"/>
    <n v="0.11020165899999999"/>
    <n v="125.10497820000001"/>
    <n v="30.25810663"/>
    <n v="78.059144779999997"/>
    <n v="17.07192929"/>
    <n v="11.815"/>
    <n v="15.09"/>
    <n v="12.585996099999999"/>
    <n v="10.386995519999999"/>
    <n v="5.1662114000000002E-2"/>
    <n v="63.539000000000001"/>
    <n v="49.244964349999997"/>
    <n v="4.016"/>
    <n v="9.9151701999999994E-2"/>
    <n v="49.091999999999999"/>
    <n v="89.024000000000001"/>
    <s v=""/>
    <n v="85.007999999999996"/>
  </r>
  <r>
    <s v="Colombia"/>
    <x v="23"/>
    <x v="1"/>
    <n v="72.303150009999996"/>
    <n v="1.8266683480000001"/>
    <n v="0.118057487"/>
    <n v="130.11441429999999"/>
    <n v="39.581980010000002"/>
    <n v="69.423386170000001"/>
    <n v="16.812010690000001"/>
    <n v="12.494999999999999"/>
    <n v="13.093"/>
    <n v="15.282977969999999"/>
    <n v="10.724992050000001"/>
    <n v="6.4629952000000004E-2"/>
    <n v="74.001000000000005"/>
    <n v="61.295000000000002"/>
    <n v="6.1539999999999999"/>
    <n v="8.9187983999999998E-2"/>
    <n v="52.268000000000001"/>
    <n v="85.495999999999995"/>
    <s v=""/>
    <n v="79.341999999999999"/>
  </r>
  <r>
    <s v="Colombia"/>
    <x v="24"/>
    <x v="1"/>
    <n v="73.852301440000005"/>
    <n v="1.8417139179999999"/>
    <n v="0.115142657"/>
    <n v="130.72712000000001"/>
    <n v="40.099768330000003"/>
    <n v="69.360648359999999"/>
    <n v="17.190995560000001"/>
    <n v="12.541"/>
    <n v="11.862"/>
    <n v="14.83201438"/>
    <n v="11.0090038"/>
    <n v="6.2519296000000002E-2"/>
    <n v="71.072000000000003"/>
    <n v="64.114999999999995"/>
    <n v="6.3410000000000002"/>
    <n v="0.11115488499999999"/>
    <n v="51.292000000000002"/>
    <n v="88.578000000000003"/>
    <s v=""/>
    <n v="82.237000000000009"/>
  </r>
  <r>
    <s v="Colombia"/>
    <x v="25"/>
    <x v="1"/>
    <n v="75.121632529999999"/>
    <n v="1.8522546639999999"/>
    <n v="0.11375900799999999"/>
    <n v="128.7552748"/>
    <n v="40.556859699999997"/>
    <n v="63.636826300000003"/>
    <n v="17.79001805"/>
    <n v="12.827"/>
    <n v="11.778"/>
    <n v="13.956015689999999"/>
    <n v="11.34400879"/>
    <n v="6.1416505000000003E-2"/>
    <n v="78.596000000000004"/>
    <n v="65.447000000000003"/>
    <n v="5.9710000000000001"/>
    <n v="9.7969362000000004E-2"/>
    <n v="52.100999999999999"/>
    <n v="85.548000000000002"/>
    <s v=""/>
    <n v="79.576999999999998"/>
  </r>
  <r>
    <s v="Colombia"/>
    <x v="26"/>
    <x v="1"/>
    <n v="79.035999000000004"/>
    <n v="1.877486545"/>
    <n v="0.117239419"/>
    <n v="124.9536323"/>
    <n v="42.09670595"/>
    <n v="65.908854169999998"/>
    <n v="16.93143031"/>
    <n v="14.505000000000001"/>
    <n v="17.047999999999998"/>
    <n v="12.879002030000001"/>
    <n v="11.842013229999999"/>
    <n v="6.2444878000000002E-2"/>
    <n v="76.8"/>
    <n v="65.751000000000005"/>
    <n v="6.008"/>
    <n v="7.8125E-2"/>
    <n v="46.058"/>
    <n v="90.512"/>
    <s v=""/>
    <n v="84.504000000000005"/>
  </r>
  <r>
    <s v="Colombia"/>
    <x v="27"/>
    <x v="1"/>
    <n v="71.32901683"/>
    <n v="1.7681991779999999"/>
    <n v="0.104396397"/>
    <n v="124.0704933"/>
    <n v="40.339921959999998"/>
    <n v="79.312998359999995"/>
    <n v="17.92059759"/>
    <n v="13.170586"/>
    <n v="17.919753"/>
    <n v="13.1860359"/>
    <n v="10.837796490000001"/>
    <n v="5.9041084000000001E-2"/>
    <n v="79.280015000000006"/>
    <n v="67.435305"/>
    <n v="4.9200189999999999"/>
    <n v="2.1952569000000002E-2"/>
    <n v="44.351002000000001"/>
    <n v="90.549046000000004"/>
    <s v=""/>
    <n v="85.629027000000008"/>
  </r>
  <r>
    <s v="Colombia"/>
    <x v="28"/>
    <x v="1"/>
    <n v="74.773430360000006"/>
    <n v="1.92432976"/>
    <n v="0.10669634"/>
    <n v="120.45954860000001"/>
    <n v="38.856869500000002"/>
    <n v="76.853811280000002"/>
    <n v="18.338545379999999"/>
    <n v="13.025948"/>
    <n v="19.472332000000002"/>
    <n v="13.76172394"/>
    <n v="11.26876204"/>
    <n v="5.5445975000000002E-2"/>
    <n v="79.963277000000005"/>
    <n v="68.097211000000001"/>
    <n v="5.3886810000000001"/>
    <n v="8.0514458999999997E-2"/>
    <n v="44.916347999999999"/>
    <n v="84.283891999999994"/>
    <s v=""/>
    <n v="78.895210999999989"/>
  </r>
  <r>
    <s v="Colombia"/>
    <x v="29"/>
    <x v="1"/>
    <n v="77.789306159999995"/>
    <n v="1.8889280129999999"/>
    <n v="0.107495428"/>
    <n v="120.28788160000001"/>
    <n v="41.181720869999999"/>
    <n v="72.584326809999993"/>
    <n v="19.758216059999999"/>
    <n v="13.529557560000001"/>
    <n v="18.80933602"/>
    <n v="12.87952065"/>
    <n v="10.667585880000001"/>
    <n v="5.6908164999999997E-2"/>
    <n v="82.135386479999994"/>
    <n v="74.936677739999993"/>
    <n v="6.7726383080000003"/>
    <n v="0.237881438"/>
    <n v="45.972398009999999"/>
    <n v="84.342786140000001"/>
    <s v=""/>
    <n v="77.570147832000004"/>
  </r>
  <r>
    <s v="Colombia"/>
    <x v="30"/>
    <x v="1"/>
    <n v="75.210027170000004"/>
    <n v="1.9411579160000001"/>
    <n v="0.110682828"/>
    <n v="104.4198497"/>
    <n v="38.74492979"/>
    <n v="64.763118469999995"/>
    <n v="20.867144499999998"/>
    <n v="11.248085870000001"/>
    <n v="16.068124709999999"/>
    <n v="13.729144209999999"/>
    <n v="11.58697224"/>
    <n v="5.7018972000000001E-2"/>
    <n v="76.270869950000005"/>
    <n v="72.777480690000004"/>
    <n v="7.7243584629999997"/>
    <n v="0.242042916"/>
    <n v="43.111755049999999"/>
    <n v="64.627901460000004"/>
    <s v=""/>
    <n v="56.903542997000002"/>
  </r>
  <r>
    <s v="Czechia"/>
    <x v="0"/>
    <x v="3"/>
    <n v="147.400938"/>
    <n v="2.9602859210000001"/>
    <n v="0.64715122999999997"/>
    <n v="41.166022720000001"/>
    <n v="49.792804449999998"/>
    <n v="2.3162134939999999"/>
    <n v="12.07940582"/>
    <n v="8.8170000000000002"/>
    <n v="7.9480000000000004"/>
    <n v="0.26200003399999999"/>
    <n v="6.5729948330000001"/>
    <n v="0.218611056"/>
    <n v="62.558999999999997"/>
    <n v="53.036999999999999"/>
    <n v="84.787999999999997"/>
    <n v="0"/>
    <n v="0.22"/>
    <n v="101.398"/>
    <s v=""/>
    <n v="16.61"/>
  </r>
  <r>
    <s v="Czechia"/>
    <x v="1"/>
    <x v="3"/>
    <n v="135.9143167"/>
    <n v="3.0044373809999998"/>
    <n v="0.67513697100000003"/>
    <n v="39.01934249"/>
    <n v="45.237859700000001"/>
    <n v="2.1791567540000001"/>
    <n v="12.6041864"/>
    <n v="7.4109999999999996"/>
    <n v="6.8369999999999997"/>
    <n v="0.269000244"/>
    <n v="6.341999908"/>
    <n v="0.22471327699999999"/>
    <n v="60.527999999999999"/>
    <n v="49.707999999999998"/>
    <n v="79.200999999999993"/>
    <n v="0"/>
    <n v="0.221"/>
    <n v="96.864000000000004"/>
    <s v=""/>
    <n v="17.663000000000011"/>
  </r>
  <r>
    <s v="Czechia"/>
    <x v="2"/>
    <x v="3"/>
    <n v="129.9928874"/>
    <n v="2.9512458330000002"/>
    <n v="0.64901054199999997"/>
    <n v="36.771230729999999"/>
    <n v="44.04678389"/>
    <n v="2.7625520720000001"/>
    <n v="12.412203590000001"/>
    <n v="7.98"/>
    <n v="7.1509999999999998"/>
    <n v="0.183000045"/>
    <n v="7.26400896"/>
    <n v="0.21991070200000001"/>
    <n v="59.292999999999999"/>
    <n v="48.148000000000003"/>
    <n v="73.631"/>
    <n v="0"/>
    <n v="0.23699999999999999"/>
    <n v="86.721000000000004"/>
    <s v=""/>
    <n v="13.090000000000003"/>
  </r>
  <r>
    <s v="Czechia"/>
    <x v="3"/>
    <x v="3"/>
    <n v="130.39851279999999"/>
    <n v="3.0559534949999998"/>
    <n v="0.65063292299999997"/>
    <n v="36.1913111"/>
    <n v="42.670319749999997"/>
    <n v="2.9839846470000002"/>
    <n v="12.67676223"/>
    <n v="7.5309999999999997"/>
    <n v="6.5869999999999997"/>
    <n v="0.23800007100000001"/>
    <n v="7.328993605"/>
    <n v="0.21290668300000001"/>
    <n v="58.881"/>
    <n v="47.773000000000003"/>
    <n v="71.870999999999995"/>
    <n v="0"/>
    <n v="0.25700000000000001"/>
    <n v="85.239000000000004"/>
    <s v=""/>
    <n v="13.368000000000009"/>
  </r>
  <r>
    <s v="Czechia"/>
    <x v="4"/>
    <x v="3"/>
    <n v="125.0769391"/>
    <n v="3.0357449320000001"/>
    <n v="0.60643740099999999"/>
    <n v="33.558956979999998"/>
    <n v="41.201399309999999"/>
    <n v="3.5720977770000002"/>
    <n v="13.834937249999999"/>
    <n v="7.6609999999999996"/>
    <n v="6.9290000000000003"/>
    <n v="0.25"/>
    <n v="7.1480061040000002"/>
    <n v="0.19976559799999999"/>
    <n v="58.704999999999998"/>
    <n v="49.311999999999998"/>
    <n v="66.894999999999996"/>
    <n v="0"/>
    <n v="0.27"/>
    <n v="76.944000000000003"/>
    <s v=""/>
    <n v="10.049000000000007"/>
  </r>
  <r>
    <s v="Czechia"/>
    <x v="5"/>
    <x v="3"/>
    <n v="126.07253919999999"/>
    <n v="3.0199602219999999"/>
    <n v="0.57546271100000002"/>
    <n v="32.690354790000001"/>
    <n v="41.74642377"/>
    <n v="4.4028464840000003"/>
    <n v="14.53635542"/>
    <n v="7.8659999999999997"/>
    <n v="7.26"/>
    <n v="0.25400029800000001"/>
    <n v="8.0700081319999999"/>
    <n v="0.19055307599999999"/>
    <n v="60.847000000000001"/>
    <n v="52.155000000000001"/>
    <n v="65.807000000000002"/>
    <n v="0"/>
    <n v="0.27600000000000002"/>
    <n v="74.900999999999996"/>
    <s v=""/>
    <n v="9.0939999999999941"/>
  </r>
  <r>
    <s v="Czechia"/>
    <x v="6"/>
    <x v="3"/>
    <n v="127.2363251"/>
    <n v="2.9554025990000001"/>
    <n v="0.55724349500000003"/>
    <n v="33.345252070000001"/>
    <n v="43.052112469999997"/>
    <n v="4.1940955850000003"/>
    <n v="14.893946010000001"/>
    <n v="8.1530000000000005"/>
    <n v="7.83"/>
    <n v="0.235999877"/>
    <n v="9.2909904819999998"/>
    <n v="0.18855079"/>
    <n v="64.257000000000005"/>
    <n v="54.146000000000001"/>
    <n v="65.873000000000005"/>
    <n v="0"/>
    <n v="0.251"/>
    <n v="77.144999999999996"/>
    <s v=""/>
    <n v="11.271999999999991"/>
  </r>
  <r>
    <s v="Czechia"/>
    <x v="7"/>
    <x v="3"/>
    <n v="125.1024973"/>
    <n v="2.8836997210000002"/>
    <n v="0.55117581199999999"/>
    <n v="33.772871160000001"/>
    <n v="43.382636669999997"/>
    <n v="3.984643487"/>
    <n v="14.91920066"/>
    <n v="7.8470000000000004"/>
    <n v="7.41"/>
    <n v="0.21599997700000001"/>
    <n v="9.4259936409999998"/>
    <n v="0.191134953"/>
    <n v="64.597999999999999"/>
    <n v="53.162999999999997"/>
    <n v="64.531000000000006"/>
    <n v="0"/>
    <n v="0.46300000000000002"/>
    <n v="74.016000000000005"/>
    <s v=""/>
    <n v="9.4849999999999994"/>
  </r>
  <r>
    <s v="Czechia"/>
    <x v="8"/>
    <x v="3"/>
    <n v="119.3372083"/>
    <n v="2.8429020170000001"/>
    <n v="0.52750914199999999"/>
    <n v="31.768299259999999"/>
    <n v="41.977249880000002"/>
    <n v="3.7949993860000002"/>
    <n v="15.275559980000001"/>
    <n v="8.1129999999999995"/>
    <n v="7.09"/>
    <n v="0.22800030099999999"/>
    <n v="9.4209997619999992"/>
    <n v="0.18555305"/>
    <n v="65.111999999999995"/>
    <n v="52.195999999999998"/>
    <n v="59.082999999999998"/>
    <n v="0"/>
    <n v="0.433"/>
    <n v="67.528999999999996"/>
    <s v=""/>
    <n v="8.445999999999998"/>
  </r>
  <r>
    <s v="Czechia"/>
    <x v="9"/>
    <x v="3"/>
    <n v="111.8119877"/>
    <n v="2.8553486619999999"/>
    <n v="0.48726352299999998"/>
    <n v="28.910151679999998"/>
    <n v="39.158786159999998"/>
    <n v="4.4718211889999999"/>
    <n v="15.70390407"/>
    <n v="7.9980000000000002"/>
    <n v="6.2469999999999999"/>
    <n v="0.230000169"/>
    <n v="9.5180026919999996"/>
    <n v="0.17064939500000001"/>
    <n v="64.694000000000003"/>
    <n v="51.177999999999997"/>
    <n v="51.790999999999997"/>
    <n v="0"/>
    <n v="0.38600000000000001"/>
    <n v="59.133000000000003"/>
    <s v=""/>
    <n v="7.3420000000000059"/>
  </r>
  <r>
    <s v="Czechia"/>
    <x v="10"/>
    <x v="3"/>
    <n v="122.555814"/>
    <n v="2.9765816470000002"/>
    <n v="0.512228397"/>
    <n v="30.843210110000001"/>
    <n v="41.173341970000003"/>
    <n v="3.8643726350000001"/>
    <n v="15.7350765"/>
    <n v="7.74"/>
    <n v="6.1310000000000002"/>
    <n v="0.21899981900000001"/>
    <n v="9.2359950519999998"/>
    <n v="0.17208612300000001"/>
    <n v="73.465999999999994"/>
    <n v="52.292000000000002"/>
    <n v="61.507136940000002"/>
    <n v="0"/>
    <n v="0.38500000000000001"/>
    <n v="65.162000000000006"/>
    <s v=""/>
    <n v="3.6548630600000038"/>
  </r>
  <r>
    <s v="Czechia"/>
    <x v="11"/>
    <x v="3"/>
    <n v="121.863406"/>
    <n v="2.8833942829999999"/>
    <n v="0.49493786299999998"/>
    <n v="31.546339750000001"/>
    <n v="42.263871680000001"/>
    <n v="4.0055193109999996"/>
    <n v="15.86654905"/>
    <n v="8.1449999999999996"/>
    <n v="6.3079999999999998"/>
    <n v="0.15999977400000001"/>
    <n v="9.8950005430000001"/>
    <n v="0.17165112199999999"/>
    <n v="74.647000000000006"/>
    <n v="53.774999999999999"/>
    <n v="59.517837729999997"/>
    <n v="1.3611739999999999E-3"/>
    <n v="0.36599999999999999"/>
    <n v="66.105999999999995"/>
    <s v=""/>
    <n v="6.588162269999998"/>
  </r>
  <r>
    <s v="Czechia"/>
    <x v="12"/>
    <x v="3"/>
    <n v="117.7607701"/>
    <n v="2.7486147509999999"/>
    <n v="0.47050036499999998"/>
    <n v="31.76076196"/>
    <n v="42.843679729999998"/>
    <n v="4.3891130089999999"/>
    <n v="16.105708029999999"/>
    <n v="7.9630000000000001"/>
    <n v="6.3890000000000002"/>
    <n v="0.152999951"/>
    <n v="9.5519884879999992"/>
    <n v="0.17117726799999999"/>
    <n v="76.347999999999999"/>
    <n v="53.668999999999997"/>
    <n v="57.844999999999999"/>
    <n v="2.6195839999999999E-3"/>
    <n v="0.42099999999999999"/>
    <n v="63.356000000000002"/>
    <s v=""/>
    <n v="5.5110000000000028"/>
  </r>
  <r>
    <s v="Czechia"/>
    <x v="13"/>
    <x v="3"/>
    <n v="121.8103649"/>
    <n v="2.7237154870000002"/>
    <n v="0.46975486300000002"/>
    <n v="33.80986497"/>
    <n v="44.722132510000002"/>
    <n v="2.7515109280000001"/>
    <n v="15.893219"/>
    <n v="8.4659999999999993"/>
    <n v="6.7439999999999998"/>
    <n v="0.16800008799999999"/>
    <n v="9.6579904590000005"/>
    <n v="0.17246840399999999"/>
    <n v="83.227000000000004"/>
    <n v="54.807000000000002"/>
    <n v="59.344000000000001"/>
    <n v="6.007666E-3"/>
    <n v="0.47399999999999998"/>
    <n v="63.905999999999999"/>
    <s v=""/>
    <n v="4.5619999999999976"/>
  </r>
  <r>
    <s v="Czechia"/>
    <x v="14"/>
    <x v="3"/>
    <n v="123.65860790000001"/>
    <n v="2.7036681219999998"/>
    <n v="0.454578333"/>
    <n v="34.801026780000001"/>
    <n v="45.737347309999997"/>
    <n v="3.8940865379999998"/>
    <n v="15.398270910000001"/>
    <n v="9.2859999999999996"/>
    <n v="7.0309999999999997"/>
    <n v="0.215000213"/>
    <n v="9.6010059650000006"/>
    <n v="0.16813392499999999"/>
    <n v="84.332999999999998"/>
    <n v="54.91"/>
    <n v="58.218000000000004"/>
    <n v="1.1857754E-2"/>
    <n v="0.57999999999999996"/>
    <n v="64.075999999999993"/>
    <s v=""/>
    <n v="5.8579999999999899"/>
  </r>
  <r>
    <s v="Czechia"/>
    <x v="15"/>
    <x v="3"/>
    <n v="119.3475552"/>
    <n v="2.6394132529999998"/>
    <n v="0.41182417599999999"/>
    <n v="33.201261549999998"/>
    <n v="45.217456990000002"/>
    <n v="4.5762793960000003"/>
    <n v="15.955082900000001"/>
    <n v="9.6080000000000005"/>
    <n v="8.1750000000000007"/>
    <n v="0.201000235"/>
    <n v="9.4930106520000006"/>
    <n v="0.156028684"/>
    <n v="82.578000000000003"/>
    <n v="55.973999999999997"/>
    <n v="56.923999999999999"/>
    <n v="2.5430502000000001E-2"/>
    <n v="0.58899999999999997"/>
    <n v="62.026000000000003"/>
    <s v=""/>
    <n v="5.1020000000000039"/>
  </r>
  <r>
    <s v="Czechia"/>
    <x v="16"/>
    <x v="3"/>
    <n v="120.0186308"/>
    <n v="2.5950278529999999"/>
    <n v="0.387577124"/>
    <n v="33.853434909999997"/>
    <n v="46.249457640000003"/>
    <n v="5.0106091680000002"/>
    <n v="16.272908780000002"/>
    <n v="9.5229999999999997"/>
    <n v="8.2189999999999994"/>
    <n v="0.19400023199999999"/>
    <n v="9.2919968649999998"/>
    <n v="0.14935374300000001"/>
    <n v="84.361000000000004"/>
    <n v="57.631"/>
    <n v="57.231000000000002"/>
    <n v="5.9269094000000001E-2"/>
    <n v="0.44500000000000001"/>
    <n v="62.902999999999999"/>
    <s v=""/>
    <n v="5.671999999999997"/>
  </r>
  <r>
    <s v="Czechia"/>
    <x v="17"/>
    <x v="3"/>
    <n v="122.913325"/>
    <n v="2.661570094"/>
    <n v="0.37586652100000001"/>
    <n v="33.965379830000003"/>
    <n v="46.180758220000001"/>
    <n v="4.3583754729999997"/>
    <n v="16.79597064"/>
    <n v="9.5039999999999996"/>
    <n v="7.7969999999999997"/>
    <n v="0.20099999499999999"/>
    <n v="8.7400068330000007"/>
    <n v="0.14121984700000001"/>
    <n v="88.197999999999993"/>
    <n v="57.89"/>
    <n v="58.508000000000003"/>
    <n v="0.14399419499999999"/>
    <n v="0.434"/>
    <n v="62.625999999999998"/>
    <s v=""/>
    <n v="4.117999999999995"/>
  </r>
  <r>
    <s v="Czechia"/>
    <x v="18"/>
    <x v="3"/>
    <n v="117.7275803"/>
    <n v="2.60104756"/>
    <n v="0.350604415"/>
    <n v="33.145429450000002"/>
    <n v="45.261602349999997"/>
    <n v="4.8812270609999997"/>
    <n v="16.945250219999998"/>
    <n v="9.5619999999999994"/>
    <n v="8.6270000000000007"/>
    <n v="0.19900020299999999"/>
    <n v="8.6870001370000001"/>
    <n v="0.13479354199999999"/>
    <n v="83.647000000000006"/>
    <n v="58.585999999999999"/>
    <n v="55.061"/>
    <n v="0.30843903499999997"/>
    <n v="0.34799999999999998"/>
    <n v="60.2"/>
    <s v=""/>
    <n v="5.1390000000000029"/>
  </r>
  <r>
    <s v="Czechia"/>
    <x v="19"/>
    <x v="3"/>
    <n v="110.00828009999999"/>
    <n v="2.5855575449999999"/>
    <n v="0.34414330300000001"/>
    <n v="31.66006776"/>
    <n v="42.54721782"/>
    <n v="6.3357060289999998"/>
    <n v="16.877491580000001"/>
    <n v="9.0030000000000001"/>
    <n v="7.6829999999999998"/>
    <n v="0.22499993300000001"/>
    <n v="8.2270097440000001"/>
    <n v="0.133102163"/>
    <n v="82.185000000000002"/>
    <n v="55.337000000000003"/>
    <n v="51.93"/>
    <n v="0.45872117800000001"/>
    <n v="0.31"/>
    <n v="56.417000000000002"/>
    <s v=""/>
    <n v="4.4870000000000019"/>
  </r>
  <r>
    <s v="Czechia"/>
    <x v="20"/>
    <x v="3"/>
    <n v="113.6746084"/>
    <n v="2.520574007"/>
    <n v="0.34770796199999998"/>
    <n v="32.054253920000001"/>
    <n v="45.098698990000003"/>
    <n v="7.5585253129999996"/>
    <n v="16.812696389999999"/>
    <n v="8.8040000000000003"/>
    <n v="8.2010000000000005"/>
    <n v="0.24600007300000001"/>
    <n v="9.2800006289999999"/>
    <n v="0.137947928"/>
    <n v="85.903000000000006"/>
    <n v="56.173000000000002"/>
    <n v="52.129746269999998"/>
    <n v="1.2060114310000001"/>
    <n v="0.27200000000000002"/>
    <n v="55.366999999999997"/>
    <s v=""/>
    <n v="3.2372537299999991"/>
  </r>
  <r>
    <s v="Czechia"/>
    <x v="21"/>
    <x v="3"/>
    <n v="110.10340100000001"/>
    <n v="2.5312293499999998"/>
    <n v="0.33090147399999997"/>
    <n v="32.614156649999998"/>
    <n v="43.497994749999997"/>
    <n v="9.0869600009999996"/>
    <n v="17.26534367"/>
    <n v="8.5269999999999992"/>
    <n v="7.4489999999999998"/>
    <n v="0.23500010700000001"/>
    <n v="8.4129893360000008"/>
    <n v="0.13072757500000001"/>
    <n v="87.477000000000004"/>
    <n v="55.747"/>
    <n v="52.836069600000002"/>
    <n v="3.0442287690000001"/>
    <n v="0.34899999999999998"/>
    <n v="58.08"/>
    <s v=""/>
    <n v="5.2439303999999964"/>
  </r>
  <r>
    <s v="Czechia"/>
    <x v="22"/>
    <x v="3"/>
    <n v="106.73244699999999"/>
    <n v="2.4698427270000001"/>
    <n v="0.323356861"/>
    <n v="32.674929110000001"/>
    <n v="43.214268599999997"/>
    <n v="10.062000960000001"/>
    <n v="17.255533679999999"/>
    <n v="8.4489999999999998"/>
    <n v="7.6269999999999998"/>
    <n v="0.26300001299999998"/>
    <n v="8.3859890830000001"/>
    <n v="0.13092204499999999"/>
    <n v="87.418000000000006"/>
    <n v="55.984000000000002"/>
    <n v="50.496805379999998"/>
    <n v="3.0188290740000001"/>
    <n v="0.32700000000000001"/>
    <n v="55.185000000000002"/>
    <s v=""/>
    <n v="4.6881946200000044"/>
  </r>
  <r>
    <s v="Czechia"/>
    <x v="23"/>
    <x v="3"/>
    <n v="102.6404862"/>
    <n v="2.3767863980000001"/>
    <n v="0.31247118000000002"/>
    <n v="30.591406880000001"/>
    <n v="43.184564780000002"/>
    <n v="11.75198187"/>
    <n v="17.2239246"/>
    <n v="8.1029999999999998"/>
    <n v="7.0060000000000002"/>
    <n v="0.25200003199999998"/>
    <n v="8.4659942360000002"/>
    <n v="0.13146792700000001"/>
    <n v="86.912999999999997"/>
    <n v="55.137"/>
    <n v="47.579656020000002"/>
    <n v="2.9788409100000002"/>
    <n v="0.26200000000000001"/>
    <n v="49.131"/>
    <s v=""/>
    <n v="1.5513439799999986"/>
  </r>
  <r>
    <s v="Czechia"/>
    <x v="24"/>
    <x v="3"/>
    <n v="100.0194034"/>
    <n v="2.384965529"/>
    <n v="0.29644297600000002"/>
    <n v="29.819357490000002"/>
    <n v="41.9374629"/>
    <n v="11.867948180000001"/>
    <n v="17.5074118"/>
    <n v="8.6389999999999993"/>
    <n v="7.8810000000000002"/>
    <n v="0.25900025199999999"/>
    <n v="7.5220095520000001"/>
    <n v="0.12429654599999999"/>
    <n v="86.147999999999996"/>
    <n v="55.098999999999997"/>
    <n v="46.282119289999997"/>
    <n v="3.1097645909999998"/>
    <n v="0.26800000000000002"/>
    <n v="47.076999999999998"/>
    <s v=""/>
    <n v="0.79488071000000105"/>
  </r>
  <r>
    <s v="Czechia"/>
    <x v="25"/>
    <x v="3"/>
    <n v="100.89972040000001"/>
    <n v="2.4029948249999999"/>
    <n v="0.28397518799999999"/>
    <n v="28.891623490000001"/>
    <n v="41.989154249999999"/>
    <n v="12.752109859999999"/>
    <n v="17.780849280000002"/>
    <n v="8.4920000000000009"/>
    <n v="7.5359999999999996"/>
    <n v="0.247000303"/>
    <n v="7.8679979229999999"/>
    <n v="0.11817553"/>
    <n v="83.891999999999996"/>
    <n v="56.398000000000003"/>
    <n v="46.075409960000002"/>
    <n v="3.4758975830000001"/>
    <n v="0.216"/>
    <n v="46.530999999999999"/>
    <s v=""/>
    <n v="0.45559003999999703"/>
  </r>
  <r>
    <s v="Czechia"/>
    <x v="26"/>
    <x v="3"/>
    <n v="102.3413501"/>
    <n v="2.4685571949999998"/>
    <n v="0.28114302499999999"/>
    <n v="27.369536950000001"/>
    <n v="41.457961879999999"/>
    <n v="12.70691042"/>
    <n v="18.270656299999999"/>
    <n v="7.774"/>
    <n v="5.6040000000000001"/>
    <n v="0.21800008800000001"/>
    <n v="8.4909964979999994"/>
    <n v="0.113889613"/>
    <n v="83.308999999999997"/>
    <n v="57.642000000000003"/>
    <n v="46.126702029999997"/>
    <n v="3.2481484589999998"/>
    <n v="0.192"/>
    <n v="45.542999999999999"/>
    <s v=""/>
    <n v="-0.58370202999999776"/>
  </r>
  <r>
    <s v="Czechia"/>
    <x v="27"/>
    <x v="3"/>
    <n v="103.84201830000001"/>
    <n v="2.397997589"/>
    <n v="0.27336694700000003"/>
    <n v="27.713425130000001"/>
    <n v="43.303637500000001"/>
    <n v="12.39663558"/>
    <n v="17.589256200000001"/>
    <n v="9.1460000000000008"/>
    <n v="8.1829999999999998"/>
    <n v="0.22900005700000001"/>
    <n v="8.7269932659999991"/>
    <n v="0.113998008"/>
    <n v="87.050263999999999"/>
    <n v="59.122968"/>
    <n v="45.888747330000001"/>
    <n v="3.2964943099999999"/>
    <n v="0.23100000000000001"/>
    <n v="44.906773999999999"/>
    <s v=""/>
    <n v="-0.98197333000000242"/>
  </r>
  <r>
    <s v="Czechia"/>
    <x v="28"/>
    <x v="3"/>
    <n v="102.60895530000001"/>
    <n v="2.370808738"/>
    <n v="0.262360808"/>
    <n v="27.65468667"/>
    <n v="43.280148949999997"/>
    <n v="11.90010949"/>
    <n v="17.901788809999999"/>
    <n v="9.2080000000000002"/>
    <n v="7.8479999999999999"/>
    <n v="0.21773910799999999"/>
    <n v="8.2676280119999994"/>
    <n v="0.110663"/>
    <n v="88.032021999999998"/>
    <n v="59.765357999999999"/>
    <n v="45.474093519999997"/>
    <n v="3.4727510860000002"/>
    <n v="0.222"/>
    <n v="43.765593000000003"/>
    <s v=""/>
    <n v="-1.7085005199999941"/>
  </r>
  <r>
    <s v="Czechia"/>
    <x v="29"/>
    <x v="3"/>
    <n v="98.014369470000005"/>
    <n v="2.293012144"/>
    <n v="0.24489462300000001"/>
    <n v="26.673213369999999"/>
    <n v="42.744810469999997"/>
    <n v="12.89039066"/>
    <n v="18.078063620000002"/>
    <n v="9.2685615129999999"/>
    <n v="8.1147139429999999"/>
    <n v="0.209170144"/>
    <n v="8.6787426990000007"/>
    <n v="0.106800404"/>
    <n v="87.030602000000002"/>
    <n v="60.222836260000001"/>
    <n v="41.341607979999999"/>
    <n v="3.5746388649999998"/>
    <n v="0.17807200500000001"/>
    <n v="40.020570489999997"/>
    <s v=""/>
    <n v="-1.3210374900000019"/>
  </r>
  <r>
    <s v="Czechia"/>
    <x v="30"/>
    <x v="3"/>
    <n v="85.355379310000004"/>
    <n v="2.1750317259999998"/>
    <n v="0.226156307"/>
    <n v="23.273925120000001"/>
    <n v="39.243280130000002"/>
    <n v="14.263439050000001"/>
    <n v="18.802177579999999"/>
    <n v="8.2087407120000009"/>
    <n v="6.3551381920000001"/>
    <n v="0.19615956000000001"/>
    <n v="8.8187062950000001"/>
    <n v="0.103978395"/>
    <n v="81.484415530000007"/>
    <n v="58.156297330000001"/>
    <n v="33.078802019999998"/>
    <n v="3.7490094749999998"/>
    <n v="0.103784298"/>
    <n v="30.948056149999999"/>
    <s v=""/>
    <n v="-2.1307458699999984"/>
  </r>
  <r>
    <s v="Egypt"/>
    <x v="0"/>
    <x v="5"/>
    <n v="78.403283349999995"/>
    <n v="2.3718348749999998"/>
    <n v="0.213631395"/>
    <n v="55.672725159999999"/>
    <n v="33.055961940000003"/>
    <n v="23.504354410000001"/>
    <n v="13.144622289999999"/>
    <n v="20.523"/>
    <n v="24.045000000000002"/>
    <n v="8.2420000000000009"/>
    <n v="8.2420063690000003"/>
    <n v="9.0070096000000002E-2"/>
    <n v="42.256"/>
    <n v="36.201999999999998"/>
    <n v="1.1990000000000001"/>
    <n v="0"/>
    <n v="45.499000000000002"/>
    <n v="0"/>
    <s v=""/>
    <n v="-1.1990000000000001"/>
  </r>
  <r>
    <s v="Egypt"/>
    <x v="1"/>
    <x v="5"/>
    <n v="77.431712169999997"/>
    <n v="2.3428225060000001"/>
    <n v="0.208636081"/>
    <n v="56.31223121"/>
    <n v="33.05060967"/>
    <n v="22.349647820000001"/>
    <n v="14.14226916"/>
    <n v="19.696000000000002"/>
    <n v="24.44"/>
    <n v="9.08"/>
    <n v="9.0799927369999995"/>
    <n v="8.9053303E-2"/>
    <n v="44.295999999999999"/>
    <n v="37.975000000000001"/>
    <n v="1.3069999999999999"/>
    <n v="0"/>
    <n v="45.417999999999999"/>
    <n v="0"/>
    <s v=""/>
    <n v="-1.3069999999999999"/>
  </r>
  <r>
    <s v="Egypt"/>
    <x v="2"/>
    <x v="5"/>
    <n v="80.353521200000003"/>
    <n v="2.3655740010000001"/>
    <n v="0.20723923799999999"/>
    <n v="57.369341319999997"/>
    <n v="33.96787467"/>
    <n v="21.235605759999999"/>
    <n v="13.95475772"/>
    <n v="20.186"/>
    <n v="24.2"/>
    <n v="9.7789999999999999"/>
    <n v="9.7789988369999996"/>
    <n v="8.7606322E-2"/>
    <n v="45.677999999999997"/>
    <n v="39.009"/>
    <n v="1.343"/>
    <n v="0"/>
    <n v="45.869"/>
    <n v="0"/>
    <s v=""/>
    <n v="-1.343"/>
  </r>
  <r>
    <s v="Egypt"/>
    <x v="3"/>
    <x v="5"/>
    <n v="82.116247090000002"/>
    <n v="2.333522168"/>
    <n v="0.205815204"/>
    <n v="60.60678171"/>
    <n v="35.189829439999997"/>
    <n v="21.93698217"/>
    <n v="13.95447388"/>
    <n v="19.699000000000002"/>
    <n v="25.725000000000001"/>
    <n v="11.544"/>
    <n v="11.54398975"/>
    <n v="8.8199377999999995E-2"/>
    <n v="47.795999999999999"/>
    <n v="40.762"/>
    <n v="1.6140000000000001"/>
    <n v="0"/>
    <n v="47.527000000000001"/>
    <n v="0"/>
    <s v=""/>
    <n v="-1.6140000000000001"/>
  </r>
  <r>
    <s v="Egypt"/>
    <x v="4"/>
    <x v="5"/>
    <n v="77.153539230000007"/>
    <n v="2.2794749209999998"/>
    <n v="0.18598714199999999"/>
    <n v="60.003579180000003"/>
    <n v="33.847066499999997"/>
    <n v="22.25174428"/>
    <n v="15.34902228"/>
    <n v="17.864999999999998"/>
    <n v="26.678000000000001"/>
    <n v="11.97501493"/>
    <n v="11.97501493"/>
    <n v="8.1592098000000002E-2"/>
    <n v="49.304000000000002"/>
    <n v="42.563000000000002"/>
    <n v="1.5109999999999999"/>
    <n v="0"/>
    <n v="46.497"/>
    <n v="0"/>
    <s v=""/>
    <n v="-1.5109999999999999"/>
  </r>
  <r>
    <s v="Egypt"/>
    <x v="5"/>
    <x v="5"/>
    <n v="82.659217979999994"/>
    <n v="2.2954474120000001"/>
    <n v="0.190419063"/>
    <n v="60.664125460000001"/>
    <n v="36.010068259999997"/>
    <n v="21.948076919999998"/>
    <n v="14.871371379999999"/>
    <n v="19.451000000000001"/>
    <n v="27.24"/>
    <n v="12.593999999999999"/>
    <n v="12.593999999999999"/>
    <n v="8.2955097000000005E-2"/>
    <n v="52"/>
    <n v="44.555"/>
    <n v="1.3140000000000001"/>
    <n v="0"/>
    <n v="46.588000000000001"/>
    <n v="0"/>
    <s v=""/>
    <n v="-1.3140000000000001"/>
  </r>
  <r>
    <s v="Egypt"/>
    <x v="6"/>
    <x v="5"/>
    <n v="87.050490890000006"/>
    <n v="2.281997177"/>
    <n v="0.19100629099999999"/>
    <n v="59.518662859999999"/>
    <n v="38.146625139999998"/>
    <n v="20.955749000000001"/>
    <n v="15.446464860000001"/>
    <n v="20.486000000000001"/>
    <n v="28.335000000000001"/>
    <n v="13.026999999999999"/>
    <n v="13.026999999999999"/>
    <n v="8.3701369999999997E-2"/>
    <n v="55.14"/>
    <n v="49.139000000000003"/>
    <n v="1.393"/>
    <n v="0"/>
    <n v="45.08"/>
    <n v="0"/>
    <s v=""/>
    <n v="-1.393"/>
  </r>
  <r>
    <s v="Egypt"/>
    <x v="7"/>
    <x v="5"/>
    <n v="93.751047470000003"/>
    <n v="2.3623124579999999"/>
    <n v="0.194998643"/>
    <n v="58.537055090000003"/>
    <n v="39.686133460000001"/>
    <n v="20.515848569999999"/>
    <n v="15.53916207"/>
    <n v="22.478000000000002"/>
    <n v="29.286000000000001"/>
    <n v="13.353"/>
    <n v="13.353"/>
    <n v="8.2545661000000006E-2"/>
    <n v="58.427999999999997"/>
    <n v="52.63"/>
    <n v="1.4259999999999999"/>
    <n v="0"/>
    <n v="43.795999999999999"/>
    <n v="0"/>
    <s v=""/>
    <n v="-1.4259999999999999"/>
  </r>
  <r>
    <s v="Egypt"/>
    <x v="8"/>
    <x v="5"/>
    <n v="98.942659250000005"/>
    <n v="2.3329378369999998"/>
    <n v="0.19492875200000001"/>
    <n v="58.047262590000003"/>
    <n v="42.411185449999998"/>
    <n v="19.41047549"/>
    <n v="16.118359640000001"/>
    <n v="24.065999999999999"/>
    <n v="29.166"/>
    <n v="13.742000000000001"/>
    <n v="13.742000000000001"/>
    <n v="8.3555056000000003E-2"/>
    <n v="62.966000000000001"/>
    <n v="56.53"/>
    <n v="1.4339999999999999"/>
    <n v="0"/>
    <n v="42.962000000000003"/>
    <n v="0"/>
    <s v=""/>
    <n v="-1.4339999999999999"/>
  </r>
  <r>
    <s v="Egypt"/>
    <x v="9"/>
    <x v="5"/>
    <n v="103.9541201"/>
    <n v="2.403374012"/>
    <n v="0.193112006"/>
    <n v="60.166092980000002"/>
    <n v="43.253409419999997"/>
    <n v="21.436601209999999"/>
    <n v="16.421551239999999"/>
    <n v="23.638999999999999"/>
    <n v="27.978000000000002"/>
    <n v="17.408999040000001"/>
    <n v="17.408999040000001"/>
    <n v="8.0350376000000001E-2"/>
    <n v="68.495000000000005"/>
    <n v="60.805999999999997"/>
    <n v="1.2769999999999999"/>
    <n v="3.5039054E-2"/>
    <n v="41.845999999999997"/>
    <n v="0"/>
    <s v=""/>
    <n v="-1.2769999999999999"/>
  </r>
  <r>
    <s v="Egypt"/>
    <x v="10"/>
    <x v="5"/>
    <n v="101.7043309"/>
    <n v="2.482266562"/>
    <n v="0.17761835400000001"/>
    <n v="53.933764889999999"/>
    <n v="40.972364720000002"/>
    <n v="17.703441130000002"/>
    <n v="17.305645559999999"/>
    <n v="22.501000000000001"/>
    <n v="25.873999999999999"/>
    <n v="17.672999999999998"/>
    <n v="17.672999999999998"/>
    <n v="7.1554907000000001E-2"/>
    <n v="78.143000000000001"/>
    <n v="64.33"/>
    <n v="1.5880000000000001"/>
    <n v="0.17531960599999999"/>
    <n v="35.539000000000001"/>
    <n v="0"/>
    <s v=""/>
    <n v="-1.5880000000000001"/>
  </r>
  <r>
    <s v="Egypt"/>
    <x v="11"/>
    <x v="5"/>
    <n v="111.6904667"/>
    <n v="2.3946565230000001"/>
    <n v="0.18839798599999999"/>
    <n v="57.859717230000001"/>
    <n v="46.641539440000003"/>
    <n v="18.432554450000001"/>
    <n v="17.365376309999998"/>
    <n v="22.251999999999999"/>
    <n v="29.689"/>
    <n v="23.215"/>
    <n v="23.215"/>
    <n v="7.8674325000000003E-2"/>
    <n v="83.281999999999996"/>
    <n v="69.174000000000007"/>
    <n v="1.4"/>
    <n v="0.26536346399999999"/>
    <n v="34.811999999999998"/>
    <n v="0"/>
    <s v=""/>
    <n v="-1.4"/>
  </r>
  <r>
    <s v="Egypt"/>
    <x v="12"/>
    <x v="5"/>
    <n v="117.1667459"/>
    <n v="2.4502826440000001"/>
    <n v="0.193021688"/>
    <n v="59.842525109999997"/>
    <n v="47.817645110000001"/>
    <n v="14.646260789999999"/>
    <n v="17.283712090000002"/>
    <n v="22.972000000000001"/>
    <n v="30.488"/>
    <n v="26.04"/>
    <n v="26.04"/>
    <n v="7.8775275000000006E-2"/>
    <n v="89.19"/>
    <n v="74.12"/>
    <n v="1.502"/>
    <n v="0.22872519299999999"/>
    <n v="34.665999999999997"/>
    <n v="0"/>
    <s v=""/>
    <n v="-1.502"/>
  </r>
  <r>
    <s v="Egypt"/>
    <x v="13"/>
    <x v="5"/>
    <n v="120.6089965"/>
    <n v="2.4274547470000001"/>
    <n v="0.19254369099999999"/>
    <n v="62.893898040000003"/>
    <n v="49.685373820000002"/>
    <n v="14.064486309999999"/>
    <n v="18.722286270000001"/>
    <n v="22.478000000000002"/>
    <n v="31.472999999999999"/>
    <n v="28.571999999999999"/>
    <n v="28.571999999999999"/>
    <n v="7.9319167999999995E-2"/>
    <n v="95.183000000000007"/>
    <n v="79.641999999999996"/>
    <n v="1.5569999999999999"/>
    <n v="0.38662366199999998"/>
    <n v="35.585999999999999"/>
    <n v="0"/>
    <s v=""/>
    <n v="-1.5569999999999999"/>
  </r>
  <r>
    <s v="Egypt"/>
    <x v="14"/>
    <x v="5"/>
    <n v="131.7831956"/>
    <n v="2.4284475639999998"/>
    <n v="0.20211193999999999"/>
    <n v="63.144025849999998"/>
    <n v="54.26643653"/>
    <n v="12.99815398"/>
    <n v="20.08466086"/>
    <n v="26.513000000000002"/>
    <n v="31.893999999999998"/>
    <n v="31.643999999999998"/>
    <n v="27.959"/>
    <n v="8.3226808999999999E-2"/>
    <n v="101.29900000000001"/>
    <n v="85.087999999999994"/>
    <n v="1.591"/>
    <n v="0.51629334900000001"/>
    <n v="33.363"/>
    <n v="0"/>
    <s v=""/>
    <n v="-1.591"/>
  </r>
  <r>
    <s v="Egypt"/>
    <x v="15"/>
    <x v="5"/>
    <n v="149.0893178"/>
    <n v="2.3892973080000002"/>
    <n v="0.21886666399999999"/>
    <n v="78.806560640000001"/>
    <n v="62.398813799999999"/>
    <n v="12.14095133"/>
    <n v="18.627578719999999"/>
    <n v="26.827999999999999"/>
    <n v="31.945"/>
    <n v="52.189043599999998"/>
    <n v="36.709008660000002"/>
    <n v="9.1602942000000007E-2"/>
    <n v="108.69"/>
    <n v="92.084999999999994"/>
    <n v="1.5569999999999999"/>
    <n v="0.50786640900000002"/>
    <n v="32.243000000000002"/>
    <n v="0"/>
    <s v=""/>
    <n v="-1.5569999999999999"/>
  </r>
  <r>
    <s v="Egypt"/>
    <x v="16"/>
    <x v="5"/>
    <n v="157.42647120000001"/>
    <n v="2.3884456690000002"/>
    <n v="0.216302416"/>
    <n v="81.788666469999995"/>
    <n v="65.911681889999997"/>
    <n v="11.73325708"/>
    <n v="18.610692889999999"/>
    <n v="27.841999999999999"/>
    <n v="31.713999999999999"/>
    <n v="56.127062819999999"/>
    <n v="39.497002649999999"/>
    <n v="9.0562000000000004E-2"/>
    <n v="115.407"/>
    <n v="98.093999999999994"/>
    <n v="1.393"/>
    <n v="0.53376311700000001"/>
    <n v="31.983000000000001"/>
    <n v="0"/>
    <s v=""/>
    <n v="-1.393"/>
  </r>
  <r>
    <s v="Egypt"/>
    <x v="17"/>
    <x v="5"/>
    <n v="169.5337743"/>
    <n v="2.409474264"/>
    <n v="0.21752026899999999"/>
    <n v="86.152750280000006"/>
    <n v="70.361313580000001"/>
    <n v="13.05932278"/>
    <n v="18.224050479999999"/>
    <n v="29.422000000000001"/>
    <n v="33.450000000000003"/>
    <n v="60"/>
    <n v="43.4"/>
    <n v="9.0277067000000003E-2"/>
    <n v="125.129"/>
    <n v="106.595"/>
    <n v="1.2769999999999999"/>
    <n v="0.66411463400000004"/>
    <n v="32.912999999999997"/>
    <n v="0"/>
    <s v=""/>
    <n v="-1.2769999999999999"/>
  </r>
  <r>
    <s v="Egypt"/>
    <x v="18"/>
    <x v="5"/>
    <n v="177.5112062"/>
    <n v="2.4332989170000001"/>
    <n v="0.21254536299999999"/>
    <n v="89.934016"/>
    <n v="72.950842589999993"/>
    <n v="13.273131169999999"/>
    <n v="16.957850799999999"/>
    <n v="31.300999999999998"/>
    <n v="31.695"/>
    <n v="62.266072979999997"/>
    <n v="44.567947369999999"/>
    <n v="8.7348645000000003E-2"/>
    <n v="117.49299999999999"/>
    <n v="98.167000000000002"/>
    <n v="1.139"/>
    <n v="0.77706757000000004"/>
    <n v="34.860999999999997"/>
    <n v="0"/>
    <s v=""/>
    <n v="-1.139"/>
  </r>
  <r>
    <s v="Egypt"/>
    <x v="19"/>
    <x v="5"/>
    <n v="181.87320690000001"/>
    <n v="2.4371629540000002"/>
    <n v="0.208045067"/>
    <n v="88.769947040000005"/>
    <n v="74.624967780000006"/>
    <n v="11.14579683"/>
    <n v="18.024328830000002"/>
    <n v="33.415999999999997"/>
    <n v="30.285"/>
    <n v="62.078000000000003"/>
    <n v="43.753"/>
    <n v="8.5363625999999998E-2"/>
    <n v="125.572"/>
    <n v="105.47499999999999"/>
    <n v="1.012"/>
    <n v="0.90227120699999996"/>
    <n v="33.987000000000002"/>
    <n v="0"/>
    <s v=""/>
    <n v="-1.012"/>
  </r>
  <r>
    <s v="Egypt"/>
    <x v="20"/>
    <x v="5"/>
    <n v="184.1211022"/>
    <n v="2.4914150450000001"/>
    <n v="0.20030620800000001"/>
    <n v="85.250065609999993"/>
    <n v="73.902219779999996"/>
    <n v="10.04795771"/>
    <n v="20.09577672"/>
    <n v="34.020000000000003"/>
    <n v="30.23"/>
    <n v="56.814062180000001"/>
    <n v="43.838963579999998"/>
    <n v="8.0398570000000003E-2"/>
    <n v="146.79599999999999"/>
    <n v="123.71599999999999"/>
    <n v="0.95799999999999996"/>
    <n v="1.1607945719999999"/>
    <n v="34.676000000000002"/>
    <n v="0"/>
    <s v=""/>
    <n v="-0.95799999999999996"/>
  </r>
  <r>
    <s v="Egypt"/>
    <x v="21"/>
    <x v="5"/>
    <n v="189.99972819999999"/>
    <n v="2.4698757009999999"/>
    <n v="0.20311743900000001"/>
    <n v="84.383676899999998"/>
    <n v="76.926838099999998"/>
    <n v="10.19278965"/>
    <n v="19.83684556"/>
    <n v="33.607999999999997"/>
    <n v="27.356999999999999"/>
    <n v="56.38694958"/>
    <n v="47.784029310000001"/>
    <n v="8.2237919000000007E-2"/>
    <n v="144.04300000000001"/>
    <n v="124.72199999999999"/>
    <n v="0.70199999999999996"/>
    <n v="1.2135265159999999"/>
    <n v="34.165999999999997"/>
    <n v="0"/>
    <s v=""/>
    <n v="-0.70199999999999996"/>
  </r>
  <r>
    <s v="Egypt"/>
    <x v="22"/>
    <x v="5"/>
    <n v="196.3911118"/>
    <n v="2.4790104720000001"/>
    <n v="0.205377964"/>
    <n v="82.825515420000002"/>
    <n v="79.221574079999996"/>
    <n v="9.6569614680000004"/>
    <n v="19.79583259"/>
    <n v="35.935000000000002"/>
    <n v="27.904"/>
    <n v="54.106032419999998"/>
    <n v="47.904058149999997"/>
    <n v="8.2846750999999996E-2"/>
    <n v="149.95400000000001"/>
    <n v="125.84699999999999"/>
    <n v="0.61199999999999999"/>
    <n v="0.906944796"/>
    <n v="34.478000000000002"/>
    <n v="0"/>
    <s v=""/>
    <n v="-0.61199999999999999"/>
  </r>
  <r>
    <s v="Egypt"/>
    <x v="23"/>
    <x v="5"/>
    <n v="195.7904274"/>
    <n v="2.5206068419999998"/>
    <n v="0.20037075800000001"/>
    <n v="77.947749310000006"/>
    <n v="77.675908879999994"/>
    <n v="9.6345536579999997"/>
    <n v="20.036097040000001"/>
    <n v="35.874000000000002"/>
    <n v="26.516999999999999"/>
    <n v="48.081021270000001"/>
    <n v="46.006031530000001"/>
    <n v="7.9493063000000003E-2"/>
    <n v="153.59299999999999"/>
    <n v="123.468"/>
    <n v="0.67100000000000004"/>
    <n v="0.94144915500000004"/>
    <n v="34.488"/>
    <n v="0"/>
    <s v=""/>
    <n v="-0.67100000000000004"/>
  </r>
  <r>
    <s v="Egypt"/>
    <x v="24"/>
    <x v="5"/>
    <n v="199.01754109999999"/>
    <n v="2.4724402699999999"/>
    <n v="0.19790269799999999"/>
    <n v="74.587199720000001"/>
    <n v="80.494377740000004"/>
    <n v="9.6632503659999998"/>
    <n v="21.742208529999999"/>
    <n v="38.466000000000001"/>
    <n v="26.748000000000001"/>
    <n v="43.062018260000002"/>
    <n v="42.73701191"/>
    <n v="8.0043470000000005E-2"/>
    <n v="160.505"/>
    <n v="133.197"/>
    <n v="1.006"/>
    <n v="1.0516806329999999"/>
    <n v="35.149000000000001"/>
    <n v="3.9E-2"/>
    <s v=""/>
    <n v="-0.96699999999999997"/>
  </r>
  <r>
    <s v="Egypt"/>
    <x v="25"/>
    <x v="5"/>
    <n v="208.8624992"/>
    <n v="2.5900717759999998"/>
    <n v="0.19899251700000001"/>
    <n v="70.130263529999993"/>
    <n v="80.639656849999994"/>
    <n v="9.1253102810000009"/>
    <n v="21.634369499999998"/>
    <n v="39.343000000000004"/>
    <n v="26.984999999999999"/>
    <n v="38.302"/>
    <n v="45.017000000000003"/>
    <n v="7.6828958000000003E-2"/>
    <n v="172.827"/>
    <n v="138.46700000000001"/>
    <n v="2.0880000000000001"/>
    <n v="1.287993196"/>
    <n v="34.561"/>
    <n v="5.8000000000000003E-2"/>
    <s v=""/>
    <n v="-2.0300000000000002"/>
  </r>
  <r>
    <s v="Egypt"/>
    <x v="26"/>
    <x v="5"/>
    <n v="217.82661580000001"/>
    <n v="2.4721568280000001"/>
    <n v="0.198888071"/>
    <n v="70.737627450000005"/>
    <n v="88.111973039999995"/>
    <n v="8.8182028470000002"/>
    <n v="20.281177329999998"/>
    <n v="37.982999999999997"/>
    <n v="25.01"/>
    <n v="42.578026319999999"/>
    <n v="50.757969690000003"/>
    <n v="8.0451234999999996E-2"/>
    <n v="177.24700000000001"/>
    <n v="134.45099999999999"/>
    <n v="3.3210000000000002"/>
    <n v="1.5684327520000001"/>
    <n v="31.728999999999999"/>
    <n v="3.6999999999999998E-2"/>
    <s v=""/>
    <n v="-3.2840000000000003"/>
  </r>
  <r>
    <s v="Egypt"/>
    <x v="27"/>
    <x v="5"/>
    <n v="224.49294499999999"/>
    <n v="2.4149354540000001"/>
    <n v="0.196748326"/>
    <n v="79.830410380000004"/>
    <n v="92.960225730000005"/>
    <n v="8.4318590960000002"/>
    <n v="21.436792010000001"/>
    <n v="34.741627999999999"/>
    <n v="26.061754000000001"/>
    <n v="52.97427811"/>
    <n v="60.635379110000002"/>
    <n v="8.1471462999999994E-2"/>
    <n v="184.977"/>
    <n v="146.553979"/>
    <n v="2.7903199999999999"/>
    <n v="1.5520848540000001"/>
    <n v="32.318972000000002"/>
    <n v="3.6999999999999998E-2"/>
    <s v=""/>
    <n v="-2.75332"/>
  </r>
  <r>
    <s v="Egypt"/>
    <x v="28"/>
    <x v="5"/>
    <n v="231.7504007"/>
    <n v="2.4245538569999998"/>
    <n v="0.19286003199999999"/>
    <n v="86.833386129999994"/>
    <n v="95.584760900000006"/>
    <n v="8.1424497650000003"/>
    <n v="21.79970814"/>
    <n v="34.147436999999996"/>
    <n v="26.850348"/>
    <n v="62.100022639999999"/>
    <n v="61.778708700000003"/>
    <n v="7.9544543999999995E-2"/>
    <n v="194.06908799999999"/>
    <n v="153.75638900000001"/>
    <n v="5.3492569999999997"/>
    <n v="1.4958003"/>
    <n v="31.358343000000001"/>
    <n v="3.6999999999999998E-2"/>
    <s v=""/>
    <n v="-5.3122569999999998"/>
  </r>
  <r>
    <s v="Egypt"/>
    <x v="29"/>
    <x v="5"/>
    <n v="237.17586729999999"/>
    <n v="2.442037682"/>
    <n v="0.186982553"/>
    <n v="91.927669679999994"/>
    <n v="97.122116109999993"/>
    <n v="8.9601070479999994"/>
    <n v="21.168740530000001"/>
    <n v="34.55170665"/>
    <n v="29.1646316"/>
    <n v="68.896127660000005"/>
    <n v="62.321802529999999"/>
    <n v="7.6568250000000004E-2"/>
    <n v="195.21182089999999"/>
    <n v="154.73264639999999"/>
    <n v="7.0602626300000004"/>
    <n v="2.3396473210000002"/>
    <n v="30.513916999999999"/>
    <n v="3.3000000000000002E-2"/>
    <s v=""/>
    <n v="-7.0272626300000001"/>
  </r>
  <r>
    <s v="Egypt"/>
    <x v="30"/>
    <x v="5"/>
    <n v="224.95969049999999"/>
    <n v="2.4497422900000001"/>
    <n v="0.17118887499999999"/>
    <n v="84.737534220000001"/>
    <n v="91.829941230000003"/>
    <n v="10.15248087"/>
    <n v="22.371743630000001"/>
    <n v="30.721744990000001"/>
    <n v="31.150723110000001"/>
    <n v="61.799826520000003"/>
    <n v="60.668468760000003"/>
    <n v="6.9880361000000002E-2"/>
    <n v="193.2675132"/>
    <n v="153.13185139999999"/>
    <n v="7.1016800050000004"/>
    <n v="3.5320211380000002"/>
    <n v="28.98268217"/>
    <n v="2.5000000000000001E-2"/>
    <s v=""/>
    <n v="-7.0766800050000001"/>
  </r>
  <r>
    <s v="France"/>
    <x v="0"/>
    <x v="3"/>
    <n v="365.43100779999997"/>
    <n v="1.626524053"/>
    <n v="0.19733882599999999"/>
    <n v="111.9021915"/>
    <n v="224.66990709999999"/>
    <n v="14.101214260000001"/>
    <n v="17.9799513"/>
    <n v="80.459999999999994"/>
    <n v="78.477999999999994"/>
    <n v="2.8570033590000001"/>
    <n v="28.23198331"/>
    <n v="0.12132548899999999"/>
    <n v="420.75099999999998"/>
    <n v="323.25200000000001"/>
    <n v="31.208985989999999"/>
    <n v="0.119548141"/>
    <n v="3.47"/>
    <n v="0"/>
    <s v=""/>
    <n v="-31.208985989999999"/>
  </r>
  <r>
    <s v="France"/>
    <x v="1"/>
    <x v="3"/>
    <n v="392.66688420000003"/>
    <n v="1.6537438799999999"/>
    <n v="0.20984708599999999"/>
    <n v="118.5272027"/>
    <n v="237.4411714"/>
    <n v="13.971309720000001"/>
    <n v="17.83036194"/>
    <n v="85.927999999999997"/>
    <n v="81.284999999999997"/>
    <n v="3.2379977580000001"/>
    <n v="32.03303622"/>
    <n v="0.12689213199999999"/>
    <n v="455.55500000000001"/>
    <n v="346.798"/>
    <n v="33.50417118"/>
    <n v="0.11348794299999999"/>
    <n v="3.798"/>
    <n v="0"/>
    <s v=""/>
    <n v="-33.50417118"/>
  </r>
  <r>
    <s v="France"/>
    <x v="2"/>
    <x v="3"/>
    <n v="381.54651030000002"/>
    <n v="1.629483499"/>
    <n v="0.2006944"/>
    <n v="120.1997695"/>
    <n v="234.1518098"/>
    <n v="16.11555542"/>
    <n v="18.248502219999999"/>
    <n v="85.287999999999997"/>
    <n v="80.004000000000005"/>
    <n v="3.1539992639999999"/>
    <n v="32.463967019999998"/>
    <n v="0.12316442599999999"/>
    <n v="463.63900000000001"/>
    <n v="355.87400000000002"/>
    <n v="29.65870387"/>
    <n v="0.111293485"/>
    <n v="3.5640000000000001"/>
    <n v="0"/>
    <s v=""/>
    <n v="-29.65870387"/>
  </r>
  <r>
    <s v="France"/>
    <x v="3"/>
    <x v="3"/>
    <n v="362.72311880000001"/>
    <n v="1.5254150200000001"/>
    <n v="0.19200029099999999"/>
    <n v="126.41177519999999"/>
    <n v="237.7865133"/>
    <n v="14.792249740000001"/>
    <n v="18.782178349999999"/>
    <n v="82.516000000000005"/>
    <n v="82.168999999999997"/>
    <n v="3.4229992930000002"/>
    <n v="32.802003659999997"/>
    <n v="0.12586757600000001"/>
    <n v="472.70699999999999"/>
    <n v="356.18799999999999"/>
    <n v="23.271133859999999"/>
    <n v="0.10492757699999999"/>
    <n v="3.4580000000000002"/>
    <n v="0"/>
    <s v=""/>
    <n v="-23.271133859999999"/>
  </r>
  <r>
    <s v="France"/>
    <x v="4"/>
    <x v="3"/>
    <n v="356.09138009999998"/>
    <n v="1.5417664230000001"/>
    <n v="0.18414709300000001"/>
    <n v="123.790904"/>
    <n v="230.96324770000001"/>
    <n v="17.453886610000001"/>
    <n v="19.25570239"/>
    <n v="81.843000000000004"/>
    <n v="80.076999999999998"/>
    <n v="3.5330013999999998"/>
    <n v="32.761026819999998"/>
    <n v="0.119439035"/>
    <n v="476.86799999999999"/>
    <n v="363.23899999999998"/>
    <n v="23.037457719999999"/>
    <n v="0.10631873"/>
    <n v="3.387"/>
    <n v="0"/>
    <s v=""/>
    <n v="-23.037457719999999"/>
  </r>
  <r>
    <s v="France"/>
    <x v="5"/>
    <x v="3"/>
    <n v="366.5739706"/>
    <n v="1.528755503"/>
    <n v="0.18565677899999999"/>
    <n v="127.8680981"/>
    <n v="239.78587150000001"/>
    <n v="15.887341839999999"/>
    <n v="19.178438570000001"/>
    <n v="84.091999999999999"/>
    <n v="81.947000000000003"/>
    <n v="3.3529979509999999"/>
    <n v="33.491027889999998"/>
    <n v="0.12144308099999999"/>
    <n v="494.274"/>
    <n v="367.887"/>
    <n v="24.849950020000001"/>
    <n v="0.103788587"/>
    <n v="3.0270000000000001"/>
    <n v="0"/>
    <s v=""/>
    <n v="-24.849950020000001"/>
  </r>
  <r>
    <s v="France"/>
    <x v="6"/>
    <x v="3"/>
    <n v="380.6896534"/>
    <n v="1.5182841039999999"/>
    <n v="0.190119497"/>
    <n v="131.79868429999999"/>
    <n v="250.73677090000001"/>
    <n v="14.163085949999999"/>
    <n v="19.170549279999999"/>
    <n v="85.248000000000005"/>
    <n v="85.885999999999996"/>
    <n v="2.9110003999999998"/>
    <n v="37.217022489999998"/>
    <n v="0.12521997500000001"/>
    <n v="513.39800000000002"/>
    <n v="384.18099999999998"/>
    <n v="25.417408080000001"/>
    <n v="9.7195548000000007E-2"/>
    <n v="2.6480000000000001"/>
    <n v="13.532"/>
    <s v=""/>
    <n v="-11.885408080000001"/>
  </r>
  <r>
    <s v="France"/>
    <x v="7"/>
    <x v="3"/>
    <n v="371.98818640000002"/>
    <n v="1.5232118589999999"/>
    <n v="0.18153277100000001"/>
    <n v="128.73881990000001"/>
    <n v="244.2130319"/>
    <n v="13.916635299999999"/>
    <n v="19.28415167"/>
    <n v="85.402000000000001"/>
    <n v="91.085999999999999"/>
    <n v="2.5860027759999999"/>
    <n v="36.813026739999998"/>
    <n v="0.119177624"/>
    <n v="504.77"/>
    <n v="381.61799999999999"/>
    <n v="23.170765840000001"/>
    <n v="0.103611546"/>
    <n v="2.266"/>
    <n v="12.875999999999999"/>
    <s v=""/>
    <n v="-10.294765840000002"/>
  </r>
  <r>
    <s v="France"/>
    <x v="8"/>
    <x v="3"/>
    <n v="395.00042960000002"/>
    <n v="1.5693083130000001"/>
    <n v="0.186084947"/>
    <n v="125.4201798"/>
    <n v="251.70352209999999"/>
    <n v="13.45202982"/>
    <n v="19.419429950000001"/>
    <n v="89.012"/>
    <n v="93.616"/>
    <n v="2.2619973849999999"/>
    <n v="37.17698197"/>
    <n v="0.118577685"/>
    <n v="511.27600000000001"/>
    <n v="393.30700000000002"/>
    <n v="27.108470390000001"/>
    <n v="0.10620486799999999"/>
    <n v="2.0920000000000001"/>
    <n v="11.827"/>
    <s v=""/>
    <n v="-15.281470390000001"/>
  </r>
  <r>
    <s v="France"/>
    <x v="9"/>
    <x v="3"/>
    <n v="390.01127889999998"/>
    <n v="1.547860123"/>
    <n v="0.17765627000000001"/>
    <n v="127.1421397"/>
    <n v="251.96803840000001"/>
    <n v="15.20998239"/>
    <n v="19.755268480000002"/>
    <n v="88.084999999999994"/>
    <n v="85.245999999999995"/>
    <n v="2.0669998559999998"/>
    <n v="39.151979189999999"/>
    <n v="0.114775403"/>
    <n v="525.80600000000004"/>
    <n v="401.03699999999998"/>
    <n v="24.409051040000001"/>
    <n v="0.105362054"/>
    <n v="2.0009999999999999"/>
    <n v="10.662000000000001"/>
    <s v=""/>
    <n v="-13.747051040000001"/>
  </r>
  <r>
    <s v="France"/>
    <x v="10"/>
    <x v="3"/>
    <n v="386.2016074"/>
    <n v="1.5144293069999999"/>
    <n v="0.16927895800000001"/>
    <n v="130.659097"/>
    <n v="255.01461549999999"/>
    <n v="13.736725720000001"/>
    <n v="20.145749479999999"/>
    <n v="86.367999999999995"/>
    <n v="88.569000000000003"/>
    <n v="1.877998133"/>
    <n v="39.752970580000003"/>
    <n v="0.111777392"/>
    <n v="539.95399999999995"/>
    <n v="410.39299999999997"/>
    <n v="23.548989070000001"/>
    <n v="0.10371253800000001"/>
    <n v="1.907"/>
    <n v="9.61"/>
    <s v=""/>
    <n v="-13.938989070000002"/>
  </r>
  <r>
    <s v="France"/>
    <x v="11"/>
    <x v="3"/>
    <n v="390.1213176"/>
    <n v="1.4984122099999999"/>
    <n v="0.167670913"/>
    <n v="132.01567679999999"/>
    <n v="260.35647260000002"/>
    <n v="14.918566780000001"/>
    <n v="20.062384229999999"/>
    <n v="89.358999999999995"/>
    <n v="90.524000000000001"/>
    <n v="1.864002315"/>
    <n v="41.717988689999999"/>
    <n v="0.111899056"/>
    <n v="549.53"/>
    <n v="421.42500000000001"/>
    <n v="20.438968849999998"/>
    <n v="0.113187633"/>
    <n v="1.6319999999999999"/>
    <n v="9.8960000000000008"/>
    <s v=""/>
    <n v="-10.542968849999998"/>
  </r>
  <r>
    <s v="France"/>
    <x v="12"/>
    <x v="3"/>
    <n v="383.1980787"/>
    <n v="1.4680930720000001"/>
    <n v="0.162846192"/>
    <n v="134.08619229999999"/>
    <n v="261.01756499999999"/>
    <n v="12.456534489999999"/>
    <n v="20.37759308"/>
    <n v="85.893000000000001"/>
    <n v="84.155000000000001"/>
    <n v="1.7780015870000001"/>
    <n v="42.219956410000002"/>
    <n v="0.110923616"/>
    <n v="559.06399999999996"/>
    <n v="419.44600000000003"/>
    <n v="21.052000459999999"/>
    <n v="0.137014725"/>
    <n v="1.5189999999999999"/>
    <n v="8.5530000000000008"/>
    <s v=""/>
    <n v="-12.499000459999998"/>
  </r>
  <r>
    <s v="France"/>
    <x v="13"/>
    <x v="3"/>
    <n v="388.40393549999999"/>
    <n v="1.4513430620000001"/>
    <n v="0.16371090099999999"/>
    <n v="135.75458929999999"/>
    <n v="267.6169031"/>
    <n v="12.065507139999999"/>
    <n v="20.742962139999999"/>
    <n v="86.347999999999999"/>
    <n v="87.47"/>
    <n v="1.582999896"/>
    <n v="44.447956910000002"/>
    <n v="0.11279958900000001"/>
    <n v="566.83900000000006"/>
    <n v="436.99900000000002"/>
    <n v="21.14215424"/>
    <n v="0.15630540600000001"/>
    <n v="1.5880000000000001"/>
    <n v="7.3159999999999998"/>
    <s v=""/>
    <n v="-13.826154240000001"/>
  </r>
  <r>
    <s v="France"/>
    <x v="14"/>
    <x v="3"/>
    <n v="388.71797470000001"/>
    <n v="1.431746178"/>
    <n v="0.15933449499999999"/>
    <n v="136.9397707"/>
    <n v="271.49922290000001"/>
    <n v="12.069247839999999"/>
    <n v="21.160283400000001"/>
    <n v="86.402000000000001"/>
    <n v="88.307000000000002"/>
    <n v="1.3779990799999999"/>
    <n v="45.490974880000003"/>
    <n v="0.111286831"/>
    <n v="574.05399999999997"/>
    <n v="448.72"/>
    <n v="20.424287190000001"/>
    <n v="0.186916213"/>
    <n v="1.635"/>
    <n v="6.1120000000000001"/>
    <s v=""/>
    <n v="-14.312287190000001"/>
  </r>
  <r>
    <s v="France"/>
    <x v="15"/>
    <x v="3"/>
    <n v="391.74640679999999"/>
    <n v="1.437102391"/>
    <n v="0.157948805"/>
    <n v="137.1088915"/>
    <n v="272.59463849999997"/>
    <n v="10.61986383"/>
    <n v="21.43676438"/>
    <n v="85.247"/>
    <n v="86.254999999999995"/>
    <n v="1.148998856"/>
    <n v="47.169967710000002"/>
    <n v="0.10990783"/>
    <n v="576.06200000000001"/>
    <n v="451.11"/>
    <n v="22.179512689999999"/>
    <n v="0.25240338699999998"/>
    <n v="1.4430000000000001"/>
    <n v="5.69"/>
    <s v=""/>
    <n v="-16.489512689999998"/>
  </r>
  <r>
    <s v="France"/>
    <x v="16"/>
    <x v="3"/>
    <n v="382.91079180000003"/>
    <n v="1.4277536070000001"/>
    <n v="0.15069534400000001"/>
    <n v="136.20599569999999"/>
    <n v="268.19108690000002"/>
    <n v="11.78996991"/>
    <n v="21.872925949999999"/>
    <n v="84.748000000000005"/>
    <n v="86.828999999999994"/>
    <n v="1.2980008860000001"/>
    <n v="45.363026779999998"/>
    <n v="0.105547164"/>
    <n v="574.87"/>
    <n v="446.46600000000001"/>
    <n v="20.57927136"/>
    <n v="0.46236540399999998"/>
    <n v="1.3089999999999999"/>
    <n v="4.0999999999999996"/>
    <s v=""/>
    <n v="-16.479271359999998"/>
  </r>
  <r>
    <s v="France"/>
    <x v="17"/>
    <x v="3"/>
    <n v="374.1112043"/>
    <n v="1.4102236429999999"/>
    <n v="0.143746768"/>
    <n v="134.40839969999999"/>
    <n v="265.28501790000001"/>
    <n v="12.56002443"/>
    <n v="22.302652179999999"/>
    <n v="82.706999999999994"/>
    <n v="85.721000000000004"/>
    <n v="1.107000998"/>
    <n v="44.417019879999998"/>
    <n v="0.10193189499999999"/>
    <n v="569.76800000000003"/>
    <n v="448.43200000000002"/>
    <n v="21.556596119999998"/>
    <n v="0.85245222600000004"/>
    <n v="1.319"/>
    <n v="2.6709999999999998"/>
    <s v=""/>
    <n v="-18.885596119999999"/>
  </r>
  <r>
    <s v="France"/>
    <x v="18"/>
    <x v="3"/>
    <n v="367.57204039999999"/>
    <n v="1.3794455059999999"/>
    <n v="0.14087503400000001"/>
    <n v="136.40560060000001"/>
    <n v="266.463618"/>
    <n v="13.687529079999999"/>
    <n v="22.57934461"/>
    <n v="80.314999999999998"/>
    <n v="87.947000000000003"/>
    <n v="0.96200091300000001"/>
    <n v="45.821040029999999"/>
    <n v="0.10212439299999999"/>
    <n v="573.80700000000002"/>
    <n v="460.90600000000001"/>
    <n v="20.046479059999999"/>
    <n v="1.1226771369999999"/>
    <n v="1.425"/>
    <n v="2.0680000000000001"/>
    <s v=""/>
    <n v="-17.978479059999998"/>
  </r>
  <r>
    <s v="France"/>
    <x v="19"/>
    <x v="3"/>
    <n v="350.89008530000001"/>
    <n v="1.376363998"/>
    <n v="0.13845992500000001"/>
    <n v="128.7211131"/>
    <n v="254.9398893"/>
    <n v="13.92545599"/>
    <n v="22.809960239999999"/>
    <n v="77.218999999999994"/>
    <n v="77.772000000000006"/>
    <n v="0.9110007"/>
    <n v="45.298037649999998"/>
    <n v="0.100598334"/>
    <n v="535.92499999999995"/>
    <n v="447.64600000000002"/>
    <n v="16.64816489"/>
    <n v="1.637355973"/>
    <n v="1.242"/>
    <n v="2.2429999999999999"/>
    <s v=""/>
    <n v="-14.40516489"/>
  </r>
  <r>
    <s v="France"/>
    <x v="20"/>
    <x v="3"/>
    <n v="356.443084"/>
    <n v="1.3562259839999999"/>
    <n v="0.137961641"/>
    <n v="135.6081475"/>
    <n v="262.81983109999999"/>
    <n v="14.581020499999999"/>
    <n v="23.642611509999998"/>
    <n v="75.111000000000004"/>
    <n v="71.094999999999999"/>
    <n v="0.77699932999999999"/>
    <n v="48.198058009999997"/>
    <n v="0.101724671"/>
    <n v="569.28800000000001"/>
    <n v="471.791"/>
    <n v="17.658725059999998"/>
    <n v="1.963153975"/>
    <n v="1.169"/>
    <n v="0.872"/>
    <s v=""/>
    <n v="-16.786725059999998"/>
  </r>
  <r>
    <s v="France"/>
    <x v="21"/>
    <x v="3"/>
    <n v="339.46146870000001"/>
    <n v="1.315583492"/>
    <n v="0.12856974099999999"/>
    <n v="136.57713849999999"/>
    <n v="258.03110989999999"/>
    <n v="12.41026607"/>
    <n v="23.726385709999999"/>
    <n v="75.305000000000007"/>
    <n v="71.936999999999998"/>
    <n v="0.56299947400000006"/>
    <n v="41.206010540000001"/>
    <n v="9.7728302000000003E-2"/>
    <n v="573.50099999999998"/>
    <n v="442.47199999999998"/>
    <n v="16.260359860000001"/>
    <n v="2.753438965"/>
    <n v="1.1240000000000001"/>
    <n v="0.61699999999999999"/>
    <s v=""/>
    <n v="-15.64335986"/>
  </r>
  <r>
    <s v="France"/>
    <x v="22"/>
    <x v="3"/>
    <n v="344.77483940000002"/>
    <n v="1.337298839"/>
    <n v="0.13017453800000001"/>
    <n v="135.36863790000001"/>
    <n v="257.81435629999999"/>
    <n v="15.739990499999999"/>
    <n v="24.118005759999999"/>
    <n v="73.769000000000005"/>
    <n v="61.433999999999997"/>
    <n v="0.50299942799999997"/>
    <n v="42.572025179999997"/>
    <n v="9.7341397999999996E-2"/>
    <n v="572.65599999999995"/>
    <n v="456.87900000000002"/>
    <n v="17.95810088"/>
    <n v="3.6444217820000002"/>
    <n v="1.022"/>
    <n v="0.45200000000000001"/>
    <s v=""/>
    <n v="-17.506100879999998"/>
  </r>
  <r>
    <s v="France"/>
    <x v="23"/>
    <x v="3"/>
    <n v="345.06270599999999"/>
    <n v="1.3336406700000001"/>
    <n v="0.12953667199999999"/>
    <n v="136.96823810000001"/>
    <n v="258.73738980000002"/>
    <n v="17.938808040000001"/>
    <n v="24.127281310000001"/>
    <n v="72.397000000000006"/>
    <n v="58.173999999999999"/>
    <n v="0.32200036799999998"/>
    <n v="43.2419935"/>
    <n v="9.7130115000000003E-2"/>
    <n v="582.16800000000001"/>
    <n v="461.61500000000001"/>
    <n v="18.817868900000001"/>
    <n v="3.8877093899999999"/>
    <n v="1.079"/>
    <n v="0.42199999999999999"/>
    <s v=""/>
    <n v="-18.3958689"/>
  </r>
  <r>
    <s v="France"/>
    <x v="24"/>
    <x v="3"/>
    <n v="313.91030289999998"/>
    <n v="1.261749604"/>
    <n v="0.116725934"/>
    <n v="138.3407579"/>
    <n v="248.78969789999999"/>
    <n v="17.425128990000001"/>
    <n v="24.185020569999999"/>
    <n v="71.156999999999996"/>
    <n v="58.296999999999997"/>
    <n v="1.3999986000000001E-2"/>
    <n v="36.312999130000001"/>
    <n v="9.2511172000000003E-2"/>
    <n v="572.51800000000003"/>
    <n v="435.846"/>
    <n v="14.28321905"/>
    <n v="4.3652775979999996"/>
    <n v="1.048"/>
    <n v="0.27700000000000002"/>
    <s v=""/>
    <n v="-14.00621905"/>
  </r>
  <r>
    <s v="France"/>
    <x v="25"/>
    <x v="3"/>
    <n v="319.93668889999998"/>
    <n v="1.2666090189999999"/>
    <n v="0.117657391"/>
    <n v="139.20072759999999"/>
    <n v="252.5930923"/>
    <n v="16.701205609999999"/>
    <n v="24.366564740000001"/>
    <n v="71.096999999999994"/>
    <n v="60.241999999999997"/>
    <n v="2.0999976E-2"/>
    <n v="39.040981410000001"/>
    <n v="9.2891641999999996E-2"/>
    <n v="579.53899999999999"/>
    <n v="445.24799999999999"/>
    <n v="13.80440029"/>
    <n v="5.257454632"/>
    <n v="1.0629999999999999"/>
    <n v="0.14699999999999999"/>
    <s v=""/>
    <n v="-13.65740029"/>
  </r>
  <r>
    <s v="France"/>
    <x v="26"/>
    <x v="3"/>
    <n v="321.03632850000002"/>
    <n v="1.295131773"/>
    <n v="0.116782476"/>
    <n v="131.50079539999999"/>
    <n v="247.87927780000001"/>
    <n v="18.408533389999999"/>
    <n v="24.519858660000001"/>
    <n v="69.783000000000001"/>
    <n v="59.365000000000002"/>
    <n v="0.02"/>
    <n v="42.671978009999997"/>
    <n v="9.0170343E-2"/>
    <n v="564.18399999999997"/>
    <n v="453.54"/>
    <n v="13.06380598"/>
    <n v="5.5306424850000004"/>
    <n v="0.99199999999999999"/>
    <n v="0.26100000000000001"/>
    <s v=""/>
    <n v="-12.80280598"/>
  </r>
  <r>
    <s v="France"/>
    <x v="27"/>
    <x v="3"/>
    <n v="325.42672420000002"/>
    <n v="1.3149092760000001"/>
    <n v="0.11576307700000001"/>
    <n v="129.44984550000001"/>
    <n v="247.4898689"/>
    <n v="17.395432599999999"/>
    <n v="24.310558220000001"/>
    <n v="70.356007000000005"/>
    <n v="59.347999999999999"/>
    <n v="1.5755990000000001E-2"/>
    <n v="42.91400745"/>
    <n v="8.8038831999999997E-2"/>
    <n v="561.93000900000004"/>
    <n v="449.85657600000002"/>
    <n v="14.819003240000001"/>
    <n v="6.3297327839999999"/>
    <n v="0.96399999999999997"/>
    <n v="0.14899999999999999"/>
    <s v=""/>
    <n v="-14.670003240000002"/>
  </r>
  <r>
    <s v="France"/>
    <x v="28"/>
    <x v="3"/>
    <n v="320.32388099999997"/>
    <n v="1.3005377490000001"/>
    <n v="0.112015721"/>
    <n v="135.4140487"/>
    <n v="246.3011022"/>
    <n v="20.397715030000001"/>
    <n v="24.792697660000002"/>
    <n v="67.659318999999996"/>
    <n v="55.638584999999999"/>
    <n v="8.6320040000000004E-3"/>
    <n v="40.97349243"/>
    <n v="8.6130311000000001E-2"/>
    <n v="581.94280000000003"/>
    <n v="447.87831999999997"/>
    <n v="13.00922184"/>
    <n v="6.949880469"/>
    <n v="0.91290700000000002"/>
    <n v="0.28999999999999998"/>
    <s v=""/>
    <n v="-12.719221840000001"/>
  </r>
  <r>
    <s v="France"/>
    <x v="29"/>
    <x v="3"/>
    <n v="311.49241080000002"/>
    <n v="1.2829803420000001"/>
    <n v="0.10730811899999999"/>
    <n v="131.93116119999999"/>
    <n v="242.7881399"/>
    <n v="20.56353266"/>
    <n v="24.756259790000001"/>
    <n v="67.631814989999995"/>
    <n v="50.842438999999999"/>
    <n v="1.5985886000000001E-2"/>
    <n v="41.761293819999999"/>
    <n v="8.3639722E-2"/>
    <n v="570.99893629999997"/>
    <n v="443.82477690000002"/>
    <n v="10.203106229999999"/>
    <n v="8.3692615559999997"/>
    <n v="0.96462700000000001"/>
    <n v="0.313"/>
    <s v=""/>
    <n v="-9.8901062299999989"/>
  </r>
  <r>
    <s v="France"/>
    <x v="30"/>
    <x v="3"/>
    <n v="272.09193249999998"/>
    <n v="1.254494918"/>
    <n v="0.102107606"/>
    <n v="120.4628929"/>
    <n v="216.8936108"/>
    <n v="24.302698759999998"/>
    <n v="26.043624210000001"/>
    <n v="57.863138550000002"/>
    <n v="36.615483400000002"/>
    <n v="2.7134861999999999E-2"/>
    <n v="38.699271940000003"/>
    <n v="8.1393400000000005E-2"/>
    <n v="532.52687040000001"/>
    <n v="423.65498869999999"/>
    <n v="8.2566619699999997"/>
    <n v="10.285193550000001"/>
    <n v="0.91204775100000002"/>
    <n v="0.3"/>
    <s v=""/>
    <n v="-7.9566619699999999"/>
  </r>
  <r>
    <s v="Germany"/>
    <x v="0"/>
    <x v="3"/>
    <n v="952.76243339999996"/>
    <n v="2.2982072499999999"/>
    <n v="0.29773659400000002"/>
    <n v="186.0512665"/>
    <n v="351.09397639999997"/>
    <n v="3.901348145"/>
    <n v="15.87141901"/>
    <n v="119.23099999999999"/>
    <n v="105.785"/>
    <n v="18.919009079999999"/>
    <n v="69.723084150000005"/>
    <n v="0.12955167300000001"/>
    <n v="550.01499999999999"/>
    <n v="481.00099999999998"/>
    <n v="448.76626019999998"/>
    <n v="1.3090552E-2"/>
    <n v="5.52"/>
    <n v="434.44600000000003"/>
    <s v="Above Average"/>
    <n v="-14.32026019999995"/>
  </r>
  <r>
    <s v="Germany"/>
    <x v="1"/>
    <x v="3"/>
    <n v="936.14524519999998"/>
    <n v="2.2815522189999999"/>
    <n v="0.275759486"/>
    <n v="168.2866286"/>
    <n v="344.28432720000001"/>
    <n v="3.8520552819999998"/>
    <n v="16.0860591"/>
    <n v="126.95399999999999"/>
    <n v="104.28"/>
    <n v="18.919012330000001"/>
    <n v="73.364899399999999"/>
    <n v="0.12086485800000001"/>
    <n v="539.63400000000001"/>
    <n v="481.05500000000001"/>
    <n v="368.31544980000001"/>
    <n v="4.0027129000000002E-2"/>
    <n v="4.62"/>
    <n v="352.64499999999998"/>
    <s v="Above Average"/>
    <n v="-15.670449800000029"/>
  </r>
  <r>
    <s v="Germany"/>
    <x v="2"/>
    <x v="3"/>
    <n v="895.77711380000005"/>
    <n v="2.217588809"/>
    <n v="0.258086606"/>
    <n v="163.2308343"/>
    <n v="337.90566050000001"/>
    <n v="4.3784769380000004"/>
    <n v="16.38104783"/>
    <n v="128.03100000000001"/>
    <n v="111.54600000000001"/>
    <n v="19.184002840000002"/>
    <n v="71.898044850000005"/>
    <n v="0.116381633"/>
    <n v="537.47"/>
    <n v="475.87799999999999"/>
    <n v="327.82400000000001"/>
    <n v="5.4886784000000001E-2"/>
    <n v="4.3959999999999999"/>
    <n v="314.16000000000003"/>
    <s v="Above Average"/>
    <n v="-13.663999999999987"/>
  </r>
  <r>
    <s v="Germany"/>
    <x v="3"/>
    <x v="3"/>
    <n v="883.96284690000005"/>
    <n v="2.1927026330000001"/>
    <n v="0.25518086000000001"/>
    <n v="151.99079520000001"/>
    <n v="334.58402189999998"/>
    <n v="4.6190592009999998"/>
    <n v="16.174707009999999"/>
    <n v="129.566"/>
    <n v="115.861"/>
    <n v="19.188972740000001"/>
    <n v="74.810011729999999"/>
    <n v="0.11637732200000001"/>
    <n v="526.27599999999995"/>
    <n v="467.16399999999999"/>
    <n v="305.9295022"/>
    <n v="0.12863972500000001"/>
    <n v="4.1740000000000004"/>
    <n v="286.56099999999998"/>
    <s v="Above Average"/>
    <n v="-19.368502200000023"/>
  </r>
  <r>
    <s v="Germany"/>
    <x v="4"/>
    <x v="3"/>
    <n v="869.54032370000004"/>
    <n v="2.137809254"/>
    <n v="0.24179688599999999"/>
    <n v="145.11926450000001"/>
    <n v="332.9739606"/>
    <n v="5.1757502459999998"/>
    <n v="16.266786060000001"/>
    <n v="127.896"/>
    <n v="119.36"/>
    <n v="19.905997670000001"/>
    <n v="77.971058499999998"/>
    <n v="0.113104986"/>
    <n v="529.16"/>
    <n v="465.07299999999998"/>
    <n v="289.42599999999999"/>
    <n v="0.27118451900000001"/>
    <n v="3.9540000000000002"/>
    <n v="264.88"/>
    <s v="Above Average"/>
    <n v="-24.545999999999992"/>
  </r>
  <r>
    <s v="Germany"/>
    <x v="5"/>
    <x v="3"/>
    <n v="868.3180413"/>
    <n v="2.0793358679999998"/>
    <n v="0.234060506"/>
    <n v="144.89156879999999"/>
    <n v="336.47044410000001"/>
    <n v="5.6584599579999999"/>
    <n v="16.276879640000001"/>
    <n v="127.846"/>
    <n v="114.268"/>
    <n v="21.069008650000001"/>
    <n v="83.378069940000003"/>
    <n v="0.112565031"/>
    <n v="537.28399999999999"/>
    <n v="472.57900000000001"/>
    <n v="274.48500000000001"/>
    <n v="0.319942526"/>
    <n v="3.9180000000000001"/>
    <n v="251.78399999999999"/>
    <s v="Above Average"/>
    <n v="-22.701000000000022"/>
  </r>
  <r>
    <s v="Germany"/>
    <x v="6"/>
    <x v="3"/>
    <n v="894.3255954"/>
    <n v="2.0552866729999999"/>
    <n v="0.23724262500000001"/>
    <n v="143.11908969999999"/>
    <n v="347.86805020000003"/>
    <n v="5.6236180429999996"/>
    <n v="16.088028919999999"/>
    <n v="129.935"/>
    <n v="115.408"/>
    <n v="22.775029920000001"/>
    <n v="89.558080840000002"/>
    <n v="0.11543043"/>
    <n v="555.37199999999996"/>
    <n v="479.65800000000002"/>
    <n v="272.61"/>
    <n v="0.37632433799999998"/>
    <n v="3.8180000000000001"/>
    <n v="240.55799999999999"/>
    <s v="Above Average"/>
    <n v="-32.052000000000021"/>
  </r>
  <r>
    <s v="Germany"/>
    <x v="7"/>
    <x v="3"/>
    <n v="863.15159370000003"/>
    <n v="1.9963875230000001"/>
    <n v="0.224458136"/>
    <n v="143.45385529999999"/>
    <n v="344.87578439999999"/>
    <n v="4.8236437409999997"/>
    <n v="16.38186688"/>
    <n v="128.571"/>
    <n v="110.964"/>
    <n v="22.435989729999999"/>
    <n v="85.285940749999995"/>
    <n v="0.112432147"/>
    <n v="551.55399999999997"/>
    <n v="482.87700000000001"/>
    <n v="260.47399999999999"/>
    <n v="0.55334563800000003"/>
    <n v="3.7639999999999998"/>
    <n v="228.52500000000001"/>
    <s v="Above Average"/>
    <n v="-31.948999999999984"/>
  </r>
  <r>
    <s v="Germany"/>
    <x v="8"/>
    <x v="3"/>
    <n v="860.05010800000002"/>
    <n v="1.9859468950000001"/>
    <n v="0.21750702799999999"/>
    <n v="135.8569516"/>
    <n v="342.7355263"/>
    <n v="5.1977648890000001"/>
    <n v="16.47561211"/>
    <n v="128.69800000000001"/>
    <n v="117.14400000000001"/>
    <n v="21.86702463"/>
    <n v="88.628013260000003"/>
    <n v="0.10952308400000001"/>
    <n v="556.39300000000003"/>
    <n v="487.47699999999998"/>
    <n v="247.64699999999999"/>
    <n v="0.83178616599999999"/>
    <n v="3.87"/>
    <n v="211.523"/>
    <s v="Above Average"/>
    <n v="-36.123999999999995"/>
  </r>
  <r>
    <s v="Germany"/>
    <x v="9"/>
    <x v="3"/>
    <n v="828.4329937"/>
    <n v="1.9342080079999999"/>
    <n v="0.203193559"/>
    <n v="137.06650400000001"/>
    <n v="334.9655411"/>
    <n v="5.8371382350000003"/>
    <n v="17.05552617"/>
    <n v="124.161"/>
    <n v="114.98099999999999"/>
    <n v="23.314995190000001"/>
    <n v="89.224883300000002"/>
    <n v="0.105052589"/>
    <n v="556.29999999999995"/>
    <n v="490.65199999999999"/>
    <n v="236.44619109999999"/>
    <n v="0.99910120400000002"/>
    <n v="3.85"/>
    <n v="205.27500000000001"/>
    <s v="Above Average"/>
    <n v="-31.171191099999987"/>
  </r>
  <r>
    <s v="Germany"/>
    <x v="10"/>
    <x v="3"/>
    <n v="829.72358369999995"/>
    <n v="1.9344512110000001"/>
    <n v="0.19845597800000001"/>
    <n v="135.2320564"/>
    <n v="336.58506119999998"/>
    <n v="6.8867369820000004"/>
    <n v="17.511483120000001"/>
    <n v="120.958"/>
    <n v="115.968"/>
    <n v="22.048979200000002"/>
    <n v="87.750950099999997"/>
    <n v="0.102590325"/>
    <n v="576.54300000000001"/>
    <n v="501.411"/>
    <n v="244.26409480000001"/>
    <n v="1.632488817"/>
    <n v="4.3929999999999998"/>
    <n v="205.21199999999999"/>
    <s v="Above Average"/>
    <n v="-39.05209480000002"/>
  </r>
  <r>
    <s v="Germany"/>
    <x v="11"/>
    <x v="3"/>
    <n v="849.1763148"/>
    <n v="1.9101701090000001"/>
    <n v="0.198476126"/>
    <n v="134.60123809999999"/>
    <n v="346.68570260000001"/>
    <n v="7.233043318"/>
    <n v="17.673837859999999"/>
    <n v="123.015"/>
    <n v="114.288"/>
    <n v="22.231977870000001"/>
    <n v="91.76095694"/>
    <n v="0.103904948"/>
    <n v="586.40599999999995"/>
    <n v="512.63699999999994"/>
    <n v="249.13399999999999"/>
    <n v="1.802846492"/>
    <n v="4.3470000000000004"/>
    <n v="206.178"/>
    <s v="Above Average"/>
    <n v="-42.955999999999989"/>
  </r>
  <r>
    <s v="Germany"/>
    <x v="12"/>
    <x v="3"/>
    <n v="836.85461640000005"/>
    <n v="1.9170636139999999"/>
    <n v="0.19510121799999999"/>
    <n v="134.399325"/>
    <n v="338.89128920000002"/>
    <n v="8.3888705189999992"/>
    <n v="18.40274393"/>
    <n v="118.361"/>
    <n v="114.095"/>
    <n v="22.309988270000002"/>
    <n v="91.190887779999997"/>
    <n v="0.101770863"/>
    <n v="586.69399999999996"/>
    <n v="525.51"/>
    <n v="252.78200000000001"/>
    <n v="2.7346453180000001"/>
    <n v="4.6470000000000002"/>
    <n v="211.13200000000001"/>
    <s v="Above Average"/>
    <n v="-41.650000000000006"/>
  </r>
  <r>
    <s v="Germany"/>
    <x v="13"/>
    <x v="3"/>
    <n v="835.32316409999999"/>
    <n v="1.917163457"/>
    <n v="0.196147618"/>
    <n v="136.0025134"/>
    <n v="338.2601985"/>
    <n v="8.4112425650000002"/>
    <n v="18.43556135"/>
    <n v="116.404"/>
    <n v="116.142"/>
    <n v="21.631997479999999"/>
    <n v="89.53600342"/>
    <n v="0.102311369"/>
    <n v="609.25599999999997"/>
    <n v="531.74800000000005"/>
    <n v="254.55221030000001"/>
    <n v="3.5195385849999998"/>
    <n v="4.8070000000000004"/>
    <n v="207.982"/>
    <s v="Above Average"/>
    <n v="-46.570210300000014"/>
  </r>
  <r>
    <s v="Germany"/>
    <x v="14"/>
    <x v="3"/>
    <n v="820.31331299999999"/>
    <n v="1.8525999630000001"/>
    <n v="0.18887122200000001"/>
    <n v="138.41478960000001"/>
    <n v="341.0738101"/>
    <n v="10.301600629999999"/>
    <n v="18.781035190000001"/>
    <n v="114.163"/>
    <n v="120.047"/>
    <n v="19.774010310000001"/>
    <n v="89.896909930000007"/>
    <n v="0.10194927400000001"/>
    <n v="618.06899999999996"/>
    <n v="538.40300000000002"/>
    <n v="253.41253309999999"/>
    <n v="4.6138861520000001"/>
    <n v="4.9740000000000002"/>
    <n v="211.21"/>
    <s v="Above Average"/>
    <n v="-42.202533099999982"/>
  </r>
  <r>
    <s v="Germany"/>
    <x v="15"/>
    <x v="3"/>
    <n v="804.08748579999997"/>
    <n v="1.806500167"/>
    <n v="0.18183321599999999"/>
    <n v="138.26668950000001"/>
    <n v="339.17447270000002"/>
    <n v="11.262947069999999"/>
    <n v="19.031453599999999"/>
    <n v="111.813"/>
    <n v="122.761"/>
    <n v="19.507978019999999"/>
    <n v="90.980024159999999"/>
    <n v="0.100654968"/>
    <n v="623.11400000000003"/>
    <n v="539.46600000000001"/>
    <n v="243.7444184"/>
    <n v="5.1308428309999998"/>
    <n v="5.2320000000000002"/>
    <n v="206.054"/>
    <s v="Above Average"/>
    <n v="-37.690418399999999"/>
  </r>
  <r>
    <s v="Germany"/>
    <x v="16"/>
    <x v="3"/>
    <n v="814.58063389999995"/>
    <n v="1.773054737"/>
    <n v="0.177005261"/>
    <n v="140.9628696"/>
    <n v="349.22904890000001"/>
    <n v="12.383887870000001"/>
    <n v="18.845083509999998"/>
    <n v="111.636"/>
    <n v="120.626"/>
    <n v="20.33199531"/>
    <n v="92.657901530000004"/>
    <n v="9.9830681000000004E-2"/>
    <n v="640.11400000000003"/>
    <n v="544.62400000000002"/>
    <n v="245.35572830000001"/>
    <n v="5.7931868389999996"/>
    <n v="5.2290000000000001"/>
    <n v="200.184"/>
    <s v="Above Average"/>
    <n v="-45.171728300000012"/>
  </r>
  <r>
    <s v="Germany"/>
    <x v="17"/>
    <x v="3"/>
    <n v="785.5999683"/>
    <n v="1.7889215089999999"/>
    <n v="0.164454083"/>
    <n v="138.80311549999999"/>
    <n v="331.18433440000001"/>
    <n v="15.012504829999999"/>
    <n v="20.011306640000001"/>
    <n v="99.272999999999996"/>
    <n v="118.495"/>
    <n v="20.228998700000002"/>
    <n v="89.529105009999995"/>
    <n v="9.1929177000000001E-2"/>
    <n v="641.35199999999998"/>
    <n v="545.60799999999995"/>
    <n v="253.78279319999999"/>
    <n v="7.1261959109999999"/>
    <n v="5.2050000000000001"/>
    <n v="204.59399999999999"/>
    <s v="Above Average"/>
    <n v="-49.188793199999992"/>
  </r>
  <r>
    <s v="Germany"/>
    <x v="18"/>
    <x v="3"/>
    <n v="792.72556139999995"/>
    <n v="1.77528997"/>
    <n v="0.16366277400000001"/>
    <n v="136.48329290000001"/>
    <n v="335.3174166"/>
    <n v="15.643436510000001"/>
    <n v="19.280728889999999"/>
    <n v="105.495"/>
    <n v="115.881"/>
    <n v="17.883981160000001"/>
    <n v="92.619108879999999"/>
    <n v="9.2189319000000006E-2"/>
    <n v="641.221"/>
    <n v="542.98400000000004"/>
    <n v="240.3689881"/>
    <n v="7.456399588"/>
    <n v="4.9349999999999996"/>
    <n v="194.45599999999999"/>
    <s v="Above Average"/>
    <n v="-45.912988100000007"/>
  </r>
  <r>
    <s v="Germany"/>
    <x v="19"/>
    <x v="3"/>
    <n v="737.61949970000001"/>
    <n v="1.789988997"/>
    <n v="0.16341696999999999"/>
    <n v="129.12173609999999"/>
    <n v="313.14617049999998"/>
    <n v="17.031731740000001"/>
    <n v="19.344323620000001"/>
    <n v="100.05200000000001"/>
    <n v="107.75700000000001"/>
    <n v="17.642006389999999"/>
    <n v="86.159982350000007"/>
    <n v="9.1294957999999996E-2"/>
    <n v="596.46900000000005"/>
    <n v="513.87699999999995"/>
    <n v="225.85023079999999"/>
    <n v="8.0319346019999998"/>
    <n v="4.4969999999999999"/>
    <n v="184.828"/>
    <s v="Above Average"/>
    <n v="-41.022230799999988"/>
  </r>
  <r>
    <s v="Germany"/>
    <x v="20"/>
    <x v="3"/>
    <n v="780.90877279999995"/>
    <n v="1.7586136889999999"/>
    <n v="0.162262669"/>
    <n v="131.763374"/>
    <n v="329.7072781"/>
    <n v="17.623831190000001"/>
    <n v="19.277204650000002"/>
    <n v="101.19499999999999"/>
    <n v="101.479"/>
    <n v="15.06900703"/>
    <n v="94.532026669999993"/>
    <n v="9.2267374999999999E-2"/>
    <n v="633.12"/>
    <n v="546.86599999999999"/>
    <n v="232.39445230000001"/>
    <n v="8.2742608040000007"/>
    <n v="3.78"/>
    <n v="183.511"/>
    <s v="Above Average"/>
    <n v="-48.883452300000016"/>
  </r>
  <r>
    <s v="Germany"/>
    <x v="21"/>
    <x v="3"/>
    <n v="751.90524970000001"/>
    <n v="1.817301249"/>
    <n v="0.152971946"/>
    <n v="125.06887140000001"/>
    <n v="312.59472640000001"/>
    <n v="21.183025270000002"/>
    <n v="19.967128880000001"/>
    <n v="97.93"/>
    <n v="99.768000000000001"/>
    <n v="14.829013059999999"/>
    <n v="85.801907810000003"/>
    <n v="8.4175338000000002E-2"/>
    <n v="613.12300000000005"/>
    <n v="539.89099999999996"/>
    <n v="236.3357642"/>
    <n v="11.67400342"/>
    <n v="3.9129999999999998"/>
    <n v="189.46199999999999"/>
    <s v="Above Average"/>
    <n v="-46.873764200000011"/>
  </r>
  <r>
    <s v="Germany"/>
    <x v="22"/>
    <x v="3"/>
    <n v="768.25449270000001"/>
    <n v="1.853647837"/>
    <n v="0.15652015399999999"/>
    <n v="126.20116350000001"/>
    <n v="314.8894378"/>
    <n v="23.736221059999998"/>
    <n v="19.658694950000001"/>
    <n v="97.697999999999993"/>
    <n v="100.71"/>
    <n v="13.087984949999999"/>
    <n v="85.996907309999997"/>
    <n v="8.4438992000000004E-2"/>
    <n v="628.31399999999996"/>
    <n v="538.20600000000002"/>
    <n v="247.28714859999999"/>
    <n v="12.71720827"/>
    <n v="3.7949999999999999"/>
    <n v="196.99"/>
    <s v="Above Average"/>
    <n v="-50.297148599999986"/>
  </r>
  <r>
    <s v="Germany"/>
    <x v="23"/>
    <x v="3"/>
    <n v="788.46007180000004"/>
    <n v="1.8635212240000001"/>
    <n v="0.160025854"/>
    <n v="123.66331820000001"/>
    <n v="321.60791819999997"/>
    <n v="24.756967660000001"/>
    <n v="19.13246474"/>
    <n v="99.66"/>
    <n v="97.903999999999996"/>
    <n v="12.21998359"/>
    <n v="87.653956719999996"/>
    <n v="8.5872836999999994E-2"/>
    <n v="638.70100000000002"/>
    <n v="536.44000000000005"/>
    <n v="247.16452559999999"/>
    <n v="13.40094974"/>
    <n v="3.7730000000000001"/>
    <n v="190.95599999999999"/>
    <s v="Above Average"/>
    <n v="-56.208525600000002"/>
  </r>
  <r>
    <s v="Germany"/>
    <x v="24"/>
    <x v="3"/>
    <n v="749.66215380000006"/>
    <n v="1.877119164"/>
    <n v="0.15073452600000001"/>
    <n v="120.67905380000001"/>
    <n v="307.43397629999998"/>
    <n v="26.820865040000001"/>
    <n v="19.656685540000002"/>
    <n v="96.876000000000005"/>
    <n v="96.727999999999994"/>
    <n v="9.4690129029999994"/>
    <n v="79.177023860000006"/>
    <n v="8.0300989000000003E-2"/>
    <n v="627.80600000000004"/>
    <n v="524.82600000000002"/>
    <n v="239.2858464"/>
    <n v="15.39870597"/>
    <n v="3.496"/>
    <n v="186.51499999999999"/>
    <s v="Above Average"/>
    <n v="-52.770846400000011"/>
  </r>
  <r>
    <s v="Germany"/>
    <x v="25"/>
    <x v="3"/>
    <n v="754.54471149999995"/>
    <n v="1.869363957"/>
    <n v="0.14828628899999999"/>
    <n v="120.07222609999999"/>
    <n v="308.97885869999999"/>
    <n v="30.033055229999999"/>
    <n v="19.493988559999998"/>
    <n v="96.813000000000002"/>
    <n v="99.215000000000003"/>
    <n v="8.7299974519999992"/>
    <n v="81.34897162"/>
    <n v="7.9324460999999999E-2"/>
    <n v="648.30899999999997"/>
    <n v="528.35"/>
    <n v="239.30445470000001"/>
    <n v="18.711293529999999"/>
    <n v="3.629"/>
    <n v="184.714"/>
    <s v="Above Average"/>
    <n v="-54.590454700000009"/>
  </r>
  <r>
    <s v="Germany"/>
    <x v="26"/>
    <x v="3"/>
    <n v="761.54074749999995"/>
    <n v="1.8318622369999999"/>
    <n v="0.14269684899999999"/>
    <n v="115.2853515"/>
    <n v="310.18555249999997"/>
    <n v="30.01926362"/>
    <n v="19.308104289999999"/>
    <n v="96.912999999999997"/>
    <n v="100.24"/>
    <n v="9.0329990840000001"/>
    <n v="89.265816189999995"/>
    <n v="7.7897150999999998E-2"/>
    <n v="650.44899999999996"/>
    <n v="530.55100000000004"/>
    <n v="231.4021209"/>
    <n v="18.461862499999999"/>
    <n v="3.7010000000000001"/>
    <n v="175.625"/>
    <s v="Above Average"/>
    <n v="-55.7771209"/>
  </r>
  <r>
    <s v="Germany"/>
    <x v="27"/>
    <x v="3"/>
    <n v="746.04502720000005"/>
    <n v="1.7660009379999999"/>
    <n v="0.134684951"/>
    <n v="114.8551221"/>
    <n v="311.17436199999997"/>
    <n v="34.009511670000002"/>
    <n v="19.135949620000002"/>
    <n v="98.58"/>
    <n v="101.872"/>
    <n v="8.2475130859999997"/>
    <n v="90.883265629999997"/>
    <n v="7.6265503999999998E-2"/>
    <n v="653.72299999999996"/>
    <n v="531.31799999999998"/>
    <n v="222.24"/>
    <n v="22.480163619999999"/>
    <n v="3.661"/>
    <n v="175.12200000000001"/>
    <s v="Above Average"/>
    <n v="-47.117999999999995"/>
  </r>
  <r>
    <s v="Germany"/>
    <x v="28"/>
    <x v="3"/>
    <n v="726.03763270000002"/>
    <n v="1.750284304"/>
    <n v="0.127680284"/>
    <n v="111.7997175"/>
    <n v="302.18602069999997"/>
    <n v="35.906517669999999"/>
    <n v="19.194747750000001"/>
    <n v="93.478999999999999"/>
    <n v="96.664000000000001"/>
    <n v="6.5093068939999998"/>
    <n v="91.894443089999996"/>
    <n v="7.2948311000000002E-2"/>
    <n v="643.15899999999999"/>
    <n v="523.46297289999995"/>
    <n v="215.71100000000001"/>
    <n v="24.48539164"/>
    <n v="3.64"/>
    <n v="169.01900000000001"/>
    <s v="Above Average"/>
    <n v="-46.692000000000007"/>
  </r>
  <r>
    <s v="Germany"/>
    <x v="29"/>
    <x v="3"/>
    <n v="678.06502250000005"/>
    <n v="1.6231697119999999"/>
    <n v="0.114611536"/>
    <n v="102.61818820000001"/>
    <n v="294.1217891"/>
    <n v="40.488167769999997"/>
    <n v="18.65691859"/>
    <n v="95.478041750000003"/>
    <n v="96.371078789999999"/>
    <n v="6.6118888560000002"/>
    <n v="94.898198190000002"/>
    <n v="7.0609705999999994E-2"/>
    <n v="612.07548029999998"/>
    <n v="512.2679445"/>
    <n v="168.31480759999999"/>
    <n v="28.11099733"/>
    <n v="3.3402408370000001"/>
    <n v="127.1432542"/>
    <s v="Above Average"/>
    <n v="-41.171553399999993"/>
  </r>
  <r>
    <s v="Germany"/>
    <x v="30"/>
    <x v="3"/>
    <n v="616.99151879999999"/>
    <n v="1.536435977"/>
    <n v="0.107295343"/>
    <n v="95.502253640000006"/>
    <n v="275.47309109999998"/>
    <n v="44.532622320000002"/>
    <n v="18.75441884"/>
    <n v="86.801897220000001"/>
    <n v="91.606272270000005"/>
    <n v="5.5801679440000003"/>
    <n v="92.605368690000006"/>
    <n v="6.9833917999999995E-2"/>
    <n v="572.48850900000002"/>
    <n v="489.0156303"/>
    <n v="138.40672889999999"/>
    <n v="32.093219359999999"/>
    <n v="3.2388020270000002"/>
    <n v="104.595682"/>
    <s v="Above Average"/>
    <n v="-33.811046899999994"/>
  </r>
  <r>
    <s v="India"/>
    <x v="0"/>
    <x v="2"/>
    <n v="523.09689270000001"/>
    <n v="1.711269476"/>
    <n v="0.33034988999999998"/>
    <n v="280.49120490000001"/>
    <n v="305.6776855"/>
    <n v="24.765260649999998"/>
    <n v="7.3913805440000004"/>
    <n v="56.448999999999998"/>
    <n v="52.201000000000001"/>
    <n v="12.76599169"/>
    <n v="12.94400166"/>
    <n v="0.19304375800000001"/>
    <n v="289.47000000000003"/>
    <n v="211.76599999999999"/>
    <n v="218.23474049999999"/>
    <n v="1.1054685999999999E-2"/>
    <n v="34.555"/>
    <n v="225.25800000000001"/>
    <s v=""/>
    <n v="7.0232595000000231"/>
  </r>
  <r>
    <s v="India"/>
    <x v="1"/>
    <x v="2"/>
    <n v="562.04819529999997"/>
    <n v="1.76487025"/>
    <n v="0.35123671499999998"/>
    <n v="290.51365390000001"/>
    <n v="318.464315"/>
    <n v="23.06642042"/>
    <n v="7.8531573769999996"/>
    <n v="58.392000000000003"/>
    <n v="52.213000000000001"/>
    <n v="14.440991690000001"/>
    <n v="14.49003274"/>
    <n v="0.19901560200000001"/>
    <n v="315.67099999999999"/>
    <n v="232.03299999999999"/>
    <n v="236.71762279999999"/>
    <n v="1.2354634999999999E-2"/>
    <n v="32.573999999999998"/>
    <n v="245.00700000000001"/>
    <s v="Above Average"/>
    <n v="8.2893772000000183"/>
  </r>
  <r>
    <s v="India"/>
    <x v="2"/>
    <x v="2"/>
    <n v="594.46555350000006"/>
    <n v="1.8008205770000001"/>
    <n v="0.35218678599999997"/>
    <n v="293.71350000000001"/>
    <n v="330.10815239999999"/>
    <n v="21.025904520000001"/>
    <n v="8.1714200590000008"/>
    <n v="60.588999999999999"/>
    <n v="54.435000000000002"/>
    <n v="16.115991690000001"/>
    <n v="16.70001817"/>
    <n v="0.19557016999999999"/>
    <n v="332.79899999999998"/>
    <n v="247.45099999999999"/>
    <n v="251.1350813"/>
    <n v="2.6442387000000001E-2"/>
    <n v="29.518000000000001"/>
    <n v="255.22900000000001"/>
    <s v="Above Average"/>
    <n v="4.0939187000000175"/>
  </r>
  <r>
    <s v="India"/>
    <x v="3"/>
    <x v="2"/>
    <n v="625.86561340000003"/>
    <n v="1.851428911"/>
    <n v="0.35397305499999998"/>
    <n v="297.57472749999999"/>
    <n v="338.04463670000001"/>
    <n v="19.801194070000001"/>
    <n v="8.7163533350000009"/>
    <n v="62.529000000000003"/>
    <n v="55.305"/>
    <n v="16.340005189999999"/>
    <n v="17.09400312"/>
    <n v="0.19118911499999999"/>
    <n v="356.428"/>
    <n v="266.14600000000002"/>
    <n v="265.24664669999999"/>
    <n v="2.7775596E-2"/>
    <n v="29.742000000000001"/>
    <n v="262.291"/>
    <s v="Above Average"/>
    <n v="-2.9556466999999884"/>
  </r>
  <r>
    <s v="India"/>
    <x v="4"/>
    <x v="2"/>
    <n v="666.50309159999995"/>
    <n v="1.8988601549999999"/>
    <n v="0.35342240899999999"/>
    <n v="308.23453089999998"/>
    <n v="351.00167320000003"/>
    <n v="21.504514740000001"/>
    <n v="9.125386335"/>
    <n v="68.05"/>
    <n v="57.49"/>
    <n v="17.338006230000001"/>
    <n v="18.17698017"/>
    <n v="0.18612345299999999"/>
    <n v="385.62599999999998"/>
    <n v="289.56900000000002"/>
    <n v="280.48717959999999"/>
    <n v="5.1863723E-2"/>
    <n v="34.914999999999999"/>
    <n v="271.72500000000002"/>
    <s v="Above Average"/>
    <n v="-8.7621795999999676"/>
  </r>
  <r>
    <s v="India"/>
    <x v="5"/>
    <x v="2"/>
    <n v="724.57133520000002"/>
    <n v="1.9520998359999999"/>
    <n v="0.35716077800000001"/>
    <n v="322.7639504"/>
    <n v="371.17534769999997"/>
    <n v="17.48965583"/>
    <n v="9.4686790280000004"/>
    <n v="76.337999999999994"/>
    <n v="60.033000000000001"/>
    <n v="20.932009350000001"/>
    <n v="21.448990930000001"/>
    <n v="0.18296235299999999"/>
    <n v="418.11"/>
    <n v="309.649"/>
    <n v="302.13197489999999"/>
    <n v="0.12676090000000001"/>
    <n v="38.375"/>
    <n v="290.42599999999999"/>
    <s v="Above Average"/>
    <n v="-11.705974900000001"/>
  </r>
  <r>
    <s v="India"/>
    <x v="6"/>
    <x v="2"/>
    <n v="760.2398819"/>
    <n v="1.9874288840000001"/>
    <n v="0.34843740899999998"/>
    <n v="328.03590800000001"/>
    <n v="382.52431969999998"/>
    <n v="15.99470614"/>
    <n v="9.4401868049999997"/>
    <n v="80.816999999999993"/>
    <n v="64.275000000000006"/>
    <n v="21.323987540000001"/>
    <n v="22.128013079999999"/>
    <n v="0.175320693"/>
    <n v="436.73200000000003"/>
    <n v="314.976"/>
    <n v="319.06441690000003"/>
    <n v="0.21157139799999999"/>
    <n v="36.222999999999999"/>
    <n v="307.697"/>
    <s v="Above Average"/>
    <n v="-11.367416900000023"/>
  </r>
  <r>
    <s v="India"/>
    <x v="7"/>
    <x v="2"/>
    <n v="794.64629520000005"/>
    <n v="1.998094622"/>
    <n v="0.35003111599999998"/>
    <n v="338.37216969999997"/>
    <n v="397.70203400000003"/>
    <n v="16.251331019999999"/>
    <n v="9.5982118980000006"/>
    <n v="84.888999999999996"/>
    <n v="66.608999999999995"/>
    <n v="24.544989619999999"/>
    <n v="26.222023759999999"/>
    <n v="0.17518245199999999"/>
    <n v="465.80799999999999"/>
    <n v="334.25799999999998"/>
    <n v="332.09482880000002"/>
    <n v="0.223053275"/>
    <n v="37.392000000000003"/>
    <n v="319.20800000000003"/>
    <s v="Above Average"/>
    <n v="-12.886828799999989"/>
  </r>
  <r>
    <s v="India"/>
    <x v="8"/>
    <x v="2"/>
    <n v="812.81176879999998"/>
    <n v="1.995836913"/>
    <n v="0.33718014299999999"/>
    <n v="337.1330537"/>
    <n v="407.25360039999998"/>
    <n v="16.930522710000002"/>
    <n v="9.9720092939999994"/>
    <n v="89.281000000000006"/>
    <n v="70.17"/>
    <n v="25.705996880000001"/>
    <n v="28.141975209999998"/>
    <n v="0.16894173100000001"/>
    <n v="496.92500000000001"/>
    <n v="350.923"/>
    <n v="334.5761321"/>
    <n v="0.22719726300000001"/>
    <n v="36.445999999999998"/>
    <n v="315.70800000000003"/>
    <s v="Above Average"/>
    <n v="-18.868132099999968"/>
  </r>
  <r>
    <s v="India"/>
    <x v="9"/>
    <x v="2"/>
    <n v="873.60680739999998"/>
    <n v="2.0280382100000001"/>
    <n v="0.33294808300000001"/>
    <n v="344.35473819999999"/>
    <n v="430.76447130000003"/>
    <n v="15.49678709"/>
    <n v="9.9448982200000007"/>
    <n v="97.408000000000001"/>
    <n v="86.941000000000003"/>
    <n v="27.768985950000001"/>
    <n v="28.413006230000001"/>
    <n v="0.16417249"/>
    <n v="537.36300000000006"/>
    <n v="360.35599999999999"/>
    <n v="360.58027129999999"/>
    <n v="0.28118794899999999"/>
    <n v="36.417000000000002"/>
    <n v="323.62700000000001"/>
    <s v="Above Average"/>
    <n v="-36.953271299999983"/>
  </r>
  <r>
    <s v="India"/>
    <x v="10"/>
    <x v="2"/>
    <n v="912.26957019999998"/>
    <n v="2.0689924660000001"/>
    <n v="0.33482268399999998"/>
    <n v="350.79080820000001"/>
    <n v="440.9245492"/>
    <n v="13.773853770000001"/>
    <n v="9.9014177100000005"/>
    <n v="107.642"/>
    <n v="104.596"/>
    <n v="27.85999481"/>
    <n v="28.911979110000001"/>
    <n v="0.16182885599999999"/>
    <n v="562.12300000000005"/>
    <n v="368.65499999999997"/>
    <n v="375.48518780000001"/>
    <n v="0.29993435600000001"/>
    <n v="36.418999999999997"/>
    <n v="335.67500000000001"/>
    <s v="Above Average"/>
    <n v="-39.810187799999994"/>
  </r>
  <r>
    <s v="India"/>
    <x v="11"/>
    <x v="2"/>
    <n v="926.71941779999997"/>
    <n v="2.0684200559999999"/>
    <n v="0.32447359399999998"/>
    <n v="358.23856430000001"/>
    <n v="448.03250430000003"/>
    <n v="13.37318202"/>
    <n v="10.012883520000001"/>
    <n v="106.051"/>
    <n v="109.608"/>
    <n v="28.036993769999999"/>
    <n v="29.917031189999999"/>
    <n v="0.15687026100000001"/>
    <n v="580.86400000000003"/>
    <n v="374.59100000000001"/>
    <n v="388.01212149999998"/>
    <n v="0.38614890899999998"/>
    <n v="36.174999999999997"/>
    <n v="349.62400000000002"/>
    <s v="Above Average"/>
    <n v="-38.388121499999954"/>
  </r>
  <r>
    <s v="India"/>
    <x v="12"/>
    <x v="2"/>
    <n v="956.25209150000001"/>
    <n v="2.0687154360000002"/>
    <n v="0.32254440200000001"/>
    <n v="368.4821455"/>
    <n v="462.24438359999999"/>
    <n v="12.34352998"/>
    <n v="10.295841729999999"/>
    <n v="110.224"/>
    <n v="114.16"/>
    <n v="30.40202597"/>
    <n v="31.83899542"/>
    <n v="0.155915307"/>
    <n v="604.34900000000005"/>
    <n v="399.45"/>
    <n v="402.91436650000003"/>
    <n v="0.44510704899999998"/>
    <n v="37.506999999999998"/>
    <n v="363.947"/>
    <s v="Above Average"/>
    <n v="-38.967366500000026"/>
  </r>
  <r>
    <s v="India"/>
    <x v="13"/>
    <x v="2"/>
    <n v="987.21118990000002"/>
    <n v="2.0829864140000001"/>
    <n v="0.30872032799999999"/>
    <n v="381.23941350000001"/>
    <n v="473.94029239999998"/>
    <n v="13.673721710000001"/>
    <n v="10.716347989999999"/>
    <n v="114.45"/>
    <n v="124.023"/>
    <n v="30.90599688"/>
    <n v="34.766018160000002"/>
    <n v="0.148210438"/>
    <n v="642.18799999999999"/>
    <n v="424.83300000000003"/>
    <n v="414.47410009999999"/>
    <n v="0.55949348200000004"/>
    <n v="37.768999999999998"/>
    <n v="386.43299999999999"/>
    <s v="Above Average"/>
    <n v="-28.041100099999994"/>
  </r>
  <r>
    <s v="India"/>
    <x v="14"/>
    <x v="2"/>
    <n v="1040.4759590000001"/>
    <n v="2.0823843449999999"/>
    <n v="0.30149037699999998"/>
    <n v="393.45285100000001"/>
    <n v="499.65606100000002"/>
    <n v="14.685456459999999"/>
    <n v="10.95199549"/>
    <n v="117.58199999999999"/>
    <n v="129.35599999999999"/>
    <n v="30.774999999999999"/>
    <n v="37.033959250000002"/>
    <n v="0.14478133100000001"/>
    <n v="675.75699999999995"/>
    <n v="450.62200000000001"/>
    <n v="441.82600000000002"/>
    <n v="0.66488397499999996"/>
    <n v="38.813000000000002"/>
    <n v="410.392"/>
    <s v="Above Average"/>
    <n v="-31.434000000000026"/>
  </r>
  <r>
    <s v="India"/>
    <x v="15"/>
    <x v="2"/>
    <n v="1085.2263479999999"/>
    <n v="2.1083942200000001"/>
    <n v="0.29137077700000003"/>
    <n v="400.68000569999998"/>
    <n v="514.71700020000003"/>
    <n v="16.82636836"/>
    <n v="11.386214880000001"/>
    <n v="119.589"/>
    <n v="131.07599999999999"/>
    <n v="31.324999999999999"/>
    <n v="38.540957640000002"/>
    <n v="0.13819558700000001"/>
    <n v="708.09100000000001"/>
    <n v="481.86399999999998"/>
    <n v="465.9720312"/>
    <n v="0.87757082099999995"/>
    <n v="36.844999999999999"/>
    <n v="437.267"/>
    <s v="Above Average"/>
    <n v="-28.705031200000008"/>
  </r>
  <r>
    <s v="India"/>
    <x v="16"/>
    <x v="2"/>
    <n v="1155.463598"/>
    <n v="2.168131362"/>
    <n v="0.287087327"/>
    <n v="405.7490305"/>
    <n v="532.93062299999997"/>
    <n v="17.781735489999999"/>
    <n v="12.265183970000001"/>
    <n v="129.22"/>
    <n v="148.273"/>
    <n v="30.790991689999998"/>
    <n v="39.445999010000001"/>
    <n v="0.13241233099999999"/>
    <n v="764.75099999999998"/>
    <n v="534.21699999999998"/>
    <n v="497.76296880000001"/>
    <n v="1.277016964"/>
    <n v="38.475999999999999"/>
    <n v="462.11700000000002"/>
    <s v="Above Average"/>
    <n v="-35.645968799999991"/>
  </r>
  <r>
    <s v="India"/>
    <x v="17"/>
    <x v="2"/>
    <n v="1256.3956049999999"/>
    <n v="2.21155641"/>
    <n v="0.28995226099999999"/>
    <n v="424.73912460000003"/>
    <n v="568.10470640000005"/>
    <n v="18.11926746"/>
    <n v="12.392060600000001"/>
    <n v="139.518"/>
    <n v="158.74100000000001"/>
    <n v="31.478997920000001"/>
    <n v="44.202016550000003"/>
    <n v="0.131107784"/>
    <n v="814.75699999999995"/>
    <n v="579.61500000000001"/>
    <n v="541.62303120000001"/>
    <n v="1.4547895879999999"/>
    <n v="38.659999999999997"/>
    <n v="491.06200000000001"/>
    <s v="Above Average"/>
    <n v="-50.561031200000002"/>
  </r>
  <r>
    <s v="India"/>
    <x v="18"/>
    <x v="2"/>
    <n v="1337.723354"/>
    <n v="2.2153864520000002"/>
    <n v="0.29947720500000002"/>
    <n v="445.26896440000002"/>
    <n v="603.83295759999999"/>
    <n v="16.82752142"/>
    <n v="12.36260832"/>
    <n v="145.65700000000001"/>
    <n v="164.59"/>
    <n v="31.74600208"/>
    <n v="37.511979029999999"/>
    <n v="0.135180571"/>
    <n v="845.27599999999995"/>
    <n v="615.68100000000004"/>
    <n v="588.15403119999996"/>
    <n v="1.650940048"/>
    <n v="38.14"/>
    <n v="525.178"/>
    <s v="Above Average"/>
    <n v="-62.976031199999966"/>
  </r>
  <r>
    <s v="India"/>
    <x v="19"/>
    <x v="2"/>
    <n v="1471.855049"/>
    <n v="2.2196105739999998"/>
    <n v="0.30548823000000003"/>
    <n v="483.57979010000003"/>
    <n v="663.11409130000004"/>
    <n v="15.82424425"/>
    <n v="12.455371059999999"/>
    <n v="146.26499999999999"/>
    <n v="191.35"/>
    <n v="46.521000000000001"/>
    <n v="48.35200425"/>
    <n v="0.13763145399999999"/>
    <n v="908.96600000000001"/>
    <n v="660.74300000000005"/>
    <n v="644.88099999999997"/>
    <n v="2.0755451800000002"/>
    <n v="38.531999999999996"/>
    <n v="566.11300000000006"/>
    <s v="Above Average"/>
    <n v="-78.767999999999915"/>
  </r>
  <r>
    <s v="India"/>
    <x v="20"/>
    <x v="2"/>
    <n v="1570.30692"/>
    <n v="2.2408899899999999"/>
    <n v="0.300395841"/>
    <n v="503.79776750000002"/>
    <n v="700.75145480000003"/>
    <n v="16.335880530000001"/>
    <n v="12.75034754"/>
    <n v="150.96600000000001"/>
    <n v="202.334"/>
    <n v="51.249000000000002"/>
    <n v="52.802997869999999"/>
    <n v="0.13405202499999999"/>
    <n v="974.79899999999998"/>
    <n v="722.51400000000001"/>
    <n v="684.33"/>
    <n v="2.029444019"/>
    <n v="42.188000000000002"/>
    <n v="570.42700000000002"/>
    <s v="Above Average"/>
    <n v="-113.90300000000002"/>
  </r>
  <r>
    <s v="India"/>
    <x v="21"/>
    <x v="2"/>
    <n v="1662.088076"/>
    <n v="2.2656101579999999"/>
    <n v="0.30211828800000001"/>
    <n v="521.43358230000001"/>
    <n v="733.61609450000003"/>
    <n v="17.516136339999999"/>
    <n v="12.93314064"/>
    <n v="155.55799999999999"/>
    <n v="210.96199999999999"/>
    <n v="46.453009090000002"/>
    <n v="59.79904767"/>
    <n v="0.13334963499999999"/>
    <n v="1059.72"/>
    <n v="788.07600000000002"/>
    <n v="716.45699999999999"/>
    <n v="2.4558373910000002"/>
    <n v="42.731000000000002"/>
    <n v="582.28200000000004"/>
    <s v="Above Average"/>
    <n v="-134.17499999999995"/>
  </r>
  <r>
    <s v="India"/>
    <x v="22"/>
    <x v="2"/>
    <n v="1809.7354419999999"/>
    <n v="2.36173966"/>
    <n v="0.31193585800000001"/>
    <n v="524.17100589999995"/>
    <n v="766.27219879999996"/>
    <n v="16.049068200000001"/>
    <n v="13.54083009"/>
    <n v="165.964"/>
    <n v="226.31"/>
    <n v="39.751048730000001"/>
    <n v="55.327945800000002"/>
    <n v="0.13207885"/>
    <n v="1114.7750000000001"/>
    <n v="830.57899999999995"/>
    <n v="778.23699999999997"/>
    <n v="2.9051602339999998"/>
    <n v="42.378999999999998"/>
    <n v="602.85500000000002"/>
    <s v="Above Average"/>
    <n v="-175.38199999999995"/>
  </r>
  <r>
    <s v="India"/>
    <x v="23"/>
    <x v="2"/>
    <n v="1859.0913740000001"/>
    <n v="2.387067294"/>
    <n v="0.30120767300000001"/>
    <n v="522.04221989999996"/>
    <n v="778.81816649999996"/>
    <n v="17.59162993"/>
    <n v="13.933010830000001"/>
    <n v="168.36500000000001"/>
    <n v="229.72"/>
    <n v="34.571039560000003"/>
    <n v="51.514948230000002"/>
    <n v="0.12618315099999999"/>
    <n v="1184.029"/>
    <n v="882.601"/>
    <n v="811.24"/>
    <n v="3.1484870730000001"/>
    <n v="42.088999999999999"/>
    <n v="610.03599999999994"/>
    <s v="Above Average"/>
    <n v="-201.20400000000006"/>
  </r>
  <r>
    <s v="India"/>
    <x v="24"/>
    <x v="2"/>
    <n v="2024.1467889999999"/>
    <n v="2.4624167739999998"/>
    <n v="0.30532450500000002"/>
    <n v="532.74429680000003"/>
    <n v="822.01632549999999"/>
    <n v="16.351428630000001"/>
    <n v="15.065201050000001"/>
    <n v="176.256"/>
    <n v="229.096"/>
    <n v="32.691020700000003"/>
    <n v="51.586012330000003"/>
    <n v="0.123993837"/>
    <n v="1286.9639999999999"/>
    <n v="968.35599999999999"/>
    <n v="898.41899999999998"/>
    <n v="3.2818322809999998"/>
    <n v="41.454999999999998"/>
    <n v="657.44899999999996"/>
    <s v="Above Average"/>
    <n v="-240.97000000000003"/>
  </r>
  <r>
    <s v="India"/>
    <x v="25"/>
    <x v="2"/>
    <n v="2035.3504170000001"/>
    <n v="2.438895102"/>
    <n v="0.28428252100000001"/>
    <n v="537.31669320000003"/>
    <n v="834.53790849999996"/>
    <n v="15.33773512"/>
    <n v="15.5012004"/>
    <n v="194.17099999999999"/>
    <n v="237.226"/>
    <n v="31.125980129999999"/>
    <n v="54.605659420000002"/>
    <n v="0.11656201200000001"/>
    <n v="1357.6320000000001"/>
    <n v="1022.867"/>
    <n v="885.02800000000002"/>
    <n v="3.3510553669999998"/>
    <n v="40.957999999999998"/>
    <n v="683.072"/>
    <s v="Above Average"/>
    <n v="-201.95600000000002"/>
  </r>
  <r>
    <s v="India"/>
    <x v="26"/>
    <x v="2"/>
    <n v="2061.68138"/>
    <n v="2.419270397"/>
    <n v="0.26621197499999999"/>
    <n v="550.83943409999995"/>
    <n v="852.19138090000001"/>
    <n v="17.079362140000001"/>
    <n v="16.234293109999999"/>
    <n v="205.26499999999999"/>
    <n v="248.07599999999999"/>
    <n v="30.84801912"/>
    <n v="58.383071800000003"/>
    <n v="0.110038124"/>
    <n v="1449.2929999999999"/>
    <n v="1103.0709999999999"/>
    <n v="884.52200000000005"/>
    <n v="4.6270146890000001"/>
    <n v="40.304000000000002"/>
    <n v="703.09799999999996"/>
    <s v="Above Average"/>
    <n v="-181.42400000000009"/>
  </r>
  <r>
    <s v="India"/>
    <x v="27"/>
    <x v="2"/>
    <n v="2181.8055290000002"/>
    <n v="2.4713046190000001"/>
    <n v="0.26287991199999999"/>
    <n v="551.5960159"/>
    <n v="882.85576460000004"/>
    <n v="17.482345989999999"/>
    <n v="16.44167255"/>
    <n v="215.88317599999999"/>
    <n v="256.83479799999998"/>
    <n v="31.730948720000001"/>
    <n v="61.550880239999998"/>
    <n v="0.10637293"/>
    <n v="1519.1591000000001"/>
    <n v="1159.3541399999999"/>
    <n v="951.00281399999994"/>
    <n v="5.3338172410000002"/>
    <n v="40.292999999999999"/>
    <n v="722.04399999999998"/>
    <s v="Above Average"/>
    <n v="-228.95881399999996"/>
  </r>
  <r>
    <s v="India"/>
    <x v="28"/>
    <x v="2"/>
    <n v="2290.4430499999999"/>
    <n v="2.491144351"/>
    <n v="0.258370769"/>
    <n v="573.55797749999999"/>
    <n v="919.43409399999996"/>
    <n v="18.935330319999998"/>
    <n v="16.652432300000001"/>
    <n v="222.70496499999999"/>
    <n v="262.16340700000001"/>
    <n v="32.053846149999998"/>
    <n v="62.337080569999998"/>
    <n v="0.103715696"/>
    <n v="1583.21875"/>
    <n v="1206.9976409999999"/>
    <n v="1009.902752"/>
    <n v="6.5702986399999999"/>
    <n v="39.134999999999998"/>
    <n v="775.73"/>
    <s v="Above Average"/>
    <n v="-234.17275199999995"/>
  </r>
  <r>
    <s v="India"/>
    <x v="29"/>
    <x v="2"/>
    <n v="2319.0735140000002"/>
    <n v="2.4661592360000002"/>
    <n v="0.25110182800000003"/>
    <n v="577.52483910000001"/>
    <n v="940.35838409999997"/>
    <n v="21.11007279"/>
    <n v="16.203510210000001"/>
    <n v="229.10241260000001"/>
    <n v="261.19341589999999"/>
    <n v="30.85452355"/>
    <n v="63.474794660000001"/>
    <n v="0.101818984"/>
    <n v="1596.8982900000001"/>
    <n v="1218.458531"/>
    <n v="1013.294392"/>
    <n v="7.3735225629999999"/>
    <n v="37.574897"/>
    <n v="768.99926100000005"/>
    <s v="Above Average"/>
    <n v="-244.29513099999997"/>
  </r>
  <r>
    <s v="India"/>
    <x v="30"/>
    <x v="2"/>
    <n v="2191.2604529999999"/>
    <n v="2.4124617499999998"/>
    <n v="0.25622315400000001"/>
    <n v="590.24748609999995"/>
    <n v="908.30888919999995"/>
    <n v="22.519753590000001"/>
    <n v="16.315328090000001"/>
    <n v="206.2614078"/>
    <n v="231.60100990000001"/>
    <n v="27.307719209999998"/>
    <n v="62.581782400000002"/>
    <n v="0.106208173"/>
    <n v="1557.0966330000001"/>
    <n v="1190.732074"/>
    <n v="975.75567369999999"/>
    <n v="8.2308990929999997"/>
    <n v="35.370257860000002"/>
    <n v="778.53377980000005"/>
    <s v="Above Average"/>
    <n v="-197.22189389999994"/>
  </r>
  <r>
    <s v="Indonesia"/>
    <x v="0"/>
    <x v="2"/>
    <n v="144.86537680000001"/>
    <n v="1.4682971140000001"/>
    <n v="0.174505946"/>
    <n v="168.57293150000001"/>
    <n v="98.662168170000001"/>
    <n v="20.917133499999998"/>
    <n v="3.0700727900000002"/>
    <n v="30.184000000000001"/>
    <n v="39.436999999999998"/>
    <n v="48.27998384"/>
    <n v="16.908002660000001"/>
    <n v="0.118849206"/>
    <n v="32.667000000000002"/>
    <n v="28.288"/>
    <n v="7.32"/>
    <n v="3.4438424099999998"/>
    <n v="73.194000000000003"/>
    <n v="10.23"/>
    <s v=""/>
    <n v="2.91"/>
  </r>
  <r>
    <s v="Indonesia"/>
    <x v="1"/>
    <x v="2"/>
    <n v="157.27990729999999"/>
    <n v="1.519682508"/>
    <n v="0.17721174000000001"/>
    <n v="183.17492300000001"/>
    <n v="103.4952409"/>
    <n v="20.55704339"/>
    <n v="3.2980310789999998"/>
    <n v="31.584"/>
    <n v="39.987000000000002"/>
    <n v="54.522989090000003"/>
    <n v="18.838016369999998"/>
    <n v="0.11661102800000001"/>
    <n v="37.340000000000003"/>
    <n v="31.481999999999999"/>
    <n v="8.1010000000000009"/>
    <n v="2.8093197640000001"/>
    <n v="79.628"/>
    <n v="13.271000000000001"/>
    <s v=""/>
    <n v="5.17"/>
  </r>
  <r>
    <s v="Indonesia"/>
    <x v="2"/>
    <x v="2"/>
    <n v="164.97414660000001"/>
    <n v="1.529145712"/>
    <n v="0.17454029099999999"/>
    <n v="187.4063242"/>
    <n v="107.8864789"/>
    <n v="23.83831571"/>
    <n v="3.5329450699999998"/>
    <n v="33.206000000000003"/>
    <n v="42.042999999999999"/>
    <n v="57.312068969999999"/>
    <n v="20.178008429999998"/>
    <n v="0.114142354"/>
    <n v="41.512999999999998"/>
    <n v="34.963999999999999"/>
    <n v="8.3290000000000006"/>
    <n v="2.6112302170000001"/>
    <n v="75.48"/>
    <n v="22.007999999999999"/>
    <s v=""/>
    <n v="13.678999999999998"/>
  </r>
  <r>
    <s v="Indonesia"/>
    <x v="3"/>
    <x v="2"/>
    <n v="179.43319990000001"/>
    <n v="1.514187194"/>
    <n v="0.17825743199999999"/>
    <n v="194.29974540000001"/>
    <n v="118.5013323"/>
    <n v="19.775330400000001"/>
    <n v="3.7672102249999999"/>
    <n v="36.781999999999996"/>
    <n v="42.271000000000001"/>
    <n v="59.009955619999999"/>
    <n v="21.382001079999998"/>
    <n v="0.117724832"/>
    <n v="45.4"/>
    <n v="38.960999999999999"/>
    <n v="8.2970000000000006"/>
    <n v="2.4008810569999999"/>
    <n v="76.549000000000007"/>
    <n v="28.314"/>
    <s v=""/>
    <n v="20.016999999999999"/>
  </r>
  <r>
    <s v="Indonesia"/>
    <x v="4"/>
    <x v="2"/>
    <n v="190.1777304"/>
    <n v="1.602723568"/>
    <n v="0.175684962"/>
    <n v="207.5327825"/>
    <n v="118.6590964"/>
    <n v="15.656762329999999"/>
    <n v="4.1089113079999997"/>
    <n v="37.198999999999998"/>
    <n v="42.643000000000001"/>
    <n v="65.599923149999995"/>
    <n v="26.355991899999999"/>
    <n v="0.109616509"/>
    <n v="51.357999999999997"/>
    <n v="44.668999999999997"/>
    <n v="9.2880000000000003"/>
    <n v="3.7676700809999999"/>
    <n v="80.619"/>
    <n v="30.687000000000001"/>
    <s v=""/>
    <n v="21.399000000000001"/>
  </r>
  <r>
    <s v="Indonesia"/>
    <x v="5"/>
    <x v="2"/>
    <n v="212.1885532"/>
    <n v="1.6213241119999999"/>
    <n v="0.181129556"/>
    <n v="214.55872059999999"/>
    <n v="130.8736184"/>
    <n v="16.463095299999999"/>
    <n v="4.3443799350000001"/>
    <n v="43.143000000000001"/>
    <n v="46.393999999999998"/>
    <n v="65.479025910000004"/>
    <n v="28.976026919999999"/>
    <n v="0.111717055"/>
    <n v="59.192999999999998"/>
    <n v="49.749000000000002"/>
    <n v="10.568"/>
    <n v="3.7335495750000001"/>
    <n v="80.307000000000002"/>
    <n v="41.828000000000003"/>
    <s v=""/>
    <n v="31.260000000000005"/>
  </r>
  <r>
    <s v="Indonesia"/>
    <x v="6"/>
    <x v="2"/>
    <n v="230.13385009999999"/>
    <n v="1.6969106249999999"/>
    <n v="0.18220313599999999"/>
    <n v="222.7465139"/>
    <n v="135.6193111"/>
    <n v="15.530683359999999"/>
    <n v="4.6814578520000003"/>
    <n v="45.295999999999999"/>
    <n v="49.015000000000001"/>
    <n v="68.951965279999996"/>
    <n v="30.21098782"/>
    <n v="0.107373443"/>
    <n v="67.724000000000004"/>
    <n v="56.932000000000002"/>
    <n v="11.95"/>
    <n v="3.4729194969999999"/>
    <n v="79.986000000000004"/>
    <n v="50.33"/>
    <s v=""/>
    <n v="38.379999999999995"/>
  </r>
  <r>
    <s v="Indonesia"/>
    <x v="7"/>
    <x v="2"/>
    <n v="249.70949619999999"/>
    <n v="1.781388768"/>
    <n v="0.18882705699999999"/>
    <n v="227.67807089999999"/>
    <n v="140.17686689999999"/>
    <n v="10.33942139"/>
    <n v="5.1062942759999999"/>
    <n v="48.401000000000003"/>
    <n v="47.73"/>
    <n v="71.706912770000002"/>
    <n v="32.626028009999999"/>
    <n v="0.105999914"/>
    <n v="74.626999999999995"/>
    <n v="64.463999999999999"/>
    <n v="14.083"/>
    <n v="3.4906937170000001"/>
    <n v="78.935000000000002"/>
    <n v="54.875999999999998"/>
    <s v=""/>
    <n v="40.792999999999999"/>
  </r>
  <r>
    <s v="Indonesia"/>
    <x v="8"/>
    <x v="2"/>
    <n v="251.7631978"/>
    <n v="1.8362019940000001"/>
    <n v="0.21914684400000001"/>
    <n v="229.139747"/>
    <n v="137.11084"/>
    <n v="15.76539635"/>
    <n v="5.2839584869999996"/>
    <n v="46.720999999999997"/>
    <n v="47.85"/>
    <n v="70.113990709999996"/>
    <n v="35.868979969999998"/>
    <n v="0.11934789599999999"/>
    <n v="78.037999999999997"/>
    <n v="65.260999999999996"/>
    <n v="15.912000000000001"/>
    <n v="3.353494451"/>
    <n v="77.436999999999998"/>
    <n v="61.276000000000003"/>
    <s v=""/>
    <n v="45.364000000000004"/>
  </r>
  <r>
    <s v="Indonesia"/>
    <x v="9"/>
    <x v="2"/>
    <n v="270.73988869999999"/>
    <n v="1.885012546"/>
    <n v="0.233815298"/>
    <n v="237.94560680000001"/>
    <n v="143.62763219999999"/>
    <n v="14.123261360000001"/>
    <n v="5.3321424559999997"/>
    <n v="50.692999999999998"/>
    <n v="48.86"/>
    <n v="74.976921300000001"/>
    <n v="35.189972560000001"/>
    <n v="0.12403912"/>
    <n v="85.915000000000006"/>
    <n v="71.334999999999994"/>
    <n v="20.099"/>
    <n v="3.1752313330000002"/>
    <n v="74.613"/>
    <n v="73.754000000000005"/>
    <s v=""/>
    <n v="53.655000000000001"/>
  </r>
  <r>
    <s v="Indonesia"/>
    <x v="10"/>
    <x v="2"/>
    <n v="272.20764800000001"/>
    <n v="1.748524569"/>
    <n v="0.224059023"/>
    <n v="237.50845559999999"/>
    <n v="155.67848050000001"/>
    <n v="15.95606751"/>
    <n v="5.6668645079999997"/>
    <n v="51.484999999999999"/>
    <n v="50.338999999999999"/>
    <n v="70.083005130000004"/>
    <n v="31.464032809999999"/>
    <n v="0.12814176399999999"/>
    <n v="93.325000000000003"/>
    <n v="79.164000000000001"/>
    <n v="24.61"/>
    <n v="5.2172515400000004"/>
    <n v="70.259"/>
    <n v="79.376999999999995"/>
    <s v=""/>
    <n v="54.766999999999996"/>
  </r>
  <r>
    <s v="Indonesia"/>
    <x v="11"/>
    <x v="2"/>
    <n v="290.50125070000001"/>
    <n v="1.8246501589999999"/>
    <n v="0.230710941"/>
    <n v="241.7688052"/>
    <n v="159.2092869"/>
    <n v="17.474865189999999"/>
    <n v="5.9029807419999996"/>
    <n v="53.222000000000001"/>
    <n v="50.832000000000001"/>
    <n v="67.611982209999994"/>
    <n v="33.289983790000001"/>
    <n v="0.12644119200000001"/>
    <n v="101.254"/>
    <n v="84.52"/>
    <n v="28.361000000000001"/>
    <n v="5.9563078989999996"/>
    <n v="66.635999999999996"/>
    <n v="93.603999999999999"/>
    <s v=""/>
    <n v="65.242999999999995"/>
  </r>
  <r>
    <s v="Indonesia"/>
    <x v="12"/>
    <x v="2"/>
    <n v="296.74964560000001"/>
    <n v="1.798542029"/>
    <n v="0.22552582700000001"/>
    <n v="248.08893639999999"/>
    <n v="164.9945572"/>
    <n v="14.953288300000001"/>
    <n v="6.1032616290000004"/>
    <n v="53.084000000000003"/>
    <n v="48.761000000000003"/>
    <n v="74.472944650000002"/>
    <n v="35.179963499999999"/>
    <n v="0.125393693"/>
    <n v="108.217"/>
    <n v="87.085999999999999"/>
    <n v="29.254999999999999"/>
    <n v="5.7643438649999998"/>
    <n v="61.945"/>
    <n v="102.133"/>
    <s v=""/>
    <n v="72.878"/>
  </r>
  <r>
    <s v="Indonesia"/>
    <x v="13"/>
    <x v="2"/>
    <n v="325.1826069"/>
    <n v="1.966865547"/>
    <n v="0.235859546"/>
    <n v="254.7952291"/>
    <n v="165.33036910000001"/>
    <n v="13.6385363"/>
    <n v="6.1307980559999997"/>
    <n v="54.143000000000001"/>
    <n v="50.085000000000001"/>
    <n v="77.987019700000005"/>
    <n v="35.995970399999997"/>
    <n v="0.119916456"/>
    <n v="112.974"/>
    <n v="90.441000000000003"/>
    <n v="39.273000000000003"/>
    <n v="5.5711933719999998"/>
    <n v="56.741999999999997"/>
    <n v="117.104"/>
    <s v=""/>
    <n v="77.830999999999989"/>
  </r>
  <r>
    <s v="Indonesia"/>
    <x v="14"/>
    <x v="2"/>
    <n v="331.66381749999999"/>
    <n v="1.883023763"/>
    <n v="0.22903785400000001"/>
    <n v="264.76816580000002"/>
    <n v="176.1336336"/>
    <n v="13.60651781"/>
    <n v="6.5310511309999999"/>
    <n v="60.353000000000002"/>
    <n v="50.054000000000002"/>
    <n v="74.576034480000004"/>
    <n v="34.438004929999998"/>
    <n v="0.121633013"/>
    <n v="120.163"/>
    <n v="100.09699999999999"/>
    <n v="36.084000000000003"/>
    <n v="5.539142665"/>
    <n v="53.459000000000003"/>
    <n v="143.714"/>
    <s v=""/>
    <n v="107.63"/>
  </r>
  <r>
    <s v="Indonesia"/>
    <x v="15"/>
    <x v="2"/>
    <n v="335.39758169999999"/>
    <n v="1.8753114790000001"/>
    <n v="0.21914150199999999"/>
    <n v="279.6422306"/>
    <n v="178.84899949999999"/>
    <n v="13.60553286"/>
    <n v="6.9968002069999997"/>
    <n v="59.42"/>
    <n v="47.921999999999997"/>
    <n v="75.143005630000005"/>
    <n v="33.476996139999997"/>
    <n v="0.116856055"/>
    <n v="127.529"/>
    <n v="107.705"/>
    <n v="41.250999999999998"/>
    <n v="5.178430004"/>
    <n v="52.447000000000003"/>
    <n v="170.541"/>
    <s v=""/>
    <n v="129.29"/>
  </r>
  <r>
    <s v="Indonesia"/>
    <x v="16"/>
    <x v="2"/>
    <n v="353.75166339999998"/>
    <n v="1.9339495"/>
    <n v="0.21908206199999999"/>
    <n v="313.53474269999998"/>
    <n v="182.91670149999999"/>
    <n v="12.258777200000001"/>
    <n v="7.0959864350000004"/>
    <n v="57.13"/>
    <n v="47.156999999999996"/>
    <n v="74.283040110000002"/>
    <n v="35.559031220000001"/>
    <n v="0.113282204"/>
    <n v="133.072"/>
    <n v="113.41500000000001"/>
    <n v="49.491"/>
    <n v="5.0033064810000001"/>
    <n v="49.271000000000001"/>
    <n v="233.316"/>
    <s v=""/>
    <n v="183.82499999999999"/>
  </r>
  <r>
    <s v="Indonesia"/>
    <x v="17"/>
    <x v="2"/>
    <n v="371.53669989999997"/>
    <n v="2.0394185120000001"/>
    <n v="0.21636792599999999"/>
    <n v="318.16229989999999"/>
    <n v="182.17776180000001"/>
    <n v="12.9038839"/>
    <n v="7.5400059209999997"/>
    <n v="58.442"/>
    <n v="46.396999999999998"/>
    <n v="71.507055469999997"/>
    <n v="30.482026829999999"/>
    <n v="0.10609295000000001"/>
    <n v="142.15100000000001"/>
    <n v="121.614"/>
    <n v="61.445999999999998"/>
    <n v="4.9391140409999998"/>
    <n v="46.744"/>
    <n v="248.83199999999999"/>
    <s v=""/>
    <n v="187.386"/>
  </r>
  <r>
    <s v="Indonesia"/>
    <x v="18"/>
    <x v="2"/>
    <n v="365.22893850000003"/>
    <n v="1.9705032149999999"/>
    <n v="0.20062929099999999"/>
    <n v="323.17274149999997"/>
    <n v="185.34805510000001"/>
    <n v="13.31583247"/>
    <n v="8.1866192259999995"/>
    <n v="59.91"/>
    <n v="48.351999999999997"/>
    <n v="73.724064040000002"/>
    <n v="32.612037899999997"/>
    <n v="0.101816272"/>
    <n v="149.32599999999999"/>
    <n v="128.81"/>
    <n v="55.226999999999997"/>
    <n v="5.5643357489999996"/>
    <n v="48.304000000000002"/>
    <n v="248.76599999999999"/>
    <s v=""/>
    <n v="193.53899999999999"/>
  </r>
  <r>
    <s v="Indonesia"/>
    <x v="19"/>
    <x v="2"/>
    <n v="382.4650815"/>
    <n v="1.954819882"/>
    <n v="0.20080263500000001"/>
    <n v="348.0182274"/>
    <n v="195.6523387"/>
    <n v="13.233061599999999"/>
    <n v="8.3895044740000007"/>
    <n v="59.960999999999999"/>
    <n v="49.524000000000001"/>
    <n v="76.891068430000004"/>
    <n v="38.836028749999997"/>
    <n v="0.102721809"/>
    <n v="156.774"/>
    <n v="136.053"/>
    <n v="56.295000000000002"/>
    <n v="5.931468228"/>
    <n v="47.314"/>
    <n v="291.24700000000001"/>
    <s v=""/>
    <n v="234.952"/>
  </r>
  <r>
    <s v="Indonesia"/>
    <x v="20"/>
    <x v="2"/>
    <n v="410.47747340000001"/>
    <n v="2.0351947309999998"/>
    <n v="0.202882641"/>
    <n v="373.7883903"/>
    <n v="201.6895323"/>
    <n v="15.854024920000001"/>
    <n v="8.6771957890000007"/>
    <n v="59.664000000000001"/>
    <n v="46.725000000000001"/>
    <n v="85.714989450000004"/>
    <n v="43.525992479999999"/>
    <n v="9.9687090000000006E-2"/>
    <n v="169.755"/>
    <n v="147.297"/>
    <n v="67.075000000000003"/>
    <n v="5.5150069220000004"/>
    <n v="47.536000000000001"/>
    <n v="325"/>
    <s v=""/>
    <n v="257.92500000000001"/>
  </r>
  <r>
    <s v="Indonesia"/>
    <x v="21"/>
    <x v="2"/>
    <n v="460.66937489999998"/>
    <n v="2.2462495869999999"/>
    <n v="0.21445884800000001"/>
    <n v="424.8456893"/>
    <n v="205.0837884"/>
    <n v="11.99289052"/>
    <n v="8.8566020079999994"/>
    <n v="70.905000000000001"/>
    <n v="47.875999999999998"/>
    <n v="81.456966850000001"/>
    <n v="41.030046720000001"/>
    <n v="9.5474185000000003E-2"/>
    <n v="183.417"/>
    <n v="157.99299999999999"/>
    <n v="79.548000000000002"/>
    <n v="5.1123941620000002"/>
    <n v="45.283999999999999"/>
    <n v="435.93599999999998"/>
    <s v=""/>
    <n v="356.38799999999998"/>
  </r>
  <r>
    <s v="Indonesia"/>
    <x v="22"/>
    <x v="2"/>
    <n v="467.92731559999999"/>
    <n v="2.2922970770000002"/>
    <n v="0.20544901199999999"/>
    <n v="429.18757829999998"/>
    <n v="204.13031119999999"/>
    <n v="11.23681448"/>
    <n v="9.4174514859999992"/>
    <n v="75.569999999999993"/>
    <n v="46.067"/>
    <n v="77.142033780000006"/>
    <n v="40.84201556"/>
    <n v="8.9625822999999993E-2"/>
    <n v="200.03"/>
    <n v="173.99100000000001"/>
    <n v="82.18"/>
    <n v="4.7117932309999997"/>
    <n v="43.654000000000003"/>
    <n v="470.24"/>
    <s v=""/>
    <n v="388.06"/>
  </r>
  <r>
    <s v="Indonesia"/>
    <x v="23"/>
    <x v="2"/>
    <n v="428.44124690000001"/>
    <n v="2.1722323000000001"/>
    <n v="0.17820866199999999"/>
    <n v="437.04807770000002"/>
    <n v="197.2354646"/>
    <n v="12.27016017"/>
    <n v="10.83462827"/>
    <n v="75.215999999999994"/>
    <n v="44.496000000000002"/>
    <n v="76.477067559999995"/>
    <n v="41.905969980000002"/>
    <n v="8.2039413000000005E-2"/>
    <n v="216.02"/>
    <n v="187.541"/>
    <n v="65.366"/>
    <n v="4.3602444220000001"/>
    <n v="41.390999999999998"/>
    <n v="491.07600000000002"/>
    <s v=""/>
    <n v="425.71000000000004"/>
  </r>
  <r>
    <s v="Indonesia"/>
    <x v="24"/>
    <x v="2"/>
    <n v="463.73682960000002"/>
    <n v="2.256406251"/>
    <n v="0.18369284599999999"/>
    <n v="430.78284000000002"/>
    <n v="205.52009609999999"/>
    <n v="11.475100490000001"/>
    <n v="11.337337850000001"/>
    <n v="75.658000000000001"/>
    <n v="47.936"/>
    <n v="75.271073430000001"/>
    <n v="42.94895099"/>
    <n v="8.1409473999999996E-2"/>
    <n v="227.876"/>
    <n v="198.602"/>
    <n v="79.108000000000004"/>
    <n v="4.4080991420000002"/>
    <n v="40.075000000000003"/>
    <n v="488.05200000000002"/>
    <s v=""/>
    <n v="408.94400000000002"/>
  </r>
  <r>
    <s v="Indonesia"/>
    <x v="25"/>
    <x v="2"/>
    <n v="465.11007940000002"/>
    <n v="2.278379948"/>
    <n v="0.17567054800000001"/>
    <n v="405.9013271"/>
    <n v="204.14070079999999"/>
    <n v="10.65115563"/>
    <n v="11.84196775"/>
    <n v="71.126999999999995"/>
    <n v="46.689"/>
    <n v="75.037019889999996"/>
    <n v="42.94696759"/>
    <n v="7.7103272E-2"/>
    <n v="233.98400000000001"/>
    <n v="202.845"/>
    <n v="86.82"/>
    <n v="4.2981571389999997"/>
    <n v="39.686"/>
    <n v="451.76400000000001"/>
    <s v=""/>
    <n v="364.94400000000002"/>
  </r>
  <r>
    <s v="Indonesia"/>
    <x v="26"/>
    <x v="2"/>
    <n v="466.2089441"/>
    <n v="2.2288436420000002"/>
    <n v="0.16764775800000001"/>
    <n v="413.72868390000002"/>
    <n v="209.1707715"/>
    <n v="12.56695708"/>
    <n v="12.854597480000001"/>
    <n v="67.947999999999993"/>
    <n v="47.75"/>
    <n v="73.970029699999998"/>
    <n v="41.567960990000003"/>
    <n v="7.5217370000000006E-2"/>
    <n v="247.92"/>
    <n v="216.00399999999999"/>
    <n v="94.46"/>
    <n v="4.3090513069999998"/>
    <n v="41.831000000000003"/>
    <n v="463.48700000000002"/>
    <s v=""/>
    <n v="369.02700000000004"/>
  </r>
  <r>
    <s v="Indonesia"/>
    <x v="27"/>
    <x v="2"/>
    <n v="505.31382880000001"/>
    <n v="2.2775407620000001"/>
    <n v="0.17294592"/>
    <n v="426.00156629999998"/>
    <n v="221.86818220000001"/>
    <n v="12.54197847"/>
    <n v="12.60845829"/>
    <n v="74.372604999999993"/>
    <n v="48.485219000000001"/>
    <n v="71.630521700000003"/>
    <n v="39.759522879999999"/>
    <n v="7.5935378999999997E-2"/>
    <n v="254.86872"/>
    <n v="223.13372000000001"/>
    <n v="105.471435"/>
    <n v="5.0218206460000001"/>
    <n v="40.083632000000001"/>
    <n v="494.70925599999998"/>
    <s v=""/>
    <n v="389.237821"/>
  </r>
  <r>
    <s v="Indonesia"/>
    <x v="28"/>
    <x v="2"/>
    <n v="556.34243140000001"/>
    <n v="2.4073371699999999"/>
    <n v="0.18104819599999999"/>
    <n v="450.77035100000001"/>
    <n v="231.10282950000001"/>
    <n v="17.3161886"/>
    <n v="14.11243286"/>
    <n v="79.042772999999997"/>
    <n v="50.486136999999999"/>
    <n v="71.725779560000007"/>
    <n v="44.455942139999998"/>
    <n v="7.5206829000000003E-2"/>
    <n v="283.77076"/>
    <n v="256.09135300000003"/>
    <n v="119.73542500000001"/>
    <n v="5.0390639259999999"/>
    <n v="38.673810000000003"/>
    <n v="548.21979099999999"/>
    <s v="Above Average"/>
    <n v="428.48436599999997"/>
  </r>
  <r>
    <s v="Indonesia"/>
    <x v="29"/>
    <x v="2"/>
    <n v="595.53364050000005"/>
    <n v="2.5103963970000001"/>
    <n v="0.184529424"/>
    <n v="473.14577350000002"/>
    <n v="237.22693409999999"/>
    <n v="16.520368080000001"/>
    <n v="14.22142631"/>
    <n v="76.497601079999995"/>
    <n v="50.652271599999999"/>
    <n v="68.613858769999993"/>
    <n v="44.498437989999999"/>
    <n v="7.3506089999999996E-2"/>
    <n v="295.44354449999997"/>
    <n v="267.98897269999998"/>
    <n v="144.01773589999999"/>
    <n v="4.9760346240000004"/>
    <n v="37.254125999999999"/>
    <n v="605.60643879999998"/>
    <s v="Above Average"/>
    <n v="461.58870289999999"/>
  </r>
  <r>
    <s v="Indonesia"/>
    <x v="30"/>
    <x v="2"/>
    <n v="566.03976560000001"/>
    <n v="2.5171479410000002"/>
    <n v="0.17915279100000001"/>
    <n v="436.58301340000003"/>
    <n v="224.8734595"/>
    <n v="18.313618559999998"/>
    <n v="14.810269809999999"/>
    <n v="73.093584660000005"/>
    <n v="52.294824009999999"/>
    <n v="61.921248460000001"/>
    <n v="39.461125940000002"/>
    <n v="7.1172928999999996E-2"/>
    <n v="291.11168129999999"/>
    <n v="265.87687240000002"/>
    <n v="138.67384960000001"/>
    <n v="5.1531335250000003"/>
    <n v="35.678087140000002"/>
    <n v="551.06058140000005"/>
    <s v="Above Average"/>
    <n v="412.38673180000001"/>
  </r>
  <r>
    <s v="Iran"/>
    <x v="0"/>
    <x v="5"/>
    <n v="181.23918520000001"/>
    <n v="2.6151890419999999"/>
    <n v="0.35583219100000002"/>
    <n v="187.83951709999999"/>
    <n v="69.302517839999993"/>
    <n v="10.292375890000001"/>
    <n v="7.7179754809999999"/>
    <n v="45.625"/>
    <n v="40.887999999999998"/>
    <n v="22.602006329999998"/>
    <n v="20.668013370000001"/>
    <n v="0.136063659"/>
    <n v="59.101999999999997"/>
    <n v="50.12"/>
    <n v="1.0609999999999999"/>
    <n v="0"/>
    <n v="164.304"/>
    <n v="0.83499999999999996"/>
    <s v=""/>
    <n v="-0.22599999999999998"/>
  </r>
  <r>
    <s v="Iran"/>
    <x v="1"/>
    <x v="5"/>
    <n v="200.81709660000001"/>
    <n v="2.613929567"/>
    <n v="0.35082595799999999"/>
    <n v="200.47012770000001"/>
    <n v="76.825748910000002"/>
    <n v="11.003337180000001"/>
    <n v="7.4928320790000003"/>
    <n v="48.353999999999999"/>
    <n v="46.628"/>
    <n v="28.271033379999999"/>
    <n v="25.628010979999999"/>
    <n v="0.134214006"/>
    <n v="64.126000000000005"/>
    <n v="54.398000000000003"/>
    <n v="1.512"/>
    <n v="0"/>
    <n v="171.89"/>
    <n v="0.85799999999999998"/>
    <s v=""/>
    <n v="-0.65400000000000003"/>
  </r>
  <r>
    <s v="Iran"/>
    <x v="2"/>
    <x v="5"/>
    <n v="218.18239149999999"/>
    <n v="2.6978707819999999"/>
    <n v="0.37065591199999998"/>
    <n v="214.9159166"/>
    <n v="80.872068810000002"/>
    <n v="13.87675462"/>
    <n v="7.1851442299999997"/>
    <n v="52.701000000000001"/>
    <n v="47.262999999999998"/>
    <n v="27.577034980000001"/>
    <n v="27.19299315"/>
    <n v="0.13738831200000001"/>
    <n v="68.676000000000002"/>
    <n v="59.203000000000003"/>
    <n v="1.331"/>
    <n v="0"/>
    <n v="186.53"/>
    <n v="0.67700000000000005"/>
    <s v=""/>
    <n v="-0.65399999999999991"/>
  </r>
  <r>
    <s v="Iran"/>
    <x v="3"/>
    <x v="5"/>
    <n v="219.6433122"/>
    <n v="2.5225308040000001"/>
    <n v="0.36929709300000002"/>
    <n v="227.86490979999999"/>
    <n v="87.07259861"/>
    <n v="12.89039945"/>
    <n v="7.8343769500000002"/>
    <n v="52.668999999999997"/>
    <n v="53.798999999999999"/>
    <n v="31.347011890000001"/>
    <n v="31.418004880000002"/>
    <n v="0.14639943799999999"/>
    <n v="76.203999999999994"/>
    <n v="63.094999999999999"/>
    <n v="1.645"/>
    <n v="0"/>
    <n v="195.774"/>
    <n v="1.1339999999999999"/>
    <s v=""/>
    <n v="-0.51100000000000012"/>
  </r>
  <r>
    <s v="Iran"/>
    <x v="4"/>
    <x v="5"/>
    <n v="248.8075892"/>
    <n v="2.5737724320000002"/>
    <n v="0.42475293800000002"/>
    <n v="231.34081169999999"/>
    <n v="96.670391710000004"/>
    <n v="9.0927965999999998"/>
    <n v="7.2922228069999999"/>
    <n v="57.042999999999999"/>
    <n v="60.033000000000001"/>
    <n v="37.988997869999999"/>
    <n v="37.991996139999998"/>
    <n v="0.16503127200000001"/>
    <n v="81.878"/>
    <n v="66.521000000000001"/>
    <n v="1.653"/>
    <n v="0"/>
    <n v="193.86099999999999"/>
    <n v="1.1120000000000001"/>
    <s v=""/>
    <n v="-0.54099999999999993"/>
  </r>
  <r>
    <s v="Iran"/>
    <x v="5"/>
    <x v="5"/>
    <n v="254.7476853"/>
    <n v="2.517901223"/>
    <n v="0.42518799800000001"/>
    <n v="237.66588419999999"/>
    <n v="101.1746144"/>
    <n v="8.5760346429999998"/>
    <n v="7.4194007519999996"/>
    <n v="56.113999999999997"/>
    <n v="61.427999999999997"/>
    <n v="42.13499848"/>
    <n v="42.210006100000001"/>
    <n v="0.168866036"/>
    <n v="84.980999999999995"/>
    <n v="68.843000000000004"/>
    <n v="1.546"/>
    <n v="0"/>
    <n v="196.67400000000001"/>
    <n v="1.0840000000000001"/>
    <s v=""/>
    <n v="-0.46199999999999997"/>
  </r>
  <r>
    <s v="Iran"/>
    <x v="6"/>
    <x v="5"/>
    <n v="262.16418390000001"/>
    <n v="2.6862338120000002"/>
    <n v="0.41604343799999999"/>
    <n v="235.24359319999999"/>
    <n v="97.595444869999994"/>
    <n v="8.134966489"/>
    <n v="7.8456365850000003"/>
    <n v="59.216000000000001"/>
    <n v="64.759"/>
    <n v="41.965011689999997"/>
    <n v="41.932005289999999"/>
    <n v="0.154879831"/>
    <n v="90.867000000000004"/>
    <n v="75.081000000000003"/>
    <n v="1.6220000000000001"/>
    <n v="0"/>
    <n v="194.47"/>
    <n v="1.02"/>
    <s v=""/>
    <n v="-0.60200000000000009"/>
  </r>
  <r>
    <s v="Iran"/>
    <x v="7"/>
    <x v="5"/>
    <n v="276.55883849999998"/>
    <n v="2.531834967"/>
    <n v="0.43678165200000002"/>
    <n v="237.98029349999999"/>
    <n v="109.23256929999999"/>
    <n v="7.0874034669999997"/>
    <n v="7.8246885820000003"/>
    <n v="60.323"/>
    <n v="69.445999999999998"/>
    <n v="46.564996440000002"/>
    <n v="46.744003460000002"/>
    <n v="0.172515846"/>
    <n v="97.765000000000001"/>
    <n v="79.313999999999993"/>
    <n v="1.66"/>
    <n v="0"/>
    <n v="193.43100000000001"/>
    <n v="0.97599999999999998"/>
    <s v=""/>
    <n v="-0.68399999999999994"/>
  </r>
  <r>
    <s v="Iran"/>
    <x v="8"/>
    <x v="5"/>
    <n v="280.10392780000001"/>
    <n v="2.5179560269999999"/>
    <n v="0.43295164800000002"/>
    <n v="241.21241409999999"/>
    <n v="111.2425812"/>
    <n v="6.8042990799999998"/>
    <n v="8.0539589889999998"/>
    <n v="59.493000000000002"/>
    <n v="72.92"/>
    <n v="49.092997259999997"/>
    <n v="50.816012809999997"/>
    <n v="0.17194567499999999"/>
    <n v="103.464"/>
    <n v="83.838999999999999"/>
    <n v="1.9330000000000001"/>
    <n v="0"/>
    <n v="194.376"/>
    <n v="1.23"/>
    <s v=""/>
    <n v="-0.70300000000000007"/>
  </r>
  <r>
    <s v="Iran"/>
    <x v="9"/>
    <x v="5"/>
    <n v="305.92588799999999"/>
    <n v="2.4239940639999999"/>
    <n v="0.46885334499999998"/>
    <n v="244.34740099999999"/>
    <n v="126.20735860000001"/>
    <n v="4.4409135700000002"/>
    <n v="8.4615475819999997"/>
    <n v="62.936"/>
    <n v="79.765000000000001"/>
    <n v="56.921018799999999"/>
    <n v="59.067962199999997"/>
    <n v="0.19342182099999999"/>
    <n v="112.657"/>
    <n v="90.105000000000004"/>
    <n v="1.7934943649999999"/>
    <n v="3.1067754E-2"/>
    <n v="191.27699999999999"/>
    <n v="1.04"/>
    <s v=""/>
    <n v="-0.75349436499999989"/>
  </r>
  <r>
    <s v="Iran"/>
    <x v="10"/>
    <x v="5"/>
    <n v="320.06474209999999"/>
    <n v="2.602012293"/>
    <n v="0.46337720700000001"/>
    <n v="253.66737599999999"/>
    <n v="123.0066218"/>
    <n v="3.0490266350000002"/>
    <n v="8.5781945900000007"/>
    <n v="64.858999999999995"/>
    <n v="78.808000000000007"/>
    <n v="58.927053239999999"/>
    <n v="62.238955390000001"/>
    <n v="0.17808417300000001"/>
    <n v="121.383"/>
    <n v="96.042000000000002"/>
    <n v="1.912569336"/>
    <n v="3.0482028000000001E-2"/>
    <n v="198.822"/>
    <n v="1.1479999999999999"/>
    <s v=""/>
    <n v="-0.7645693360000001"/>
  </r>
  <r>
    <s v="Iran"/>
    <x v="11"/>
    <x v="5"/>
    <n v="335.43718940000002"/>
    <n v="2.5132072590000001"/>
    <n v="0.48188072399999998"/>
    <n v="248.37134180000001"/>
    <n v="133.4697678"/>
    <n v="3.9255293820000001"/>
    <n v="8.7631480390000007"/>
    <n v="68.16"/>
    <n v="79.626999999999995"/>
    <n v="61.777984439999997"/>
    <n v="66.13997286"/>
    <n v="0.191739349"/>
    <n v="130.19900000000001"/>
    <n v="102.914"/>
    <n v="1.8808000760000001"/>
    <n v="2.6113872E-2"/>
    <n v="191.173"/>
    <n v="1.1140000000000001"/>
    <s v=""/>
    <n v="-0.766800076"/>
  </r>
  <r>
    <s v="Iran"/>
    <x v="12"/>
    <x v="5"/>
    <n v="350.71575639999998"/>
    <n v="2.5403278380000001"/>
    <n v="0.469703021"/>
    <n v="253.9913506"/>
    <n v="138.05925010000001"/>
    <n v="5.7520148000000004"/>
    <n v="9.0707533750000007"/>
    <n v="66.921999999999997"/>
    <n v="79.225999999999999"/>
    <n v="70.289028360000003"/>
    <n v="74.485056839999999"/>
    <n v="0.184898584"/>
    <n v="141.08099999999999"/>
    <n v="110.833"/>
    <n v="1.792152687"/>
    <n v="2.1264379999999999E-2"/>
    <n v="189.458"/>
    <n v="1.032"/>
    <s v=""/>
    <n v="-0.76015268699999994"/>
  </r>
  <r>
    <s v="Iran"/>
    <x v="13"/>
    <x v="5"/>
    <n v="365.5547722"/>
    <n v="2.5622714169999998"/>
    <n v="0.45024908000000002"/>
    <n v="281.16711249999997"/>
    <n v="142.66824729999999"/>
    <n v="7.2297534409999997"/>
    <n v="9.4747673020000001"/>
    <n v="66.507000000000005"/>
    <n v="79.756"/>
    <n v="79.535063359999995"/>
    <n v="82.09693034"/>
    <n v="0.17572263299999999"/>
    <n v="153.87799999999999"/>
    <n v="121.645"/>
    <n v="1.9508688839999999"/>
    <n v="1.7546368E-2"/>
    <n v="208.14500000000001"/>
    <n v="1.143"/>
    <s v=""/>
    <n v="-0.8078688839999999"/>
  </r>
  <r>
    <s v="Iran"/>
    <x v="14"/>
    <x v="5"/>
    <n v="394.90440960000001"/>
    <n v="2.5381105960000001"/>
    <n v="0.46601287200000002"/>
    <n v="292.69261069999999"/>
    <n v="155.58991409999999"/>
    <n v="6.394756707"/>
    <n v="9.4408958359999993"/>
    <n v="70.052999999999997"/>
    <n v="81.326999999999998"/>
    <n v="90.059076279999999"/>
    <n v="92.591066170000005"/>
    <n v="0.18360621199999999"/>
    <n v="166.91800000000001"/>
    <n v="131.19"/>
    <n v="2.0371023680000002"/>
    <n v="2.8157537999999999E-2"/>
    <n v="210.72"/>
    <n v="1.224"/>
    <s v=""/>
    <n v="-0.81310236800000024"/>
  </r>
  <r>
    <s v="Iran"/>
    <x v="15"/>
    <x v="5"/>
    <n v="427.02379969999998"/>
    <n v="2.4729423599999998"/>
    <n v="0.48833879000000002"/>
    <n v="310.67494699999997"/>
    <n v="172.67842820000001"/>
    <n v="9.0803423030000001"/>
    <n v="9.1923152889999997"/>
    <n v="75.406000000000006"/>
    <n v="83.506"/>
    <n v="98.657053559999994"/>
    <n v="99.096914839999997"/>
    <n v="0.19747277499999999"/>
    <n v="178.08799999999999"/>
    <n v="137.25"/>
    <n v="2.3535142050000002"/>
    <n v="3.9867930000000003E-2"/>
    <n v="220.078"/>
    <n v="1.556"/>
    <s v=""/>
    <n v="-0.79751420500000014"/>
  </r>
  <r>
    <s v="Iran"/>
    <x v="16"/>
    <x v="5"/>
    <n v="460.32082109999999"/>
    <n v="2.5505818150000001"/>
    <n v="0.50135033399999995"/>
    <n v="322.7431876"/>
    <n v="180.47679099999999"/>
    <n v="9.5447421139999999"/>
    <n v="8.9951347669999997"/>
    <n v="83.882000000000005"/>
    <n v="86.68"/>
    <n v="108.5908665"/>
    <n v="109.149886"/>
    <n v="0.196563126"/>
    <n v="192.68199999999999"/>
    <n v="148.685"/>
    <n v="2.2783214570000001"/>
    <n v="6.4873730000000004E-2"/>
    <n v="223.43199999999999"/>
    <n v="1.651"/>
    <s v=""/>
    <n v="-0.62732145700000008"/>
  </r>
  <r>
    <s v="Iran"/>
    <x v="17"/>
    <x v="5"/>
    <n v="492.6318311"/>
    <n v="2.579571751"/>
    <n v="0.49608197999999998"/>
    <n v="337.39831529999998"/>
    <n v="190.97426960000001"/>
    <n v="8.887864853"/>
    <n v="8.7509699570000006"/>
    <n v="85.76"/>
    <n v="87.173000000000002"/>
    <n v="122.6319307"/>
    <n v="123.21596"/>
    <n v="0.192311759"/>
    <n v="203.98599999999999"/>
    <n v="156.524"/>
    <n v="2.3925210429999999"/>
    <n v="7.0102849999999994E-2"/>
    <n v="226.14"/>
    <n v="1.665"/>
    <s v=""/>
    <n v="-0.72752104299999987"/>
  </r>
  <r>
    <s v="Iran"/>
    <x v="18"/>
    <x v="5"/>
    <n v="501.95723349999997"/>
    <n v="2.4526837889999999"/>
    <n v="0.50420785499999998"/>
    <n v="337.77813739999999"/>
    <n v="204.656318"/>
    <n v="2.423437281"/>
    <n v="9.2442502690000001"/>
    <n v="85.543999999999997"/>
    <n v="87.628"/>
    <n v="127.68401849999999"/>
    <n v="130.18408880000001"/>
    <n v="0.20557393400000001"/>
    <n v="214.53"/>
    <n v="166.179"/>
    <n v="1.8002971409999999"/>
    <n v="9.1362513000000006E-2"/>
    <n v="223.43700000000001"/>
    <n v="1.59"/>
    <s v=""/>
    <n v="-0.21029714099999985"/>
  </r>
  <r>
    <s v="Iran"/>
    <x v="19"/>
    <x v="5"/>
    <n v="521.07366190000005"/>
    <n v="2.5509860729999998"/>
    <n v="0.51818982599999996"/>
    <n v="334.18985350000003"/>
    <n v="204.26362470000001"/>
    <n v="3.3699236570000002"/>
    <n v="9.2262887459999998"/>
    <n v="87.210999999999999"/>
    <n v="89.302999999999997"/>
    <n v="137.41386979999999"/>
    <n v="136.4910979"/>
    <n v="0.20313314599999999"/>
    <n v="221.37"/>
    <n v="174.054"/>
    <n v="2.022034235"/>
    <n v="0.10163978899999999"/>
    <n v="211.92699999999999"/>
    <n v="1.1519999999999999"/>
    <s v=""/>
    <n v="-0.8700342350000001"/>
  </r>
  <r>
    <s v="Iran"/>
    <x v="20"/>
    <x v="5"/>
    <n v="515.24730629999999"/>
    <n v="2.5217532880000002"/>
    <n v="0.484315408"/>
    <n v="342.27655010000001"/>
    <n v="204.32106060000001"/>
    <n v="4.1633935590000002"/>
    <n v="10.153136440000001"/>
    <n v="77.209999999999994"/>
    <n v="88.518000000000001"/>
    <n v="143.87708069999999"/>
    <n v="144.42012800000001"/>
    <n v="0.19205503199999999"/>
    <n v="232.959"/>
    <n v="187.93100000000001"/>
    <n v="1.9204580609999999"/>
    <n v="6.9969394000000004E-2"/>
    <n v="214.35499999999999"/>
    <n v="1.089"/>
    <s v=""/>
    <n v="-0.83145806099999997"/>
  </r>
  <r>
    <s v="Iran"/>
    <x v="21"/>
    <x v="5"/>
    <n v="531.29665469999998"/>
    <n v="2.5499616129999998"/>
    <n v="0.48652907699999998"/>
    <n v="345.68895120000002"/>
    <n v="208.3547658"/>
    <n v="5.1226400950000004"/>
    <n v="10.022665910000001"/>
    <n v="76.218000000000004"/>
    <n v="90.754000000000005"/>
    <n v="150.38591220000001"/>
    <n v="152.7810824"/>
    <n v="0.19079858899999999"/>
    <n v="240.05199999999999"/>
    <n v="191.45500000000001"/>
    <n v="2.1247257799999999"/>
    <n v="9.0397081000000004E-2"/>
    <n v="212.059"/>
    <n v="1.1639999999999999"/>
    <s v=""/>
    <n v="-0.96072577999999997"/>
  </r>
  <r>
    <s v="Iran"/>
    <x v="22"/>
    <x v="5"/>
    <n v="538.06967099999997"/>
    <n v="2.473882648"/>
    <n v="0.53236349599999999"/>
    <n v="297.42801580000003"/>
    <n v="217.50007880000001"/>
    <n v="4.9855275370000003"/>
    <n v="10.454662799999999"/>
    <n v="80.888000000000005"/>
    <n v="93.284999999999997"/>
    <n v="156.36492530000001"/>
    <n v="151.7829855"/>
    <n v="0.215193512"/>
    <n v="254.27600000000001"/>
    <n v="201.55799999999999"/>
    <n v="1.6806357380000001"/>
    <n v="8.1407603999999995E-2"/>
    <n v="159.393"/>
    <n v="1.0409999999999999"/>
    <s v=""/>
    <n v="-0.63963573800000018"/>
  </r>
  <r>
    <s v="Iran"/>
    <x v="23"/>
    <x v="5"/>
    <n v="561.41101149999997"/>
    <n v="2.5312099240000001"/>
    <n v="0.55653739599999996"/>
    <n v="297.9717043"/>
    <n v="221.79551609999999"/>
    <n v="5.7077207980000004"/>
    <n v="10.332867909999999"/>
    <n v="87.144999999999996"/>
    <n v="94.62"/>
    <n v="156.74601899999999"/>
    <n v="152.8920622"/>
    <n v="0.21987010700000001"/>
    <n v="262.43400000000003"/>
    <n v="207.21600000000001"/>
    <n v="2.0955559969999999"/>
    <n v="0.14327411800000001"/>
    <n v="158.69"/>
    <n v="1.105"/>
    <s v="Above Average"/>
    <n v="-0.99055599699999997"/>
  </r>
  <r>
    <s v="Iran"/>
    <x v="24"/>
    <x v="5"/>
    <n v="587.22184709999999"/>
    <n v="2.466984455"/>
    <n v="0.55650587100000004"/>
    <n v="316.37095950000003"/>
    <n v="238.03224449999999"/>
    <n v="5.1953868959999996"/>
    <n v="10.48787888"/>
    <n v="84.343000000000004"/>
    <n v="92.991"/>
    <n v="174.63108550000001"/>
    <n v="172.49703349999999"/>
    <n v="0.225581426"/>
    <n v="274.60899999999998"/>
    <n v="223.95699999999999"/>
    <n v="2.3934532910000001"/>
    <n v="0.130367177"/>
    <n v="162.00399999999999"/>
    <n v="1.075"/>
    <s v="Above Average"/>
    <n v="-1.3184532910000002"/>
  </r>
  <r>
    <s v="Iran"/>
    <x v="25"/>
    <x v="5"/>
    <n v="581.62459660000002"/>
    <n v="2.4426400140000002"/>
    <n v="0.55857823299999998"/>
    <n v="322.70531119999998"/>
    <n v="238.1131044"/>
    <n v="5.1048878780000004"/>
    <n v="9.997589112"/>
    <n v="77.646000000000001"/>
    <n v="88.251000000000005"/>
    <n v="184.0799624"/>
    <n v="184.0930481"/>
    <n v="0.228678082"/>
    <n v="280.63299999999998"/>
    <n v="213.654"/>
    <n v="2.3322396470000002"/>
    <n v="7.9106876000000007E-2"/>
    <n v="160.68199999999999"/>
    <n v="1.206"/>
    <s v="Above Average"/>
    <n v="-1.1262396470000002"/>
  </r>
  <r>
    <s v="Iran"/>
    <x v="26"/>
    <x v="5"/>
    <n v="584.97177350000004"/>
    <n v="2.3809656910000001"/>
    <n v="0.49542450399999999"/>
    <n v="391.2441346"/>
    <n v="245.6867714"/>
    <n v="5.776321888"/>
    <n v="10.98400447"/>
    <n v="72.930000000000007"/>
    <n v="86.409000000000006"/>
    <n v="199.8408379"/>
    <n v="196.74578210000001"/>
    <n v="0.208077128"/>
    <n v="289.09399999999999"/>
    <n v="243.73"/>
    <n v="2.2890160829999999"/>
    <n v="8.7860696000000002E-2"/>
    <n v="213.63800000000001"/>
    <n v="1.335"/>
    <s v="Above Average"/>
    <n v="-0.95401608299999996"/>
  </r>
  <r>
    <s v="Iran"/>
    <x v="27"/>
    <x v="5"/>
    <n v="604.68529890000002"/>
    <n v="2.3092526960000002"/>
    <n v="0.49358523900000001"/>
    <n v="411.60665920000002"/>
    <n v="261.85323940000001"/>
    <n v="5.0222274340000004"/>
    <n v="11.13164239"/>
    <n v="74.456698000000003"/>
    <n v="89.481627000000003"/>
    <n v="215.7180151"/>
    <n v="206.54846509999999"/>
    <n v="0.21374241099999999"/>
    <n v="307.96829100000002"/>
    <n v="255.02629899999999"/>
    <n v="2.5029935160000001"/>
    <n v="0.12710009799999999"/>
    <n v="220.19365999999999"/>
    <n v="1.5212669999999999"/>
    <s v="Above Average"/>
    <n v="-0.98172651600000016"/>
  </r>
  <r>
    <s v="Iran"/>
    <x v="28"/>
    <x v="5"/>
    <n v="615.06637720000003"/>
    <n v="2.3147478459999999"/>
    <n v="0.53082435299999997"/>
    <n v="406.25419979999998"/>
    <n v="265.71636230000001"/>
    <n v="5.2716451370000001"/>
    <n v="11.14367453"/>
    <n v="77.452473999999995"/>
    <n v="89.991202999999999"/>
    <n v="225.25416340000001"/>
    <n v="208.12823929999999"/>
    <n v="0.22932275499999999"/>
    <n v="309.84276399999999"/>
    <n v="262.66016999999999"/>
    <n v="2.6146484120000002"/>
    <n v="0.175692662"/>
    <n v="206.86035699999999"/>
    <n v="1.6460090000000001"/>
    <s v="Above Average"/>
    <n v="-0.96863941200000014"/>
  </r>
  <r>
    <s v="Iran"/>
    <x v="29"/>
    <x v="5"/>
    <n v="619.99441030000003"/>
    <n v="2.3043230280000002"/>
    <n v="0.57233652999999995"/>
    <n v="351.35655580000002"/>
    <n v="269.0570735"/>
    <n v="9.8771044200000002"/>
    <n v="11.126027499999999"/>
    <n v="76.761288109999995"/>
    <n v="90.780915239999999"/>
    <n v="231.68600000000001"/>
    <n v="211.708339"/>
    <n v="0.248375129"/>
    <n v="314.06269759999998"/>
    <n v="262.99507240000003"/>
    <n v="2.7144238920000001"/>
    <n v="0.19753431199999999"/>
    <n v="146.47561300000001"/>
    <n v="1.7107410000000001"/>
    <s v="Above Average"/>
    <n v="-1.003682892"/>
  </r>
  <r>
    <s v="Iran"/>
    <x v="30"/>
    <x v="5"/>
    <n v="619.06287239999995"/>
    <n v="2.3138641579999999"/>
    <n v="0.58017928699999999"/>
    <n v="338.92562670000001"/>
    <n v="267.54503729999999"/>
    <n v="6.9366735999999998"/>
    <n v="11.559238329999999"/>
    <n v="69.913748909999995"/>
    <n v="77.952189189999999"/>
    <n v="234.26093420000001"/>
    <n v="220.5305851"/>
    <n v="0.25074042699999999"/>
    <n v="322.07989520000001"/>
    <n v="269.0834673"/>
    <n v="2.8061186990000002"/>
    <n v="0.233048068"/>
    <n v="132.824881"/>
    <n v="1.7780186920000001"/>
    <s v="Above Average"/>
    <n v="-1.0281000070000001"/>
  </r>
  <r>
    <s v="Italy"/>
    <x v="0"/>
    <x v="3"/>
    <n v="397.81691289999998"/>
    <n v="2.7105326970000001"/>
    <n v="0.209048967"/>
    <n v="25.517565130000001"/>
    <n v="146.76705920000001"/>
    <n v="17.70914127"/>
    <n v="15.78584678"/>
    <n v="88.028000000000006"/>
    <n v="90.563999999999993"/>
    <n v="17.295985160000001"/>
    <n v="47.404944399999998"/>
    <n v="7.7124680000000001E-2"/>
    <n v="216.6"/>
    <n v="218.77799999999999"/>
    <n v="22.485274100000002"/>
    <n v="1.4903047089999999"/>
    <n v="4.7229999999999999"/>
    <n v="0"/>
    <s v=""/>
    <n v="-22.485274100000002"/>
  </r>
  <r>
    <s v="Italy"/>
    <x v="1"/>
    <x v="3"/>
    <n v="398.54288680000002"/>
    <n v="2.6503059859999998"/>
    <n v="0.20625729900000001"/>
    <n v="26.282151410000001"/>
    <n v="150.37617879999999"/>
    <n v="22.048003749999999"/>
    <n v="15.77658433"/>
    <n v="86.938999999999993"/>
    <n v="90.906000000000006"/>
    <n v="17.400004240000001"/>
    <n v="50.25600171"/>
    <n v="7.7823956999999999E-2"/>
    <n v="221.816"/>
    <n v="223.68700000000001"/>
    <n v="21.174694389999999"/>
    <n v="1.4381288999999999"/>
    <n v="4.4889999999999999"/>
    <n v="0"/>
    <s v=""/>
    <n v="-21.174694389999999"/>
  </r>
  <r>
    <s v="Italy"/>
    <x v="2"/>
    <x v="3"/>
    <n v="397.9498509"/>
    <n v="2.662299768"/>
    <n v="0.20424640899999999"/>
    <n v="27.50192895"/>
    <n v="149.47597400000001"/>
    <n v="21.813095019999999"/>
    <n v="16.06548269"/>
    <n v="89.259"/>
    <n v="91.367999999999995"/>
    <n v="18.149976299999999"/>
    <n v="49.84604719"/>
    <n v="7.6718036000000003E-2"/>
    <n v="226.25399999999999"/>
    <n v="228.06899999999999"/>
    <n v="18.479218530000001"/>
    <n v="1.6720146380000001"/>
    <n v="4.7050000000000001"/>
    <n v="0"/>
    <s v=""/>
    <n v="-18.479218530000001"/>
  </r>
  <r>
    <s v="Italy"/>
    <x v="3"/>
    <x v="3"/>
    <n v="392.47749440000001"/>
    <n v="2.6394153349999998"/>
    <n v="0.20317038900000001"/>
    <n v="28.54289897"/>
    <n v="148.69864899999999"/>
    <n v="21.66946437"/>
    <n v="16.187250349999999"/>
    <n v="88.382999999999996"/>
    <n v="92.286000000000001"/>
    <n v="19.559010019999999"/>
    <n v="50.998034820000001"/>
    <n v="7.6975528000000001E-2"/>
    <n v="222.80199999999999"/>
    <n v="228.964"/>
    <n v="16.09860961"/>
    <n v="1.811025036"/>
    <n v="4.819"/>
    <n v="0"/>
    <s v=""/>
    <n v="-16.09860961"/>
  </r>
  <r>
    <s v="Italy"/>
    <x v="4"/>
    <x v="3"/>
    <n v="387.91591490000002"/>
    <n v="2.6421578769999998"/>
    <n v="0.196580542"/>
    <n v="29.747130989999999"/>
    <n v="146.81784099999999"/>
    <n v="22.135514400000002"/>
    <n v="16.909977489999999"/>
    <n v="87.334999999999994"/>
    <n v="92.460999999999999"/>
    <n v="20.637016620000001"/>
    <n v="49.500941050000002"/>
    <n v="7.4401512000000003E-2"/>
    <n v="231.81299999999999"/>
    <n v="236.55500000000001"/>
    <n v="16.804002740000001"/>
    <n v="1.6129380149999999"/>
    <n v="5.0330000000000004"/>
    <n v="0"/>
    <s v=""/>
    <n v="-16.804002740000001"/>
  </r>
  <r>
    <s v="Italy"/>
    <x v="5"/>
    <x v="3"/>
    <n v="410.55909359999998"/>
    <n v="2.575866247"/>
    <n v="0.20221752600000001"/>
    <n v="29.6699357"/>
    <n v="159.38680590000001"/>
    <n v="18.87580801"/>
    <n v="16.693834330000001"/>
    <n v="90.616"/>
    <n v="90.472999999999999"/>
    <n v="20.384012269999999"/>
    <n v="54.384968630000003"/>
    <n v="7.8504668E-2"/>
    <n v="241.489"/>
    <n v="243.465"/>
    <n v="17.95009529"/>
    <n v="1.5847512720000001"/>
    <n v="5.4539999999999997"/>
    <n v="1.014"/>
    <s v=""/>
    <n v="-16.936095290000001"/>
  </r>
  <r>
    <s v="Italy"/>
    <x v="6"/>
    <x v="3"/>
    <n v="408.24452280000003"/>
    <n v="2.5636040310000001"/>
    <n v="0.19856214799999999"/>
    <n v="30.518275209999999"/>
    <n v="159.24632579999999"/>
    <n v="20.970163599999999"/>
    <n v="16.7230466"/>
    <n v="89.915999999999997"/>
    <n v="89.385000000000005"/>
    <n v="20.033976190000001"/>
    <n v="56.184018039999998"/>
    <n v="7.7454297000000005E-2"/>
    <n v="244.43299999999999"/>
    <n v="245.95400000000001"/>
    <n v="16.545987"/>
    <n v="1.699443201"/>
    <n v="5.6550000000000002"/>
    <n v="0.96099999999999997"/>
    <s v=""/>
    <n v="-15.584987"/>
  </r>
  <r>
    <s v="Italy"/>
    <x v="7"/>
    <x v="3"/>
    <n v="412.0752852"/>
    <n v="2.5509784760000001"/>
    <n v="0.19682307499999999"/>
    <n v="30.679589629999999"/>
    <n v="161.53616700000001"/>
    <n v="20.342144090000001"/>
    <n v="17.05080113"/>
    <n v="90.212000000000003"/>
    <n v="96.152000000000001"/>
    <n v="19.266983549999999"/>
    <n v="57.979926560000003"/>
    <n v="7.7155914000000006E-2"/>
    <n v="251.47300000000001"/>
    <n v="253.67400000000001"/>
    <n v="16.741258599999998"/>
    <n v="1.878929348"/>
    <n v="6.0940000000000003"/>
    <n v="0.82499999999999996"/>
    <s v=""/>
    <n v="-15.916258599999999"/>
  </r>
  <r>
    <s v="Italy"/>
    <x v="8"/>
    <x v="3"/>
    <n v="422.44283539999998"/>
    <n v="2.5439577760000001"/>
    <n v="0.19818662100000001"/>
    <n v="30.56918005"/>
    <n v="166.05732979999999"/>
    <n v="20.254426479999999"/>
    <n v="17.121485109999998"/>
    <n v="90.063000000000002"/>
    <n v="99.694000000000003"/>
    <n v="19.00900262"/>
    <n v="62.424954270000001"/>
    <n v="7.7904839000000004E-2"/>
    <n v="259.8"/>
    <n v="260.80900000000003"/>
    <n v="17.462186920000001"/>
    <n v="1.996920708"/>
    <n v="5.819"/>
    <n v="0.63"/>
    <s v=""/>
    <n v="-16.832186920000002"/>
  </r>
  <r>
    <s v="Italy"/>
    <x v="9"/>
    <x v="3"/>
    <n v="427.49616759999998"/>
    <n v="2.5354989749999999"/>
    <n v="0.19734900499999999"/>
    <n v="29.495667300000001"/>
    <n v="168.60435430000001"/>
    <n v="21.729081900000001"/>
    <n v="17.147060320000001"/>
    <n v="87.826999999999998"/>
    <n v="94.073999999999998"/>
    <n v="17.476010500000001"/>
    <n v="67.849002619999993"/>
    <n v="7.7834386000000005E-2"/>
    <n v="265.66699999999997"/>
    <n v="267.28399999999999"/>
    <n v="17.44403161"/>
    <n v="2.0627326689999999"/>
    <n v="5.2160000000000002"/>
    <n v="0.26700000000000002"/>
    <s v=""/>
    <n v="-17.17703161"/>
  </r>
  <r>
    <s v="Italy"/>
    <x v="10"/>
    <x v="3"/>
    <n v="430.66509300000001"/>
    <n v="2.5065190959999999"/>
    <n v="0.191557701"/>
    <n v="28.453927329999999"/>
    <n v="171.81799799999999"/>
    <n v="20.813903889999999"/>
    <n v="17.97534022"/>
    <n v="85.933000000000007"/>
    <n v="94.771000000000001"/>
    <n v="16.63300954"/>
    <n v="70.744960629999994"/>
    <n v="7.6423795000000003E-2"/>
    <n v="276.642"/>
    <n v="279.31900000000002"/>
    <n v="18.581099999999999"/>
    <n v="2.1948944849999998"/>
    <n v="4.7640000000000002"/>
    <n v="0.17199999999999999"/>
    <s v=""/>
    <n v="-18.409099999999999"/>
  </r>
  <r>
    <s v="Italy"/>
    <x v="11"/>
    <x v="3"/>
    <n v="429.25716449999999"/>
    <n v="2.489866616"/>
    <n v="0.187276992"/>
    <n v="27.09943805"/>
    <n v="172.40167070000001"/>
    <n v="22.029038490000001"/>
    <n v="17.92340123"/>
    <n v="84.756"/>
    <n v="96.081999999999994"/>
    <n v="15.24199348"/>
    <n v="70.939028870000001"/>
    <n v="7.5215671999999997E-2"/>
    <n v="279.00900000000001"/>
    <n v="285.49099999999999"/>
    <n v="19.855218990000001"/>
    <n v="2.3389926490000001"/>
    <n v="4.2229999999999999"/>
    <n v="0.13700000000000001"/>
    <s v=""/>
    <n v="-19.71821899"/>
  </r>
  <r>
    <s v="Italy"/>
    <x v="12"/>
    <x v="3"/>
    <n v="437.8277516"/>
    <n v="2.5219845599999999"/>
    <n v="0.190532338"/>
    <n v="28.535335809999999"/>
    <n v="173.6044536"/>
    <n v="19.650794319999999"/>
    <n v="18.20672356"/>
    <n v="86.748000000000005"/>
    <n v="96.233000000000004"/>
    <n v="14.62301837"/>
    <n v="70.458057740000001"/>
    <n v="7.5548573999999993E-2"/>
    <n v="285.27600000000001"/>
    <n v="290.95999999999998"/>
    <n v="20.635812619999999"/>
    <n v="2.4032866419999999"/>
    <n v="5.8049999999999997"/>
    <n v="0.216"/>
    <s v=""/>
    <n v="-20.419812619999998"/>
  </r>
  <r>
    <s v="Italy"/>
    <x v="13"/>
    <x v="3"/>
    <n v="453.00210700000002"/>
    <n v="2.4902245220000001"/>
    <n v="0.19686295500000001"/>
    <n v="30.19238022"/>
    <n v="181.91215410000001"/>
    <n v="18.535481570000002"/>
    <n v="17.94133454"/>
    <n v="85.83"/>
    <n v="97.84"/>
    <n v="13.884997070000001"/>
    <n v="77.681049869999995"/>
    <n v="7.9054298999999995E-2"/>
    <n v="293.88499999999999"/>
    <n v="299.78800000000001"/>
    <n v="22.36903161"/>
    <n v="2.6238154379999998"/>
    <n v="5.8879999999999999"/>
    <n v="0.189"/>
    <s v=""/>
    <n v="-22.18003161"/>
  </r>
  <r>
    <s v="Italy"/>
    <x v="14"/>
    <x v="3"/>
    <n v="460.04448839999998"/>
    <n v="2.5113133009999999"/>
    <n v="0.197117242"/>
    <n v="29.44504371"/>
    <n v="183.18880730000001"/>
    <n v="20.25436217"/>
    <n v="18.211657840000001"/>
    <n v="83.653999999999996"/>
    <n v="98.14"/>
    <n v="12.96100515"/>
    <n v="80.608923880000006"/>
    <n v="7.8491696999999999E-2"/>
    <n v="303.34699999999998"/>
    <n v="304.49"/>
    <n v="25.215529610000001"/>
    <n v="2.723943207"/>
    <n v="5.7290000000000001"/>
    <n v="0.115"/>
    <s v=""/>
    <n v="-25.100529610000002"/>
  </r>
  <r>
    <s v="Italy"/>
    <x v="15"/>
    <x v="3"/>
    <n v="462.26069510000002"/>
    <n v="2.4760624280000001"/>
    <n v="0.19646008200000001"/>
    <n v="30.526672609999999"/>
    <n v="186.691858"/>
    <n v="18.208429370000001"/>
    <n v="18.067978969999999"/>
    <n v="81.138000000000005"/>
    <n v="100.598"/>
    <n v="12.07099738"/>
    <n v="86.264986879999995"/>
    <n v="7.9343752000000003E-2"/>
    <n v="303.7"/>
    <n v="309.84500000000003"/>
    <n v="24.945"/>
    <n v="2.9025353969999999"/>
    <n v="6.3620000000000001"/>
    <n v="1.4E-2"/>
    <s v=""/>
    <n v="-24.931000000000001"/>
  </r>
  <r>
    <s v="Italy"/>
    <x v="16"/>
    <x v="3"/>
    <n v="459.0674042"/>
    <n v="2.4815898079999998"/>
    <n v="0.191670805"/>
    <n v="30.390194730000001"/>
    <n v="184.9892366"/>
    <n v="18.1668269"/>
    <n v="18.724153619999999"/>
    <n v="80.781000000000006"/>
    <n v="99.198999999999998"/>
    <n v="10.979000060000001"/>
    <n v="84.483018369999996"/>
    <n v="7.7237102000000002E-2"/>
    <n v="314.12200000000001"/>
    <n v="317.56599999999997"/>
    <n v="25.216999999999999"/>
    <n v="3.0434035179999999"/>
    <n v="6.327"/>
    <n v="0.13900000000000001"/>
    <s v=""/>
    <n v="-25.077999999999999"/>
  </r>
  <r>
    <s v="Italy"/>
    <x v="17"/>
    <x v="3"/>
    <n v="451.03010569999998"/>
    <n v="2.4460129359999998"/>
    <n v="0.18555570599999999"/>
    <n v="31.454492089999999"/>
    <n v="184.39399850000001"/>
    <n v="17.006120039999999"/>
    <n v="18.93994897"/>
    <n v="77.930000000000007"/>
    <n v="100.714"/>
    <n v="9.7060104999999997"/>
    <n v="84.897007869999996"/>
    <n v="7.5860475999999996E-2"/>
    <n v="313.887"/>
    <n v="318.95400000000001"/>
    <n v="25.378"/>
    <n v="3.3967638039999999"/>
    <n v="6.609"/>
    <n v="0.16300000000000001"/>
    <s v=""/>
    <n v="-25.215"/>
  </r>
  <r>
    <s v="Italy"/>
    <x v="18"/>
    <x v="3"/>
    <n v="440.01980689999999"/>
    <n v="2.4181493189999999"/>
    <n v="0.182784432"/>
    <n v="33.223772889999999"/>
    <n v="181.96552360000001"/>
    <n v="19.981449619999999"/>
    <n v="18.974877530000001"/>
    <n v="74.451999999999998"/>
    <n v="94.72"/>
    <n v="9.2549907870000006"/>
    <n v="84.883044620000007"/>
    <n v="7.5588562999999998E-2"/>
    <n v="319.13099999999997"/>
    <n v="319.036"/>
    <n v="24.678999999999998"/>
    <n v="3.6004023429999998"/>
    <n v="6.0529999999999999"/>
    <n v="0.25"/>
    <s v=""/>
    <n v="-24.428999999999998"/>
  </r>
  <r>
    <s v="Italy"/>
    <x v="19"/>
    <x v="3"/>
    <n v="393.41233890000001"/>
    <n v="2.3155013649999998"/>
    <n v="0.172535141"/>
    <n v="31.951492760000001"/>
    <n v="169.90373869999999"/>
    <n v="25.136686709999999"/>
    <n v="18.904688499999999"/>
    <n v="67.739000000000004"/>
    <n v="86.477999999999994"/>
    <n v="8.0130027269999999"/>
    <n v="78.024068240000005"/>
    <n v="7.4513080999999995E-2"/>
    <n v="292.64"/>
    <n v="299.91500000000002"/>
    <n v="19.681000000000001"/>
    <n v="4.4983597590000004"/>
    <n v="5.2370000000000001"/>
    <n v="9.8000000000000004E-2"/>
    <s v=""/>
    <n v="-19.583000000000002"/>
  </r>
  <r>
    <s v="Italy"/>
    <x v="20"/>
    <x v="3"/>
    <n v="402.00855630000001"/>
    <n v="2.310958147"/>
    <n v="0.173335355"/>
    <n v="33.224014369999999"/>
    <n v="173.95752350000001"/>
    <n v="26.56920388"/>
    <n v="19.039228340000001"/>
    <n v="66.546999999999997"/>
    <n v="90.131"/>
    <n v="8.4060063150000008"/>
    <n v="83.096981630000002"/>
    <n v="7.5005839000000005E-2"/>
    <n v="302.06400000000002"/>
    <n v="309.88299999999998"/>
    <n v="21.6"/>
    <n v="5.6891916939999998"/>
    <n v="5.9820000000000002"/>
    <n v="9.5000000000000001E-2"/>
    <s v=""/>
    <n v="-21.505000000000003"/>
  </r>
  <r>
    <s v="Italy"/>
    <x v="21"/>
    <x v="3"/>
    <n v="393.49144760000001"/>
    <n v="2.3396849799999999"/>
    <n v="0.16847135199999999"/>
    <n v="32.156565829999998"/>
    <n v="168.18137960000001"/>
    <n v="28.057518290000001"/>
    <n v="20.08227492"/>
    <n v="64.296999999999997"/>
    <n v="85.641999999999996"/>
    <n v="8.4489944829999999"/>
    <n v="77.916902890000003"/>
    <n v="7.2005998000000002E-2"/>
    <n v="302.58199999999999"/>
    <n v="313.791"/>
    <n v="24.172000000000001"/>
    <n v="8.960876721"/>
    <n v="5.8250000000000002"/>
    <n v="2.1000000000000001E-2"/>
    <s v=""/>
    <n v="-24.151"/>
  </r>
  <r>
    <s v="Italy"/>
    <x v="22"/>
    <x v="3"/>
    <n v="374.88421599999998"/>
    <n v="2.3206141320000002"/>
    <n v="0.165436259"/>
    <n v="35.170393660000002"/>
    <n v="161.5452612"/>
    <n v="31.476525089999999"/>
    <n v="20.140938810000002"/>
    <n v="58.63"/>
    <n v="81.597999999999999"/>
    <n v="8.6049905379999991"/>
    <n v="74.915039370000002"/>
    <n v="7.1289860999999996E-2"/>
    <n v="299.27699999999999"/>
    <n v="307.22199999999998"/>
    <n v="24.95"/>
    <n v="12.901759910000001"/>
    <n v="5.7859999999999996"/>
    <n v="0.158"/>
    <s v=""/>
    <n v="-24.791999999999998"/>
  </r>
  <r>
    <s v="Italy"/>
    <x v="23"/>
    <x v="3"/>
    <n v="343.70294250000001"/>
    <n v="2.2089346779999999"/>
    <n v="0.15452080500000001"/>
    <n v="36.97419842"/>
    <n v="155.59669819999999"/>
    <n v="39.305468810000001"/>
    <n v="20.278147100000002"/>
    <n v="53.277000000000001"/>
    <n v="69.628"/>
    <n v="7.7349928219999997"/>
    <n v="70.069028869999997"/>
    <n v="6.9952636999999998E-2"/>
    <n v="289.80700000000002"/>
    <n v="297.28899999999999"/>
    <n v="21.632000000000001"/>
    <n v="14.80226496"/>
    <n v="5.9130000000000003"/>
    <n v="0.11700000000000001"/>
    <s v=""/>
    <n v="-21.515000000000001"/>
  </r>
  <r>
    <s v="Italy"/>
    <x v="24"/>
    <x v="3"/>
    <n v="328.13164460000002"/>
    <n v="2.2327285240000001"/>
    <n v="0.14752702200000001"/>
    <n v="36.890054280000001"/>
    <n v="146.9644164"/>
    <n v="43.737737959999997"/>
    <n v="20.596082630000002"/>
    <n v="53.646000000000001"/>
    <n v="66.337000000000003"/>
    <n v="7.1490026249999996"/>
    <n v="61.911994749999998"/>
    <n v="6.6074769000000005E-2"/>
    <n v="279.827"/>
    <n v="291.08499999999998"/>
    <n v="21.292000000000002"/>
    <n v="15.74580008"/>
    <n v="6.13"/>
    <n v="7.1999999999999995E-2"/>
    <s v=""/>
    <n v="-21.220000000000002"/>
  </r>
  <r>
    <s v="Italy"/>
    <x v="25"/>
    <x v="3"/>
    <n v="335.96384440000003"/>
    <n v="2.1993703789999999"/>
    <n v="0.149881819"/>
    <n v="36.289559339999997"/>
    <n v="152.75455539999999"/>
    <n v="38.989303620000001"/>
    <n v="20.635577510000001"/>
    <n v="54.152999999999999"/>
    <n v="73.935000000000002"/>
    <n v="6.7709973750000003"/>
    <n v="67.523018370000003"/>
    <n v="6.8147603000000001E-2"/>
    <n v="282.99299999999999"/>
    <n v="297.18"/>
    <n v="19.974"/>
    <n v="15.74809271"/>
    <n v="5.83"/>
    <n v="0.10100000000000001"/>
    <s v=""/>
    <n v="-19.873000000000001"/>
  </r>
  <r>
    <s v="Italy"/>
    <x v="26"/>
    <x v="3"/>
    <n v="333.0611768"/>
    <n v="2.203043455"/>
    <n v="0.14670946900000001"/>
    <n v="33.721656600000003"/>
    <n v="151.18230009999999"/>
    <n v="37.908947849999997"/>
    <n v="20.666080350000001"/>
    <n v="52.076000000000001"/>
    <n v="71.361000000000004"/>
    <n v="5.7849979400000002"/>
    <n v="70.915013119999998"/>
    <n v="6.6593997000000002E-2"/>
    <n v="289.76799999999997"/>
    <n v="295.50900000000001"/>
    <n v="17.754999999999999"/>
    <n v="16.157063579999999"/>
    <n v="4.0659999999999998"/>
    <n v="9.1999999999999998E-2"/>
    <s v=""/>
    <n v="-17.663"/>
  </r>
  <r>
    <s v="Italy"/>
    <x v="27"/>
    <x v="3"/>
    <n v="329.23203849999999"/>
    <n v="2.1429128070000001"/>
    <n v="0.14257593700000001"/>
    <n v="34.20789216"/>
    <n v="153.63762700000001"/>
    <n v="35.737962369999998"/>
    <n v="20.972963889999999"/>
    <n v="51.567726"/>
    <n v="74.946192999999994"/>
    <n v="5.5383529920000001"/>
    <n v="75.160187480000005"/>
    <n v="6.6533708999999996E-2"/>
    <n v="295.83001100000001"/>
    <n v="301.880515"/>
    <n v="15.53661462"/>
    <n v="16.557404649999999"/>
    <n v="4.4980000000000002"/>
    <n v="0.08"/>
    <s v=""/>
    <n v="-15.45661462"/>
  </r>
  <r>
    <s v="Italy"/>
    <x v="28"/>
    <x v="3"/>
    <n v="323.95533499999999"/>
    <n v="2.146174223"/>
    <n v="0.139212848"/>
    <n v="35.026431969999997"/>
    <n v="150.94549710000001"/>
    <n v="40.085474830000003"/>
    <n v="21.050621360000001"/>
    <n v="51.813485"/>
    <n v="71.741136999999995"/>
    <n v="5.4479750129999998"/>
    <n v="72.69490639"/>
    <n v="6.4865586000000003E-2"/>
    <n v="289.70843300000001"/>
    <n v="303.44297"/>
    <n v="14.283772000000001"/>
    <n v="16.249736850000001"/>
    <n v="5.2427599999999996"/>
    <n v="7.2999999999999995E-2"/>
    <s v=""/>
    <n v="-14.210772"/>
  </r>
  <r>
    <s v="Italy"/>
    <x v="29"/>
    <x v="3"/>
    <n v="317.3631967"/>
    <n v="2.1260336080000002"/>
    <n v="0.135970746"/>
    <n v="34.3520842"/>
    <n v="149.2747789"/>
    <n v="39.931160460000001"/>
    <n v="21.148490809999998"/>
    <n v="51.553709320000003"/>
    <n v="70.541186850000003"/>
    <n v="4.8564348270000002"/>
    <n v="74.352466449999994"/>
    <n v="6.3955125000000002E-2"/>
    <n v="291.61970389999999"/>
    <n v="301.66544349999998"/>
    <n v="10.022901579999999"/>
    <n v="17.297853709999998"/>
    <n v="4.7259256000000001"/>
    <n v="8.5999999999999993E-2"/>
    <s v=""/>
    <n v="-9.9369015799999989"/>
  </r>
  <r>
    <s v="Italy"/>
    <x v="30"/>
    <x v="3"/>
    <n v="275.7545824"/>
    <n v="2.0107812030000001"/>
    <n v="0.12968605499999999"/>
    <n v="35.408706530000003"/>
    <n v="137.13803469999999"/>
    <n v="42.014583739999999"/>
    <n v="21.988464910000001"/>
    <n v="41.700748070000003"/>
    <n v="59.190657459999997"/>
    <n v="4.0726884109999997"/>
    <n v="71.066080369999995"/>
    <n v="6.4495359000000002E-2"/>
    <n v="280.4848533"/>
    <n v="285.71190890000003"/>
    <n v="7.4225218079999999"/>
    <n v="18.277056850000001"/>
    <n v="6.0666439839999997"/>
    <n v="8.1000000000000003E-2"/>
    <s v=""/>
    <n v="-7.3415218079999995"/>
  </r>
  <r>
    <s v="Japan"/>
    <x v="0"/>
    <x v="2"/>
    <n v="1055.1401820000001"/>
    <n v="2.3961507389999999"/>
    <n v="0.26156705600000002"/>
    <n v="76.186191410000006"/>
    <n v="440.34799850000002"/>
    <n v="12.35389176"/>
    <n v="21.075591320000001"/>
    <n v="221.49700000000001"/>
    <n v="177.834"/>
    <n v="2.2449986279999998"/>
    <n v="60.180053149999999"/>
    <n v="0.109161353"/>
    <n v="870.673"/>
    <n v="774.85799999999995"/>
    <n v="121.7550219"/>
    <n v="2.450058748"/>
    <n v="0.52600000000000002"/>
    <n v="7.9850000000000003"/>
    <s v="Above Average"/>
    <n v="-113.7700219"/>
  </r>
  <r>
    <s v="Japan"/>
    <x v="1"/>
    <x v="2"/>
    <n v="1061.9454029999999"/>
    <n v="2.3867297409999999"/>
    <n v="0.25455465900000002"/>
    <n v="80.133680400000003"/>
    <n v="444.93743269999999"/>
    <n v="13.109925779999999"/>
    <n v="21.387242700000002"/>
    <n v="222.93299999999999"/>
    <n v="187.19900000000001"/>
    <n v="2.3510015970000002"/>
    <n v="64.445099940000006"/>
    <n v="0.106654161"/>
    <n v="898.38800000000003"/>
    <n v="798.32399999999996"/>
    <n v="122.3812982"/>
    <n v="2.4542847860000001"/>
    <n v="0.76900000000000002"/>
    <n v="7.931"/>
    <s v="Above Average"/>
    <n v="-114.45029820000001"/>
  </r>
  <r>
    <s v="Japan"/>
    <x v="2"/>
    <x v="2"/>
    <n v="1071.2508700000001"/>
    <n v="2.3550533200000001"/>
    <n v="0.25462583100000002"/>
    <n v="81.152463569999995"/>
    <n v="454.87329770000002"/>
    <n v="11.27394069"/>
    <n v="21.448582850000001"/>
    <n v="226.36799999999999"/>
    <n v="196.86699999999999"/>
    <n v="2.3270022579999998"/>
    <n v="65.168972690000004"/>
    <n v="0.10811892400000001"/>
    <n v="903.53499999999997"/>
    <n v="806.20100000000002"/>
    <n v="121.5019386"/>
    <n v="2.4202714890000001"/>
    <n v="0.80100000000000005"/>
    <n v="7.6020000000000003"/>
    <s v="Above Average"/>
    <n v="-113.8999386"/>
  </r>
  <r>
    <s v="Japan"/>
    <x v="3"/>
    <x v="2"/>
    <n v="1064.4351710000001"/>
    <n v="2.3260537139999999"/>
    <n v="0.254322995"/>
    <n v="88.533056520000002"/>
    <n v="457.61418359999999"/>
    <n v="12.91967584"/>
    <n v="21.4085967"/>
    <n v="225.02699999999999"/>
    <n v="202.65899999999999"/>
    <n v="2.3980002499999999"/>
    <n v="66.713012829999997"/>
    <n v="0.109336682"/>
    <n v="911.65599999999995"/>
    <n v="813.67700000000002"/>
    <n v="124.2157191"/>
    <n v="2.4167010360000001"/>
    <n v="0.73499999999999999"/>
    <n v="7.2060000000000004"/>
    <s v="Above Average"/>
    <n v="-117.0097191"/>
  </r>
  <r>
    <s v="Japan"/>
    <x v="4"/>
    <x v="2"/>
    <n v="1116.0877740000001"/>
    <n v="2.3131210750000002"/>
    <n v="0.26404211700000002"/>
    <n v="91.381162309999993"/>
    <n v="482.50296359999999"/>
    <n v="9.0932081710000006"/>
    <n v="22.04821476"/>
    <n v="233.63900000000001"/>
    <n v="211.81700000000001"/>
    <n v="2.384997678"/>
    <n v="70.010096279999999"/>
    <n v="0.114149717"/>
    <n v="968.76700000000005"/>
    <n v="866.61199999999997"/>
    <n v="128.12324480000001"/>
    <n v="2.4401120189999999"/>
    <n v="0.70399999999999996"/>
    <n v="6.742"/>
    <s v="Above Average"/>
    <n v="-121.3812448"/>
  </r>
  <r>
    <s v="Japan"/>
    <x v="5"/>
    <x v="2"/>
    <n v="1125.2460249999999"/>
    <n v="2.2726150189999998"/>
    <n v="0.25910377099999998"/>
    <n v="99.41226503"/>
    <n v="495.13270640000002"/>
    <n v="10.65855567"/>
    <n v="21.747728209999998"/>
    <n v="238.024"/>
    <n v="210.363"/>
    <n v="2.4100013159999998"/>
    <n v="72.535025989999994"/>
    <n v="0.11401129"/>
    <n v="990.42499999999995"/>
    <n v="884.00400000000002"/>
    <n v="132.8433574"/>
    <n v="2.6509831639999999"/>
    <n v="0.70599999999999996"/>
    <n v="6.3170000000000002"/>
    <s v="Above Average"/>
    <n v="-126.52635739999999"/>
  </r>
  <r>
    <s v="Japan"/>
    <x v="6"/>
    <x v="2"/>
    <n v="1136.70406"/>
    <n v="2.246972032"/>
    <n v="0.25387211199999998"/>
    <n v="102.86978550000001"/>
    <n v="505.88260289999999"/>
    <n v="10.185678960000001"/>
    <n v="21.912252420000002"/>
    <n v="237.852"/>
    <n v="208.65199999999999"/>
    <n v="2.3459996630000002"/>
    <n v="75.592931320000005"/>
    <n v="0.112984099"/>
    <n v="1010.723"/>
    <n v="904.37199999999996"/>
    <n v="136.31124629999999"/>
    <n v="2.703213442"/>
    <n v="0.68"/>
    <n v="6.1660000000000004"/>
    <s v="Above Average"/>
    <n v="-130.1452463"/>
  </r>
  <r>
    <s v="Japan"/>
    <x v="7"/>
    <x v="2"/>
    <n v="1126.7907600000001"/>
    <n v="2.2036939000000002"/>
    <n v="0.24897894400000001"/>
    <n v="107.304284"/>
    <n v="511.31909030000003"/>
    <n v="11.085157969999999"/>
    <n v="22.084885790000001"/>
    <n v="236.48699999999999"/>
    <n v="214.869"/>
    <n v="2.4420000590000002"/>
    <n v="78.092063600000003"/>
    <n v="0.112982544"/>
    <n v="1034.771"/>
    <n v="915.29200000000003"/>
    <n v="138.5107998"/>
    <n v="2.6043443430000002"/>
    <n v="0.68100000000000005"/>
    <n v="3.97"/>
    <s v="Above Average"/>
    <n v="-134.5407998"/>
  </r>
  <r>
    <s v="Japan"/>
    <x v="8"/>
    <x v="2"/>
    <n v="1089.725852"/>
    <n v="2.172497275"/>
    <n v="0.24353707099999999"/>
    <n v="109.7837114"/>
    <n v="501.6005609"/>
    <n v="11.25216723"/>
    <n v="22.747309860000001"/>
    <n v="231.40199999999999"/>
    <n v="210.31700000000001"/>
    <n v="2.4229976930000001"/>
    <n v="80.076005080000002"/>
    <n v="0.112100058"/>
    <n v="1031.268"/>
    <n v="924.78"/>
    <n v="130.47397810000001"/>
    <n v="2.2560575909999998"/>
    <n v="0.622"/>
    <n v="3.698"/>
    <s v="Above Average"/>
    <n v="-126.77597810000002"/>
  </r>
  <r>
    <s v="Japan"/>
    <x v="9"/>
    <x v="2"/>
    <n v="1124.910333"/>
    <n v="2.207302673"/>
    <n v="0.25203527799999997"/>
    <n v="105.3452178"/>
    <n v="509.63121039999999"/>
    <n v="10.4556252"/>
    <n v="22.63411619"/>
    <n v="237.26300000000001"/>
    <n v="208.011"/>
    <n v="2.4400010889999999"/>
    <n v="84.913897890000001"/>
    <n v="0.11418247300000001"/>
    <n v="1048.23"/>
    <n v="945.88800000000003"/>
    <n v="138.8401667"/>
    <n v="2.282991328"/>
    <n v="0.58099999999999996"/>
    <n v="3.69"/>
    <s v="Above Average"/>
    <n v="-135.1501667"/>
  </r>
  <r>
    <s v="Japan"/>
    <x v="10"/>
    <x v="2"/>
    <n v="1138.4933739999999"/>
    <n v="2.1898744200000002"/>
    <n v="0.24818005300000001"/>
    <n v="106.6006781"/>
    <n v="519.88979970000003"/>
    <n v="10.344666119999999"/>
    <n v="23.29024085"/>
    <n v="232.55199999999999"/>
    <n v="206.56100000000001"/>
    <n v="2.6360017249999999"/>
    <n v="87.573104639999997"/>
    <n v="0.11333072399999999"/>
    <n v="1067.816"/>
    <n v="986.45399999999995"/>
    <n v="148.52530049999999"/>
    <n v="2.2301595029999999"/>
    <n v="0.59799999999999998"/>
    <n v="2.964"/>
    <s v="Above Average"/>
    <n v="-145.56130049999999"/>
  </r>
  <r>
    <s v="Japan"/>
    <x v="11"/>
    <x v="2"/>
    <n v="1125.0185200000001"/>
    <n v="2.1999623700000002"/>
    <n v="0.244250195"/>
    <n v="105.20597650000001"/>
    <n v="511.38080159999998"/>
    <n v="10.234691"/>
    <n v="23.208490810000001"/>
    <n v="226.59299999999999"/>
    <n v="200.92099999999999"/>
    <n v="2.6030016929999999"/>
    <n v="87.234936970000007"/>
    <n v="0.111024715"/>
    <n v="1050.232"/>
    <n v="970.01199999999994"/>
    <n v="152.6015453"/>
    <n v="2.320344457"/>
    <n v="0.57199999999999995"/>
    <n v="2.8220000000000001"/>
    <s v="Above Average"/>
    <n v="-149.7795453"/>
  </r>
  <r>
    <s v="Japan"/>
    <x v="12"/>
    <x v="2"/>
    <n v="1166.0222470000001"/>
    <n v="2.273383736"/>
    <n v="0.25285407100000001"/>
    <n v="99.791746110000005"/>
    <n v="512.90164040000002"/>
    <n v="9.9192464880000006"/>
    <n v="23.22189045"/>
    <n v="229.46"/>
    <n v="202.155"/>
    <n v="2.8076721999999998"/>
    <n v="89.455938840000002"/>
    <n v="0.111223665"/>
    <n v="1068.0650000000001"/>
    <n v="987.65899999999999"/>
    <n v="159.8891222"/>
    <n v="2.3056649170000001"/>
    <n v="0.58199999999999996"/>
    <n v="1.2849999999999999"/>
    <s v="Above Average"/>
    <n v="-158.60412220000001"/>
  </r>
  <r>
    <s v="Japan"/>
    <x v="13"/>
    <x v="2"/>
    <n v="1176.4272000000001"/>
    <n v="2.309054267"/>
    <n v="0.25127043900000001"/>
    <n v="87.10661399"/>
    <n v="509.48443120000002"/>
    <n v="11.29007277"/>
    <n v="23.266958450000001"/>
    <n v="227.047"/>
    <n v="201.80500000000001"/>
    <n v="2.9689966320000001"/>
    <n v="92.415064409999999"/>
    <n v="0.108819633"/>
    <n v="1058.886"/>
    <n v="981.74599999999998"/>
    <n v="166.5850882"/>
    <n v="2.4792092819999998"/>
    <n v="0.64200000000000002"/>
    <n v="1.355"/>
    <s v="Above Average"/>
    <n v="-165.23008820000001"/>
  </r>
  <r>
    <s v="Japan"/>
    <x v="14"/>
    <x v="2"/>
    <n v="1172.7407370000001"/>
    <n v="2.229731771"/>
    <n v="0.24507981000000001"/>
    <n v="98.431245939999997"/>
    <n v="525.95597029999999"/>
    <n v="10.98875758"/>
    <n v="23.751545320000002"/>
    <n v="225.18799999999999"/>
    <n v="198.82"/>
    <n v="3.1200003980000002"/>
    <n v="91.95195846"/>
    <n v="0.10991448099999999"/>
    <n v="1088.4670000000001"/>
    <n v="1015.505"/>
    <n v="170.41566090000001"/>
    <n v="2.4025533160000001"/>
    <n v="0.66300000000000003"/>
    <n v="1.272"/>
    <s v="Above Average"/>
    <n v="-169.14366090000001"/>
  </r>
  <r>
    <s v="Japan"/>
    <x v="15"/>
    <x v="2"/>
    <n v="1173.2383709999999"/>
    <n v="2.2388829989999999"/>
    <n v="0.24117388000000001"/>
    <n v="103.9692348"/>
    <n v="524.02844279999999"/>
    <n v="9.6552980500000007"/>
    <n v="24.34752817"/>
    <n v="222.20599999999999"/>
    <n v="204.54900000000001"/>
    <n v="3.3120016140000001"/>
    <n v="91.295071140000005"/>
    <n v="0.107720627"/>
    <n v="1108.8420000000001"/>
    <n v="1039.7260000000001"/>
    <n v="176.97865440000001"/>
    <n v="2.444532224"/>
    <n v="0.70299999999999996"/>
    <n v="1.2490000000000001"/>
    <s v="Above Average"/>
    <n v="-175.72965440000002"/>
  </r>
  <r>
    <s v="Japan"/>
    <x v="16"/>
    <x v="2"/>
    <n v="1145.7885409999999"/>
    <n v="2.1875696050000002"/>
    <n v="0.23223349200000001"/>
    <n v="105.17737409999999"/>
    <n v="523.77238150000005"/>
    <n v="10.663186809999999"/>
    <n v="24.574962029999998"/>
    <n v="213.03800000000001"/>
    <n v="195.90600000000001"/>
    <n v="3.5949999030000002"/>
    <n v="100.2811312"/>
    <n v="0.106160504"/>
    <n v="1112.6880000000001"/>
    <n v="1043.895"/>
    <n v="175.12127480000001"/>
    <n v="2.5373689659999998"/>
    <n v="0.69299999999999995"/>
    <n v="1.351"/>
    <s v="Above Average"/>
    <n v="-173.77027480000001"/>
  </r>
  <r>
    <s v="Japan"/>
    <x v="17"/>
    <x v="2"/>
    <n v="1178.7052759999999"/>
    <n v="2.2732240909999999"/>
    <n v="0.235017578"/>
    <n v="94.683599619999995"/>
    <n v="518.51697339999998"/>
    <n v="9.3494332960000008"/>
    <n v="25.461390730000002"/>
    <n v="209.44200000000001"/>
    <n v="198.14699999999999"/>
    <n v="3.93400331"/>
    <n v="108.9548946"/>
    <n v="0.103385134"/>
    <n v="1141.866"/>
    <n v="1076.8409999999999"/>
    <n v="182.66472859999999"/>
    <n v="2.5399652850000001"/>
    <n v="0.747"/>
    <n v="1.28"/>
    <s v="Above Average"/>
    <n v="-181.38472859999999"/>
  </r>
  <r>
    <s v="Japan"/>
    <x v="18"/>
    <x v="2"/>
    <n v="1115.5862159999999"/>
    <n v="2.2309155679999999"/>
    <n v="0.22489179100000001"/>
    <n v="92.946589779999996"/>
    <n v="500.05756910000002"/>
    <n v="9.5399135590000004"/>
    <n v="26.306110570000001"/>
    <n v="191.8"/>
    <n v="189.417"/>
    <n v="3.9090014609999999"/>
    <n v="106.7320769"/>
    <n v="0.10080694900000001"/>
    <n v="1108.27"/>
    <n v="1037.451"/>
    <n v="176.21350960000001"/>
    <n v="2.4570727350000001"/>
    <n v="0.74299999999999999"/>
    <n v="1.29"/>
    <s v="Above Average"/>
    <n v="-174.92350960000002"/>
  </r>
  <r>
    <s v="Japan"/>
    <x v="19"/>
    <x v="2"/>
    <n v="1064.2131199999999"/>
    <n v="2.2304470529999998"/>
    <n v="0.22682101599999999"/>
    <n v="98.731013379999993"/>
    <n v="477.1299631"/>
    <n v="9.7421700050000002"/>
    <n v="26.062073699999999"/>
    <n v="185.83099999999999"/>
    <n v="179.03700000000001"/>
    <n v="3.7509970990000001"/>
    <n v="105.5260408"/>
    <n v="0.10169307299999999"/>
    <n v="1090.4860000000001"/>
    <n v="1004.155"/>
    <n v="169.52430469999999"/>
    <n v="2.6318540540000002"/>
    <n v="0.69899999999999995"/>
    <n v="1.206"/>
    <s v="Above Average"/>
    <n v="-168.3183047"/>
  </r>
  <r>
    <s v="Japan"/>
    <x v="20"/>
    <x v="2"/>
    <n v="1115.186072"/>
    <n v="2.216245969"/>
    <n v="0.22812282"/>
    <n v="103.3383821"/>
    <n v="503.18696030000001"/>
    <n v="10.15117444"/>
    <n v="26.526898119999998"/>
    <n v="185.80699999999999"/>
    <n v="178.07"/>
    <n v="3.5260003680000001"/>
    <n v="111.2890129"/>
    <n v="0.10293208600000001"/>
    <n v="1170.8989999999999"/>
    <n v="1051.271"/>
    <n v="184.29783979999999"/>
    <n v="2.651381545"/>
    <n v="0.65"/>
    <n v="1.145"/>
    <s v="Above Average"/>
    <n v="-183.15283979999998"/>
  </r>
  <r>
    <s v="Japan"/>
    <x v="21"/>
    <x v="2"/>
    <n v="1170.885982"/>
    <n v="2.5141664349999999"/>
    <n v="0.239793584"/>
    <n v="55.397761580000001"/>
    <n v="465.7153821"/>
    <n v="10.94294404"/>
    <n v="26.102457009999998"/>
    <n v="187.92099999999999"/>
    <n v="169.41499999999999"/>
    <n v="3.5170013980000001"/>
    <n v="129.70985930000001"/>
    <n v="9.5376973000000004E-2"/>
    <n v="1110.7339999999999"/>
    <n v="1011.722"/>
    <n v="178.92129420000001"/>
    <n v="2.9873939209999998"/>
    <n v="0.629"/>
    <n v="1.1950000000000001"/>
    <s v="Above Average"/>
    <n v="-177.72629420000001"/>
  </r>
  <r>
    <s v="Japan"/>
    <x v="22"/>
    <x v="2"/>
    <n v="1211.005339"/>
    <n v="2.6568207209999999"/>
    <n v="0.24435654700000001"/>
    <n v="32.335935620000001"/>
    <n v="455.80995719999999"/>
    <n v="10.530616699999999"/>
    <n v="26.1836229"/>
    <n v="189.827"/>
    <n v="168.97499999999999"/>
    <n v="3.1770018680000001"/>
    <n v="134.66197149999999"/>
    <n v="9.1973291999999998E-2"/>
    <n v="1098.9100000000001"/>
    <n v="1006.624"/>
    <n v="187.2876239"/>
    <n v="3.1796962440000001"/>
    <n v="0.58199999999999996"/>
    <n v="1.2470000000000001"/>
    <s v="Above Average"/>
    <n v="-186.04062389999999"/>
  </r>
  <r>
    <s v="Japan"/>
    <x v="23"/>
    <x v="2"/>
    <n v="1214.8427650000001"/>
    <n v="2.6611150330000002"/>
    <n v="0.24032374400000001"/>
    <n v="31.74966277"/>
    <n v="456.51644140000002"/>
    <n v="11.31430621"/>
    <n v="26.004455759999999"/>
    <n v="185.893"/>
    <n v="171.20400000000001"/>
    <n v="2.9399979379999999"/>
    <n v="118.3511429"/>
    <n v="9.0309416000000003E-2"/>
    <n v="1104.248"/>
    <n v="1005.2329999999999"/>
    <n v="198.71682770000001"/>
    <n v="3.8416189119999999"/>
    <n v="0.51500000000000001"/>
    <n v="1.2509999999999999"/>
    <s v="Above Average"/>
    <n v="-197.46582770000001"/>
  </r>
  <r>
    <s v="Japan"/>
    <x v="24"/>
    <x v="2"/>
    <n v="1173.765611"/>
    <n v="2.6581870890000001"/>
    <n v="0.23133089900000001"/>
    <n v="29.989633560000001"/>
    <n v="441.56621469999999"/>
    <n v="12.829219739999999"/>
    <n v="26.320173610000001"/>
    <n v="175.49199999999999"/>
    <n v="161.58000000000001"/>
    <n v="2.8590015590000002"/>
    <n v="119.277901"/>
    <n v="8.7025815000000006E-2"/>
    <n v="1076.067"/>
    <n v="988.673"/>
    <n v="196.91039660000001"/>
    <n v="4.8217257849999999"/>
    <n v="0.48499999999999999"/>
    <n v="1.3180000000000001"/>
    <s v="Above Average"/>
    <n v="-195.5923966"/>
  </r>
  <r>
    <s v="Japan"/>
    <x v="25"/>
    <x v="2"/>
    <n v="1138.1738700000001"/>
    <n v="2.6208459610000001"/>
    <n v="0.221606253"/>
    <n v="33.811311519999997"/>
    <n v="434.27728569999999"/>
    <n v="14.7340205"/>
    <n v="26.019230319999998"/>
    <n v="171.64099999999999"/>
    <n v="162.375"/>
    <n v="2.8270027089999998"/>
    <n v="113.5810659"/>
    <n v="8.4555237000000005E-2"/>
    <n v="1058.7470000000001"/>
    <n v="964.66099999999994"/>
    <n v="194.72890659999999"/>
    <n v="6.0132401790000003"/>
    <n v="0.44700000000000001"/>
    <n v="1.2649999999999999"/>
    <s v="Above Average"/>
    <n v="-193.4639066"/>
  </r>
  <r>
    <s v="Japan"/>
    <x v="26"/>
    <x v="2"/>
    <n v="1128.2097209999999"/>
    <n v="2.6294325889999999"/>
    <n v="0.218336328"/>
    <n v="36.7730563"/>
    <n v="429.0696504"/>
    <n v="14.78333997"/>
    <n v="26.391932560000001"/>
    <n v="167.67"/>
    <n v="162.94999999999999"/>
    <n v="2.9119970560000001"/>
    <n v="115.792039"/>
    <n v="8.3035529999999996E-2"/>
    <n v="1061.8710000000001"/>
    <n v="965.08500000000004"/>
    <n v="192.96161789999999"/>
    <n v="7.0617805740000001"/>
    <n v="0.42299999999999999"/>
    <n v="1.288"/>
    <s v="Above Average"/>
    <n v="-191.67361789999998"/>
  </r>
  <r>
    <s v="Japan"/>
    <x v="27"/>
    <x v="2"/>
    <n v="1110.352355"/>
    <n v="2.5603781859999999"/>
    <n v="0.21081439099999999"/>
    <n v="42.922166099999998"/>
    <n v="433.66732359999997"/>
    <n v="16.49819814"/>
    <n v="26.5877461"/>
    <n v="165.33071699999999"/>
    <n v="157.41915900000001"/>
    <n v="2.931693503"/>
    <n v="113.2320812"/>
    <n v="8.2337207999999995E-2"/>
    <n v="1071.2016880000001"/>
    <n v="980.18619000000001"/>
    <n v="193.8804514"/>
    <n v="7.9071954379999996"/>
    <n v="0.42017599999999999"/>
    <n v="1.3278970000000001"/>
    <s v="Above Average"/>
    <n v="-192.55255439999999"/>
  </r>
  <r>
    <s v="Japan"/>
    <x v="28"/>
    <x v="2"/>
    <n v="1066.5448799999999"/>
    <n v="2.493982956"/>
    <n v="0.20091287999999999"/>
    <n v="51.973658309999998"/>
    <n v="427.64722110000002"/>
    <n v="17.422956469999999"/>
    <n v="26.90188328"/>
    <n v="156.59493699999999"/>
    <n v="151.120228"/>
    <n v="2.479809919"/>
    <n v="108.21136319999999"/>
    <n v="8.0559042999999997E-2"/>
    <n v="1057.7532940000001"/>
    <n v="960.89432499999998"/>
    <n v="188.46673379999999"/>
    <n v="8.6731961529999992"/>
    <n v="0.38195499999999999"/>
    <n v="1.3278970000000001"/>
    <s v="Above Average"/>
    <n v="-187.13883679999998"/>
  </r>
  <r>
    <s v="Japan"/>
    <x v="29"/>
    <x v="2"/>
    <n v="1044.3778520000001"/>
    <n v="2.5081894689999999"/>
    <n v="0.19542580700000001"/>
    <n v="53.190415430000002"/>
    <n v="416.38714490000001"/>
    <n v="18.323905320000001"/>
    <n v="26.426479579999999"/>
    <n v="152.13129860000001"/>
    <n v="151.4338554"/>
    <n v="2.282876216"/>
    <n v="103.05440520000001"/>
    <n v="7.7915089000000007E-2"/>
    <n v="1015.01851"/>
    <n v="934.06030250000003"/>
    <n v="185.94174799999999"/>
    <n v="9.7914812700000002"/>
    <n v="0.400382654"/>
    <n v="0.981672663"/>
    <s v="Above Average"/>
    <n v="-184.96007533699998"/>
  </r>
  <r>
    <s v="Japan"/>
    <x v="30"/>
    <x v="2"/>
    <n v="979.37743820000003"/>
    <n v="2.5351463839999999"/>
    <n v="0.192502958"/>
    <n v="50.183068640000002"/>
    <n v="386.31987659999999"/>
    <n v="20.226474710000002"/>
    <n v="27.767892310000001"/>
    <n v="139.43964080000001"/>
    <n v="126.20457620000001"/>
    <n v="2.0107967580000001"/>
    <n v="99.862714949999997"/>
    <n v="7.5933665999999997E-2"/>
    <n v="1011.455287"/>
    <n v="905.41593980000005"/>
    <n v="171.00082979999999"/>
    <n v="10.69373875"/>
    <n v="0.39200644699999998"/>
    <n v="0.94367243099999998"/>
    <s v="Above Average"/>
    <n v="-170.05715736899998"/>
  </r>
  <r>
    <s v="Kazakhstan"/>
    <x v="0"/>
    <x v="2"/>
    <n v="236.2823415"/>
    <n v="3.2168030540000001"/>
    <n v="1.0265632929999999"/>
    <n v="90.977383259999996"/>
    <n v="73.452535800000007"/>
    <n v="8.4299431210000009"/>
    <n v="13.92138958"/>
    <n v="19.167000000000002"/>
    <n v="18.303000000000001"/>
    <n v="7.1140053050000001"/>
    <n v="13.18298532"/>
    <n v="0.31912531700000002"/>
    <n v="87.379000000000005"/>
    <n v="96.534999999999997"/>
    <n v="90.361000000000004"/>
    <n v="0"/>
    <n v="25.82"/>
    <n v="131.44300000000001"/>
    <s v=""/>
    <n v="41.082000000000008"/>
  </r>
  <r>
    <s v="Kazakhstan"/>
    <x v="1"/>
    <x v="2"/>
    <n v="243.08318919999999"/>
    <n v="3.243307331"/>
    <n v="1.1866410940000001"/>
    <n v="91.872940589999999"/>
    <n v="74.949168970000002"/>
    <n v="8.3736509120000004"/>
    <n v="12.75894295"/>
    <n v="22.437999999999999"/>
    <n v="18.277999999999999"/>
    <n v="7.8849923479999999"/>
    <n v="12.55001247"/>
    <n v="0.36587377399999998"/>
    <n v="85.983999999999995"/>
    <n v="92.811000000000007"/>
    <n v="89.87"/>
    <n v="0"/>
    <n v="26.591000000000001"/>
    <n v="130.38200000000001"/>
    <s v=""/>
    <n v="40.512"/>
  </r>
  <r>
    <s v="Kazakhstan"/>
    <x v="2"/>
    <x v="2"/>
    <n v="249.14830029999999"/>
    <n v="3.1598421019999998"/>
    <n v="1.284317524"/>
    <n v="89.518086530000005"/>
    <n v="78.848338699999999"/>
    <n v="8.3021970710000002"/>
    <n v="11.510723690000001"/>
    <n v="21.058"/>
    <n v="17.658999999999999"/>
    <n v="8.1129973470000003"/>
    <n v="18.424986740000001"/>
    <n v="0.406449905"/>
    <n v="82.700999999999993"/>
    <n v="88.022999999999996"/>
    <n v="90.808999999999997"/>
    <n v="0"/>
    <n v="25.847999999999999"/>
    <n v="126.536"/>
    <s v=""/>
    <n v="35.727000000000004"/>
  </r>
  <r>
    <s v="Kazakhstan"/>
    <x v="3"/>
    <x v="2"/>
    <n v="212.46175339999999"/>
    <n v="3.2374386909999999"/>
    <n v="1.206172416"/>
    <n v="78.893268640000002"/>
    <n v="65.626494809999997"/>
    <n v="9.8509891019999998"/>
    <n v="11.16851063"/>
    <n v="16.529"/>
    <n v="14.933"/>
    <n v="6.6849955310000002"/>
    <n v="13.00700265"/>
    <n v="0.37256996399999998"/>
    <n v="77.444000000000003"/>
    <n v="71.099999999999994"/>
    <n v="83.019000000000005"/>
    <n v="0"/>
    <n v="22.975000000000001"/>
    <n v="111.88"/>
    <s v=""/>
    <n v="28.86099999999999"/>
  </r>
  <r>
    <s v="Kazakhstan"/>
    <x v="4"/>
    <x v="2"/>
    <n v="192.19978839999999"/>
    <n v="3.3058302620000002"/>
    <n v="1.2484469810000001"/>
    <n v="71.196920719999994"/>
    <n v="58.139642119999998"/>
    <n v="13.824419779999999"/>
    <n v="11.777285750000001"/>
    <n v="12.055"/>
    <n v="11.795"/>
    <n v="4.4879987059999999"/>
    <n v="10.02501326"/>
    <n v="0.37765005499999998"/>
    <n v="66.397000000000006"/>
    <n v="61.398000000000003"/>
    <n v="79.565031149999996"/>
    <n v="0"/>
    <n v="20.279"/>
    <n v="104.625"/>
    <s v=""/>
    <n v="25.059968850000004"/>
  </r>
  <r>
    <s v="Kazakhstan"/>
    <x v="5"/>
    <x v="2"/>
    <n v="167.5855305"/>
    <n v="3.2076390539999999"/>
    <n v="1.1857988800000001"/>
    <n v="63.850937119999998"/>
    <n v="52.245756989999997"/>
    <n v="12.497562289999999"/>
    <n v="10.9160564"/>
    <n v="10.677"/>
    <n v="10.753"/>
    <n v="5.9159946950000002"/>
    <n v="12.47599469"/>
    <n v="0.369679649"/>
    <n v="66.661000000000001"/>
    <n v="54.845999999999997"/>
    <n v="65.644999999999996"/>
    <n v="0"/>
    <n v="20.640999999999998"/>
    <n v="84.494"/>
    <s v=""/>
    <n v="18.849000000000004"/>
  </r>
  <r>
    <s v="Kazakhstan"/>
    <x v="6"/>
    <x v="2"/>
    <n v="146.1789101"/>
    <n v="3.2230672490000001"/>
    <n v="1.029184353"/>
    <n v="63.710438930000002"/>
    <n v="45.35397459"/>
    <n v="12.41742606"/>
    <n v="11.21760918"/>
    <n v="9.4489999999999998"/>
    <n v="11.018000000000001"/>
    <n v="6.5240053050000002"/>
    <n v="9.6770026530000006"/>
    <n v="0.3193183"/>
    <n v="59.037999999999997"/>
    <n v="48.625"/>
    <n v="58.718155770000003"/>
    <n v="0"/>
    <n v="22.96"/>
    <n v="77.977999999999994"/>
    <s v=""/>
    <n v="19.259844229999992"/>
  </r>
  <r>
    <s v="Kazakhstan"/>
    <x v="7"/>
    <x v="2"/>
    <n v="123.2115094"/>
    <n v="3.1194685600000001"/>
    <n v="0.85297986699999995"/>
    <n v="65.554734690000004"/>
    <n v="39.497596170000001"/>
    <n v="12.498076920000001"/>
    <n v="11.08455384"/>
    <n v="8.1950000000000003"/>
    <n v="9.4719999999999995"/>
    <n v="8.1140053049999992"/>
    <n v="8.6858885939999997"/>
    <n v="0.273437559"/>
    <n v="52"/>
    <n v="41.473999999999997"/>
    <n v="49.199155769999997"/>
    <n v="0"/>
    <n v="25.777999999999999"/>
    <n v="72.647000000000006"/>
    <s v=""/>
    <n v="23.447844230000008"/>
  </r>
  <r>
    <s v="Kazakhstan"/>
    <x v="8"/>
    <x v="2"/>
    <n v="125.7620326"/>
    <n v="3.1968052120000001"/>
    <n v="0.88749934900000005"/>
    <n v="64.811426170000004"/>
    <n v="39.339911030000003"/>
    <n v="12.495676059999999"/>
    <n v="10.084705639999999"/>
    <n v="8.9269999999999996"/>
    <n v="8.8070000000000004"/>
    <n v="7.9479895279999999"/>
    <n v="8.6939961009999998"/>
    <n v="0.27762071500000002"/>
    <n v="49.145000000000003"/>
    <n v="38.46"/>
    <n v="49.3"/>
    <n v="0"/>
    <n v="25.945"/>
    <n v="70.825000000000003"/>
    <s v=""/>
    <n v="21.525000000000006"/>
  </r>
  <r>
    <s v="Kazakhstan"/>
    <x v="9"/>
    <x v="2"/>
    <n v="113.03286559999999"/>
    <n v="3.146535176"/>
    <n v="0.77669907800000004"/>
    <n v="66.123641919999997"/>
    <n v="35.922962640000001"/>
    <n v="12.91001726"/>
    <n v="11.34601408"/>
    <n v="6.8650000000000002"/>
    <n v="6.7089999999999996"/>
    <n v="9.9460089699999994"/>
    <n v="8.6232589599999994"/>
    <n v="0.246842649"/>
    <n v="47.497999999999998"/>
    <n v="38.161999999999999"/>
    <n v="46.256999999999998"/>
    <n v="0"/>
    <n v="30.13"/>
    <n v="59.793999999999997"/>
    <s v=""/>
    <n v="13.536999999999999"/>
  </r>
  <r>
    <s v="Kazakhstan"/>
    <x v="10"/>
    <x v="2"/>
    <n v="121.8210205"/>
    <n v="3.4142112689999999"/>
    <n v="0.76237376800000001"/>
    <n v="78.576186620000001"/>
    <n v="35.68057477"/>
    <n v="14.673447120000001"/>
    <n v="12.920449530000001"/>
    <n v="7.6139999999999999"/>
    <n v="6.2690000000000001"/>
    <n v="9.0860103470000002"/>
    <n v="7.8359979500000003"/>
    <n v="0.223294257"/>
    <n v="51.323999999999998"/>
    <n v="38.539000000000001"/>
    <n v="49.786999999999999"/>
    <n v="0"/>
    <n v="35.280999999999999"/>
    <n v="77.444000000000003"/>
    <s v=""/>
    <n v="27.657000000000004"/>
  </r>
  <r>
    <s v="Kazakhstan"/>
    <x v="11"/>
    <x v="2"/>
    <n v="113.1062728"/>
    <n v="3.274875137"/>
    <n v="0.62364370199999997"/>
    <n v="84.000168400000007"/>
    <n v="34.53758328"/>
    <n v="14.212849780000001"/>
    <n v="15.13599013"/>
    <n v="7.2960000000000003"/>
    <n v="8.1519999999999992"/>
    <n v="8.2789970660000005"/>
    <n v="6.0070053889999997"/>
    <n v="0.190432818"/>
    <n v="56.856999999999999"/>
    <n v="42.628999999999998"/>
    <n v="47.963000000000001"/>
    <n v="0"/>
    <n v="40.554000000000002"/>
    <n v="79.076999999999998"/>
    <s v=""/>
    <n v="31.113999999999997"/>
  </r>
  <r>
    <s v="Kazakhstan"/>
    <x v="12"/>
    <x v="2"/>
    <n v="125.8212826"/>
    <n v="3.1663684070000002"/>
    <n v="0.63183200100000003"/>
    <n v="91.263186559999994"/>
    <n v="39.736779319999997"/>
    <n v="15.23773611"/>
    <n v="15.62267619"/>
    <n v="7.8520000000000003"/>
    <n v="8.5419999999999998"/>
    <n v="10.66000436"/>
    <n v="8.3289905530000006"/>
    <n v="0.199544689"/>
    <n v="58.341999999999999"/>
    <n v="43.22"/>
    <n v="52.31"/>
    <n v="0"/>
    <n v="47.857999999999997"/>
    <n v="73.995999999999995"/>
    <s v=""/>
    <n v="21.685999999999993"/>
  </r>
  <r>
    <s v="Kazakhstan"/>
    <x v="13"/>
    <x v="2"/>
    <n v="145.07262040000001"/>
    <n v="3.3654967650000001"/>
    <n v="0.66651941400000003"/>
    <n v="101.98604020000001"/>
    <n v="43.105856449999997"/>
    <n v="13.50483826"/>
    <n v="14.00674643"/>
    <n v="8.2759999999999998"/>
    <n v="9.3640000000000008"/>
    <n v="12.5399937"/>
    <n v="10.1690021"/>
    <n v="0.198044883"/>
    <n v="63.866"/>
    <n v="45.932000000000002"/>
    <n v="60.503999999999998"/>
    <n v="0"/>
    <n v="52.093000000000004"/>
    <n v="85.111999999999995"/>
    <s v=""/>
    <n v="24.607999999999997"/>
  </r>
  <r>
    <s v="Kazakhstan"/>
    <x v="14"/>
    <x v="2"/>
    <n v="150.17438110000001"/>
    <n v="2.956520104"/>
    <n v="0.62952451099999995"/>
    <n v="114.7011001"/>
    <n v="50.79430404"/>
    <n v="12.03525282"/>
    <n v="14.018223150000001"/>
    <n v="8.35"/>
    <n v="9.6020000000000003"/>
    <n v="16.698995790000001"/>
    <n v="11.604998999999999"/>
    <n v="0.21292752600000001"/>
    <n v="66.944999999999993"/>
    <n v="47.359000000000002"/>
    <n v="62.774000000000001"/>
    <n v="0"/>
    <n v="60.231999999999999"/>
    <n v="87.01"/>
    <s v=""/>
    <n v="24.236000000000004"/>
  </r>
  <r>
    <s v="Kazakhstan"/>
    <x v="15"/>
    <x v="2"/>
    <n v="160.9619941"/>
    <n v="3.1632422149999999"/>
    <n v="0.61508269699999996"/>
    <n v="118.64944300000001"/>
    <n v="50.885130879999998"/>
    <n v="11.578993909999999"/>
    <n v="12.928963919999999"/>
    <n v="8.9179999999999993"/>
    <n v="11.662000000000001"/>
    <n v="18.868011070000001"/>
    <n v="14.852994300000001"/>
    <n v="0.194446917"/>
    <n v="67.846999999999994"/>
    <n v="49.043805599999999"/>
    <n v="64.724999999999994"/>
    <n v="0"/>
    <n v="62.238"/>
    <n v="87.197000000000003"/>
    <s v=""/>
    <n v="22.472000000000008"/>
  </r>
  <r>
    <s v="Kazakhstan"/>
    <x v="16"/>
    <x v="2"/>
    <n v="181.729275"/>
    <n v="2.9984448320000001"/>
    <n v="0.62731755199999994"/>
    <n v="127.8694002"/>
    <n v="60.607843449999997"/>
    <n v="10.84053198"/>
    <n v="13.930785739999999"/>
    <n v="9.5289999999999999"/>
    <n v="11.852"/>
    <n v="19.933017469999999"/>
    <n v="17.861998109999998"/>
    <n v="0.20921430499999999"/>
    <n v="71.656999999999996"/>
    <n v="52.782128"/>
    <n v="69.489000000000004"/>
    <n v="0"/>
    <n v="66.290999999999997"/>
    <n v="96.665000000000006"/>
    <s v=""/>
    <n v="27.176000000000002"/>
  </r>
  <r>
    <s v="Kazakhstan"/>
    <x v="17"/>
    <x v="2"/>
    <n v="193.35638370000001"/>
    <n v="2.9257361140000002"/>
    <n v="0.61290502300000005"/>
    <n v="132.20553229999999"/>
    <n v="66.088114630000007"/>
    <n v="10.66738035"/>
    <n v="12.03150319"/>
    <n v="10.095000000000001"/>
    <n v="11.955"/>
    <n v="22.33601968"/>
    <n v="20.154985329999999"/>
    <n v="0.20948745799999999"/>
    <n v="76.597999999999999"/>
    <n v="56.305790399999999"/>
    <n v="73.628"/>
    <n v="0"/>
    <n v="67.965999999999994"/>
    <n v="97.828000000000003"/>
    <s v=""/>
    <n v="24.200000000000003"/>
  </r>
  <r>
    <s v="Kazakhstan"/>
    <x v="18"/>
    <x v="2"/>
    <n v="225.1931956"/>
    <n v="3.224593139"/>
    <n v="0.69101839399999998"/>
    <n v="144.4236683"/>
    <n v="69.836157880000002"/>
    <n v="9.2870392269999993"/>
    <n v="11.06029689"/>
    <n v="10.701000000000001"/>
    <n v="12.454000000000001"/>
    <n v="24.681994889999999"/>
    <n v="23.11301375"/>
    <n v="0.21429630499999999"/>
    <n v="80.326999999999998"/>
    <n v="59.568040000000003"/>
    <n v="85.406999999999996"/>
    <n v="0"/>
    <n v="71.564999999999998"/>
    <n v="111.072"/>
    <s v=""/>
    <n v="25.665000000000006"/>
  </r>
  <r>
    <s v="Kazakhstan"/>
    <x v="19"/>
    <x v="2"/>
    <n v="199.2651305"/>
    <n v="3.1418330170000002"/>
    <n v="0.60420614699999997"/>
    <n v="148.01458389999999"/>
    <n v="63.423208510000002"/>
    <n v="8.739677296"/>
    <n v="13.206104959999999"/>
    <n v="8.8409999999999993"/>
    <n v="12.818"/>
    <n v="27.199974260000001"/>
    <n v="22.150997440000001"/>
    <n v="0.192310076"/>
    <n v="78.709999999999994"/>
    <n v="59.221200000000003"/>
    <n v="76.900000000000006"/>
    <n v="0"/>
    <n v="77.522000000000006"/>
    <n v="100.854"/>
    <s v=""/>
    <n v="23.953999999999994"/>
  </r>
  <r>
    <s v="Kazakhstan"/>
    <x v="20"/>
    <x v="2"/>
    <n v="217.1546893"/>
    <n v="3.1426213980000002"/>
    <n v="0.61365365000000005"/>
    <n v="156.85688999999999"/>
    <n v="69.099857029999995"/>
    <n v="9.7064588730000008"/>
    <n v="13.234423850000001"/>
    <n v="9.2729999999999997"/>
    <n v="14.446999999999999"/>
    <n v="28.330025190000001"/>
    <n v="25.56698531"/>
    <n v="0.19526808100000001"/>
    <n v="82.646000000000001"/>
    <n v="64.612700000000004"/>
    <n v="83.168000000000006"/>
    <n v="0"/>
    <n v="80.960999999999999"/>
    <n v="110.929"/>
    <s v=""/>
    <n v="27.760999999999996"/>
  </r>
  <r>
    <s v="Kazakhstan"/>
    <x v="21"/>
    <x v="2"/>
    <n v="231.7584056"/>
    <n v="2.9996998079999999"/>
    <n v="0.60979705500000003"/>
    <n v="160.21726630000001"/>
    <n v="77.260532870000006"/>
    <n v="9.1042431799999992"/>
    <n v="13.32600238"/>
    <n v="10.093999999999999"/>
    <n v="14.843999999999999"/>
    <n v="28.530990899999999"/>
    <n v="25.374974259999998"/>
    <n v="0.20328602700000001"/>
    <n v="86.585999999999999"/>
    <n v="71.258679999999998"/>
    <n v="89.66"/>
    <n v="0"/>
    <n v="81.278000000000006"/>
    <n v="116.45"/>
    <s v=""/>
    <n v="26.790000000000006"/>
  </r>
  <r>
    <s v="Kazakhstan"/>
    <x v="22"/>
    <x v="2"/>
    <n v="234.17498430000001"/>
    <n v="3.171971074"/>
    <n v="0.58793463499999998"/>
    <n v="164.59802429999999"/>
    <n v="73.826330299999995"/>
    <n v="8.2312507410000002"/>
    <n v="14.313145280000001"/>
    <n v="10.468"/>
    <n v="14.840999999999999"/>
    <n v="30.710022510000002"/>
    <n v="25.17600328"/>
    <n v="0.185353088"/>
    <n v="92.816999999999993"/>
    <n v="73.488479999999996"/>
    <n v="90.858999999999995"/>
    <n v="3.2321670000000002E-3"/>
    <n v="80.537000000000006"/>
    <n v="120.527"/>
    <s v=""/>
    <n v="29.668000000000006"/>
  </r>
  <r>
    <s v="Kazakhstan"/>
    <x v="23"/>
    <x v="2"/>
    <n v="251.16943570000001"/>
    <n v="3.0814919330000001"/>
    <n v="0.59490753600000001"/>
    <n v="169.0354437"/>
    <n v="81.509035620000006"/>
    <n v="7.5044865889999999"/>
    <n v="13.40229673"/>
    <n v="10.961"/>
    <n v="15.083"/>
    <n v="32.95199444"/>
    <n v="27.044011749999999"/>
    <n v="0.193058281"/>
    <n v="103.08499999999999"/>
    <n v="71.024039999999999"/>
    <n v="90.373000000000005"/>
    <n v="4.8503660000000001E-3"/>
    <n v="83.108000000000004"/>
    <n v="119.574"/>
    <s v=""/>
    <n v="29.200999999999993"/>
  </r>
  <r>
    <s v="Kazakhstan"/>
    <x v="24"/>
    <x v="2"/>
    <n v="202.83597700000001"/>
    <n v="3.101989401"/>
    <n v="0.46106265800000001"/>
    <n v="163.21807680000001"/>
    <n v="65.388997439999997"/>
    <n v="8.7859743370000007"/>
    <n v="14.70331367"/>
    <n v="10.605"/>
    <n v="16.036000000000001"/>
    <n v="33.596977940000002"/>
    <n v="15.20193439"/>
    <n v="0.148634505"/>
    <n v="95.311000000000007"/>
    <n v="73.352981999999997"/>
    <n v="84.108000000000004"/>
    <n v="0.115411652"/>
    <n v="82.259"/>
    <n v="113.985"/>
    <s v=""/>
    <n v="29.876999999999995"/>
  </r>
  <r>
    <s v="Kazakhstan"/>
    <x v="25"/>
    <x v="2"/>
    <n v="193.666844"/>
    <n v="3.5084451030000001"/>
    <n v="0.43500046799999997"/>
    <n v="146.4974311"/>
    <n v="55.200192209999997"/>
    <n v="10.381482979999999"/>
    <n v="15.29655998"/>
    <n v="12.677"/>
    <n v="14.609"/>
    <n v="29.045020319999999"/>
    <n v="14.769985180000001"/>
    <n v="0.123986682"/>
    <n v="91.721000000000004"/>
    <n v="74.246266739999996"/>
    <n v="65.192999999999998"/>
    <n v="0.27256571600000001"/>
    <n v="80.697000000000003"/>
    <n v="92.477000000000004"/>
    <s v=""/>
    <n v="27.284000000000006"/>
  </r>
  <r>
    <s v="Kazakhstan"/>
    <x v="26"/>
    <x v="2"/>
    <n v="211.77104489999999"/>
    <n v="3.2834896630000001"/>
    <n v="0.47048943199999999"/>
    <n v="150.86035899999999"/>
    <n v="64.495724559999999"/>
    <n v="12.7104146"/>
    <n v="15.112219919999999"/>
    <n v="13.249000000000001"/>
    <n v="14.186999999999999"/>
    <n v="31.104968070000002"/>
    <n v="15.10005406"/>
    <n v="0.14328945100000001"/>
    <n v="94.694000000000003"/>
    <n v="74.582627079999995"/>
    <n v="69.718999999999994"/>
    <n v="0.43402961099999998"/>
    <n v="79.299000000000007"/>
    <n v="92.536000000000001"/>
    <s v=""/>
    <n v="22.817000000000007"/>
  </r>
  <r>
    <s v="Kazakhstan"/>
    <x v="27"/>
    <x v="2"/>
    <n v="213.54199220000001"/>
    <n v="3.2529043689999999"/>
    <n v="0.45573864200000003"/>
    <n v="168.06269320000001"/>
    <n v="65.646563169999993"/>
    <n v="11.349018510000001"/>
    <n v="16.159049830000001"/>
    <n v="12.516425"/>
    <n v="14.8573"/>
    <n v="35.560613740000001"/>
    <n v="16.34976266"/>
    <n v="0.14010207199999999"/>
    <n v="103.196827"/>
    <n v="84.626617960000004"/>
    <n v="76.473737999999997"/>
    <n v="0.483953833"/>
    <n v="87.583579999999998"/>
    <n v="101.4072"/>
    <s v=""/>
    <n v="24.933462000000006"/>
  </r>
  <r>
    <s v="Kazakhstan"/>
    <x v="28"/>
    <x v="2"/>
    <n v="208.2319506"/>
    <n v="2.7478975960000001"/>
    <n v="0.42690299500000001"/>
    <n v="177.56325519999999"/>
    <n v="75.778642869999999"/>
    <n v="10.447242709999999"/>
    <n v="16.702516809999999"/>
    <n v="12.289515"/>
    <n v="16.104800000000001"/>
    <n v="38.737256709999997"/>
    <n v="16.48310652"/>
    <n v="0.15535622399999999"/>
    <n v="107.604727"/>
    <n v="87.687670560000001"/>
    <n v="76.860055000000003"/>
    <n v="0.78534932800000001"/>
    <n v="91.8523"/>
    <n v="107.6465"/>
    <s v=""/>
    <n v="30.786445000000001"/>
  </r>
  <r>
    <s v="Kazakhstan"/>
    <x v="29"/>
    <x v="2"/>
    <n v="207.4340789"/>
    <n v="2.7024225639999999"/>
    <n v="0.40695430900000001"/>
    <n v="176.7612202"/>
    <n v="76.758565329999996"/>
    <n v="10.963060370000001"/>
    <n v="17.2830786"/>
    <n v="12.34788571"/>
    <n v="16.829476660000001"/>
    <n v="39.183800089999998"/>
    <n v="17.88336391"/>
    <n v="0.15058870299999999"/>
    <n v="107.32934539999999"/>
    <n v="90.081195309999998"/>
    <n v="74.788735819999999"/>
    <n v="1.6506410460000001"/>
    <n v="92.051538050000005"/>
    <n v="104.3492868"/>
    <s v=""/>
    <n v="29.560550980000002"/>
  </r>
  <r>
    <s v="Kazakhstan"/>
    <x v="30"/>
    <x v="2"/>
    <n v="206.2171836"/>
    <n v="2.939759048"/>
    <n v="0.41579336500000003"/>
    <n v="169.47872190000001"/>
    <n v="70.14764821"/>
    <n v="11.6508568"/>
    <n v="18.07790035"/>
    <n v="12.19548571"/>
    <n v="15.667013089999999"/>
    <n v="36.737287270000003"/>
    <n v="16.316300139999999"/>
    <n v="0.141437906"/>
    <n v="110.0469702"/>
    <n v="92.40221348"/>
    <n v="76.143938349999999"/>
    <n v="2.5455259689999998"/>
    <n v="87.071196650000005"/>
    <n v="103.78675269999999"/>
    <s v=""/>
    <n v="27.642814349999995"/>
  </r>
  <r>
    <s v="Kuwait"/>
    <x v="0"/>
    <x v="5"/>
    <n v="27.836559749999999"/>
    <n v="3.0800569609999999"/>
    <n v="0.52351034100000005"/>
    <n v="50.373796779999999"/>
    <n v="9.0376769320000001"/>
    <n v="0"/>
    <n v="20.888641289999999"/>
    <n v="3.8"/>
    <n v="13.273999999999999"/>
    <n v="4.0280029050000001"/>
    <n v="6.0279931160000002"/>
    <n v="0.169967747"/>
    <n v="18.477"/>
    <n v="14.272"/>
    <m/>
    <n v="0"/>
    <n v="46.337000000000003"/>
    <m/>
    <s v=""/>
    <n v="0"/>
  </r>
  <r>
    <s v="Kuwait"/>
    <x v="1"/>
    <x v="5"/>
    <n v="7.5977588210000002"/>
    <n v="2.8969966469999999"/>
    <n v="0.24221558700000001"/>
    <n v="10.048077019999999"/>
    <n v="2.622632936"/>
    <n v="0"/>
    <n v="32.28758302"/>
    <n v="1.9490000000000001"/>
    <n v="2.9"/>
    <n v="0.83400033699999998"/>
    <n v="0.83400033699999998"/>
    <n v="8.3609205000000006E-2"/>
    <n v="10.78"/>
    <n v="8.1159999999999997"/>
    <m/>
    <n v="0"/>
    <n v="9.2189999999999994"/>
    <m/>
    <s v=""/>
    <n v="0"/>
  </r>
  <r>
    <s v="Kuwait"/>
    <x v="2"/>
    <x v="5"/>
    <n v="22.257547389999999"/>
    <n v="2.5439748199999999"/>
    <n v="0.38814707500000001"/>
    <n v="59.748161320000001"/>
    <n v="8.7491225210000003"/>
    <n v="0"/>
    <n v="18.930416279999999"/>
    <n v="4.484"/>
    <n v="17.155000000000001"/>
    <n v="4.9080048420000004"/>
    <n v="4.9080048420000004"/>
    <n v="0.15257504599999999"/>
    <n v="16.885000000000002"/>
    <n v="13.196"/>
    <m/>
    <n v="0"/>
    <n v="54.859000000000002"/>
    <m/>
    <s v=""/>
    <n v="0"/>
  </r>
  <r>
    <s v="Kuwait"/>
    <x v="3"/>
    <x v="5"/>
    <n v="28.627365919999999"/>
    <n v="2.3375473539999998"/>
    <n v="0.37258597199999999"/>
    <n v="106.5424769"/>
    <n v="12.24675336"/>
    <n v="0"/>
    <n v="18.24390524"/>
    <n v="4.3289999999999997"/>
    <n v="23.745000000000001"/>
    <n v="8.6960080000000008"/>
    <n v="8.6960080000000008"/>
    <n v="0.15939183900000001"/>
    <n v="20.178000000000001"/>
    <n v="16.074000000000002"/>
    <m/>
    <n v="0"/>
    <n v="97.867999999999995"/>
    <m/>
    <s v=""/>
    <n v="0"/>
  </r>
  <r>
    <s v="Kuwait"/>
    <x v="4"/>
    <x v="5"/>
    <n v="33.133819629999998"/>
    <n v="2.3078478140000001"/>
    <n v="0.39768797700000003"/>
    <n v="113.8966903"/>
    <n v="14.357021039999999"/>
    <n v="0"/>
    <n v="19.289163389999999"/>
    <n v="5.4039999999999999"/>
    <n v="38.957999999999998"/>
    <n v="9.2779904999999996"/>
    <n v="9.2779904999999996"/>
    <n v="0.172319845"/>
    <n v="22.802"/>
    <n v="17.600999999999999"/>
    <m/>
    <n v="0"/>
    <n v="104.63800000000001"/>
    <m/>
    <s v=""/>
    <n v="0"/>
  </r>
  <r>
    <s v="Kuwait"/>
    <x v="5"/>
    <x v="5"/>
    <n v="33.06786795"/>
    <n v="2.2474756899999999"/>
    <n v="0.37850740100000002"/>
    <n v="114.89239980000001"/>
    <n v="14.713337320000001"/>
    <n v="0"/>
    <n v="18.07651869"/>
    <n v="6.008"/>
    <n v="42.566000000000003"/>
    <n v="9.2780000000000005"/>
    <n v="9.2780000000000005"/>
    <n v="0.16841445799999999"/>
    <n v="23.724"/>
    <n v="17.655999999999999"/>
    <m/>
    <n v="0"/>
    <n v="105.616"/>
    <m/>
    <s v=""/>
    <n v="0"/>
  </r>
  <r>
    <s v="Kuwait"/>
    <x v="6"/>
    <x v="5"/>
    <n v="32.195440290000001"/>
    <n v="2.2235659490000002"/>
    <n v="0.36630465400000001"/>
    <n v="115.2098263"/>
    <n v="14.47919289"/>
    <n v="0"/>
    <n v="20.687197690000001"/>
    <n v="5.6719999999999997"/>
    <n v="41.05"/>
    <n v="9.3019999999999996"/>
    <n v="9.3019999999999996"/>
    <n v="0.16473748099999999"/>
    <n v="25.475000000000001"/>
    <n v="18.933"/>
    <m/>
    <n v="0"/>
    <n v="105.90900000000001"/>
    <m/>
    <s v=""/>
    <n v="0"/>
  </r>
  <r>
    <s v="Kuwait"/>
    <x v="7"/>
    <x v="5"/>
    <n v="33.284774579999997"/>
    <n v="2.2772816050000002"/>
    <n v="0.36955821300000002"/>
    <n v="115.136251"/>
    <n v="14.6160117"/>
    <n v="0"/>
    <n v="21.941762149999999"/>
    <n v="6.0330000000000004"/>
    <n v="45.667999999999999"/>
    <n v="9.27"/>
    <n v="9.27"/>
    <n v="0.16228041900000001"/>
    <n v="26.724"/>
    <n v="19.920000000000002"/>
    <m/>
    <n v="0"/>
    <n v="105.86199999999999"/>
    <m/>
    <s v=""/>
    <n v="0"/>
  </r>
  <r>
    <s v="Kuwait"/>
    <x v="8"/>
    <x v="5"/>
    <n v="39.29640689"/>
    <n v="2.3584163409999999"/>
    <n v="0.420891607"/>
    <n v="117.4205475"/>
    <n v="16.662200899999998"/>
    <n v="0"/>
    <n v="21.324354809999999"/>
    <n v="7.3220000000000001"/>
    <n v="44.356000000000002"/>
    <n v="9.4909999999999997"/>
    <n v="9.4909999999999997"/>
    <n v="0.178463658"/>
    <n v="29.984000000000002"/>
    <n v="22.454999999999998"/>
    <m/>
    <n v="0"/>
    <n v="107.93300000000001"/>
    <m/>
    <s v=""/>
    <n v="0"/>
  </r>
  <r>
    <s v="Kuwait"/>
    <x v="9"/>
    <x v="5"/>
    <n v="43.256479429999999"/>
    <n v="2.421754462"/>
    <n v="0.47174630000000001"/>
    <n v="107.6706226"/>
    <n v="17.861628870000001"/>
    <n v="0"/>
    <n v="22.60076419"/>
    <n v="8.4789999999999992"/>
    <n v="46.93"/>
    <n v="8.6880000000000006"/>
    <n v="8.6880000000000006"/>
    <n v="0.194795264"/>
    <n v="31.576000000000001"/>
    <n v="23.489000000000001"/>
    <m/>
    <n v="0"/>
    <n v="98.981999999999999"/>
    <m/>
    <s v=""/>
    <n v="0"/>
  </r>
  <r>
    <s v="Kuwait"/>
    <x v="10"/>
    <x v="5"/>
    <n v="46.557731359999998"/>
    <n v="2.5088196859999998"/>
    <n v="0.48498123500000001"/>
    <n v="114.23074250000001"/>
    <n v="18.557623580000001"/>
    <n v="0"/>
    <n v="21.141247190000001"/>
    <n v="8.1479999999999997"/>
    <n v="38.685000000000002"/>
    <n v="9.6"/>
    <n v="9.6"/>
    <n v="0.19331051899999999"/>
    <n v="32.323"/>
    <n v="23.907"/>
    <m/>
    <n v="0"/>
    <n v="104.706"/>
    <m/>
    <s v=""/>
    <n v="0"/>
  </r>
  <r>
    <s v="Kuwait"/>
    <x v="11"/>
    <x v="5"/>
    <n v="50.479685379999999"/>
    <n v="2.5493237720000002"/>
    <n v="0.52471594300000002"/>
    <n v="111.91583919999999"/>
    <n v="19.80120608"/>
    <n v="0"/>
    <n v="22.425767140000001"/>
    <n v="8.7050000000000001"/>
    <n v="34.436"/>
    <n v="9.5"/>
    <n v="9.5"/>
    <n v="0.20582554"/>
    <n v="34.298999999999999"/>
    <n v="25.5"/>
    <m/>
    <n v="0"/>
    <n v="102.508"/>
    <m/>
    <s v=""/>
    <n v="0"/>
  </r>
  <r>
    <s v="Kuwait"/>
    <x v="12"/>
    <x v="5"/>
    <n v="52.419896459999997"/>
    <n v="2.620526189"/>
    <n v="0.52893990700000004"/>
    <n v="100.7424053"/>
    <n v="20.003576639999999"/>
    <n v="0"/>
    <n v="23.501605219999998"/>
    <n v="9.8989999999999991"/>
    <n v="37.530999999999999"/>
    <n v="8.7100000000000009"/>
    <n v="8.7100000000000009"/>
    <n v="0.20184492300000001"/>
    <n v="36.362000000000002"/>
    <n v="27.053000000000001"/>
    <m/>
    <n v="0"/>
    <n v="92.146000000000001"/>
    <m/>
    <s v=""/>
    <n v="0"/>
  </r>
  <r>
    <s v="Kuwait"/>
    <x v="13"/>
    <x v="5"/>
    <n v="54.387625450000002"/>
    <n v="2.5371829830000001"/>
    <n v="0.46775230200000001"/>
    <n v="120.8948157"/>
    <n v="21.436225060000002"/>
    <n v="0"/>
    <n v="19.312791539999999"/>
    <n v="11.420999999999999"/>
    <n v="43.747999999999998"/>
    <n v="10"/>
    <n v="10"/>
    <n v="0.18435891500000001"/>
    <n v="38.576999999999998"/>
    <n v="26.341000000000001"/>
    <m/>
    <n v="0"/>
    <n v="110.943"/>
    <m/>
    <s v=""/>
    <n v="0"/>
  </r>
  <r>
    <s v="Kuwait"/>
    <x v="14"/>
    <x v="5"/>
    <n v="58.32738045"/>
    <n v="2.4646636220000002"/>
    <n v="0.45503827600000002"/>
    <n v="131.47439130000001"/>
    <n v="23.665452729999998"/>
    <n v="0"/>
    <n v="20.251198859999999"/>
    <n v="12.048"/>
    <n v="43.945999999999998"/>
    <n v="10.9"/>
    <n v="10.9"/>
    <n v="0.18462490000000001"/>
    <n v="41.256999999999998"/>
    <n v="28.303999999999998"/>
    <m/>
    <n v="0"/>
    <n v="120.63200000000001"/>
    <m/>
    <s v=""/>
    <n v="0"/>
  </r>
  <r>
    <s v="Kuwait"/>
    <x v="15"/>
    <x v="5"/>
    <n v="66.212405950000004"/>
    <n v="2.4630930389999999"/>
    <n v="0.46700785299999997"/>
    <n v="146.75522749999999"/>
    <n v="26.881812790000001"/>
    <n v="0"/>
    <n v="19.244689099999999"/>
    <n v="12.685"/>
    <n v="44.911999999999999"/>
    <n v="12.3"/>
    <n v="12.3"/>
    <n v="0.189602198"/>
    <n v="43.734000000000002"/>
    <n v="31.545999999999999"/>
    <m/>
    <n v="0"/>
    <n v="134.547"/>
    <m/>
    <s v=""/>
    <n v="0"/>
  </r>
  <r>
    <s v="Kuwait"/>
    <x v="16"/>
    <x v="5"/>
    <n v="68.000561730000001"/>
    <n v="2.7514510379999999"/>
    <n v="0.44609686599999998"/>
    <n v="150.86812929999999"/>
    <n v="24.714436410000001"/>
    <n v="0"/>
    <n v="21.812445960000002"/>
    <n v="13.625999999999999"/>
    <n v="46.945999999999998"/>
    <n v="12.41"/>
    <n v="12.41"/>
    <n v="0.16213149399999999"/>
    <n v="47.604999999999997"/>
    <n v="32.738"/>
    <m/>
    <n v="0"/>
    <n v="138.506"/>
    <m/>
    <s v=""/>
    <n v="0"/>
  </r>
  <r>
    <s v="Kuwait"/>
    <x v="17"/>
    <x v="5"/>
    <n v="68.275414940000005"/>
    <n v="2.782760643"/>
    <n v="0.42258071400000002"/>
    <n v="146.78913080000001"/>
    <n v="24.535137479999999"/>
    <n v="0"/>
    <n v="23.121000080000002"/>
    <n v="13.164999999999999"/>
    <n v="47.636000000000003"/>
    <n v="12.06"/>
    <n v="12.06"/>
    <n v="0.15185665200000001"/>
    <n v="48.753999999999998"/>
    <n v="33.369999999999997"/>
    <m/>
    <n v="0"/>
    <n v="134.773"/>
    <m/>
    <s v=""/>
    <n v="0"/>
  </r>
  <r>
    <s v="Kuwait"/>
    <x v="18"/>
    <x v="5"/>
    <n v="72.836033900000004"/>
    <n v="2.57447442"/>
    <n v="0.439899559"/>
    <n v="153.05665669999999"/>
    <n v="28.291612969999999"/>
    <n v="0"/>
    <n v="21.608200790000001"/>
    <n v="15.897"/>
    <n v="46.936999999999998"/>
    <n v="12.7"/>
    <n v="12.7"/>
    <n v="0.17086965600000001"/>
    <n v="51.749000000000002"/>
    <n v="35.226999999999997"/>
    <m/>
    <n v="0"/>
    <n v="140.42699999999999"/>
    <m/>
    <s v=""/>
    <n v="0"/>
  </r>
  <r>
    <s v="Kuwait"/>
    <x v="19"/>
    <x v="5"/>
    <n v="75.435598380000002"/>
    <n v="2.6237861219999998"/>
    <n v="0.49029328500000002"/>
    <n v="130.4369877"/>
    <n v="28.75066597"/>
    <n v="0"/>
    <n v="20.413084919999999"/>
    <n v="15.659000000000001"/>
    <n v="44.731999999999999"/>
    <n v="11.489000000000001"/>
    <n v="12.379"/>
    <n v="0.18686480599999999"/>
    <n v="53.216000000000001"/>
    <n v="35.927"/>
    <m/>
    <n v="0"/>
    <n v="119.137"/>
    <m/>
    <s v=""/>
    <n v="0"/>
  </r>
  <r>
    <s v="Kuwait"/>
    <x v="20"/>
    <x v="5"/>
    <n v="78.997723370000003"/>
    <n v="2.7047555459999999"/>
    <n v="0.52591236200000002"/>
    <n v="134.55658589999999"/>
    <n v="29.206973430000001"/>
    <n v="0"/>
    <n v="19.711239989999999"/>
    <n v="16.253"/>
    <n v="46.418999999999997"/>
    <n v="11.733000000000001"/>
    <n v="14.523"/>
    <n v="0.19443988700000001"/>
    <n v="57.082000000000001"/>
    <n v="38.417999999999999"/>
    <m/>
    <n v="0"/>
    <n v="122.99299999999999"/>
    <m/>
    <s v=""/>
    <n v="0"/>
  </r>
  <r>
    <s v="Kuwait"/>
    <x v="21"/>
    <x v="5"/>
    <n v="81.81995938"/>
    <n v="2.9420787750000001"/>
    <n v="0.49686092599999998"/>
    <n v="154.20380320000001"/>
    <n v="27.810254459999999"/>
    <n v="0"/>
    <n v="19.119226040000001"/>
    <n v="15.46"/>
    <n v="46.219000000000001"/>
    <n v="13.532999999999999"/>
    <n v="16.992999999999999"/>
    <n v="0.168880905"/>
    <n v="57.488999999999997"/>
    <n v="38.802"/>
    <m/>
    <n v="0"/>
    <n v="140.88300000000001"/>
    <m/>
    <s v=""/>
    <n v="0"/>
  </r>
  <r>
    <s v="Kuwait"/>
    <x v="22"/>
    <x v="5"/>
    <n v="84.663478179999998"/>
    <n v="2.9110126439999999"/>
    <n v="0.48217755800000001"/>
    <n v="173.1110118"/>
    <n v="29.083857940000001"/>
    <n v="0"/>
    <n v="19.31729245"/>
    <n v="16.561"/>
    <n v="47.673999999999999"/>
    <n v="15.515000000000001"/>
    <n v="18.164999999999999"/>
    <n v="0.165639115"/>
    <n v="61.119"/>
    <n v="41.685000000000002"/>
    <m/>
    <n v="0"/>
    <n v="157.898"/>
    <m/>
    <s v=""/>
    <n v="0"/>
  </r>
  <r>
    <s v="Kuwait"/>
    <x v="23"/>
    <x v="5"/>
    <n v="85.450234409999993"/>
    <n v="2.878378691"/>
    <n v="0.48112994199999998"/>
    <n v="170.34054269999999"/>
    <n v="29.686932670000001"/>
    <n v="6.5593129999999998E-3"/>
    <n v="19.993009149999999"/>
    <n v="16.524000000000001"/>
    <n v="45.869"/>
    <n v="16.310995909999999"/>
    <n v="18.491015879999999"/>
    <n v="0.167153107"/>
    <n v="60.981999999999999"/>
    <n v="41.56"/>
    <m/>
    <n v="6.5593129999999998E-3"/>
    <n v="154.53100000000001"/>
    <m/>
    <s v=""/>
    <n v="0"/>
  </r>
  <r>
    <s v="Kuwait"/>
    <x v="24"/>
    <x v="5"/>
    <n v="83.591778390000002"/>
    <n v="3.1165664190000002"/>
    <n v="0.46831895400000001"/>
    <n v="166.5736473"/>
    <n v="26.821754179999999"/>
    <n v="1.0746085000000001E-2"/>
    <n v="22.320619570000002"/>
    <n v="15.722"/>
    <n v="46.106000000000002"/>
    <n v="15.028987219999999"/>
    <n v="18.338982519999998"/>
    <n v="0.150267599"/>
    <n v="65.14"/>
    <n v="44.145000000000003"/>
    <m/>
    <n v="1.0746085000000001E-2"/>
    <n v="151.85400000000001"/>
    <m/>
    <s v=""/>
    <n v="0"/>
  </r>
  <r>
    <s v="Kuwait"/>
    <x v="25"/>
    <x v="5"/>
    <n v="87.885835049999997"/>
    <n v="2.6630224419999999"/>
    <n v="0.48947477299999997"/>
    <n v="168.01172879999999"/>
    <n v="33.002288550000003"/>
    <n v="1.3179475E-2"/>
    <n v="22.681514830000001"/>
    <n v="16.853000000000002"/>
    <n v="46.91"/>
    <n v="16.908999999999999"/>
    <n v="20.899000000000001"/>
    <n v="0.18380422399999999"/>
    <n v="68.287999999999997"/>
    <n v="48.063000000000002"/>
    <m/>
    <n v="1.3179475E-2"/>
    <n v="151.75700000000001"/>
    <m/>
    <s v=""/>
    <n v="0"/>
  </r>
  <r>
    <s v="Kuwait"/>
    <x v="26"/>
    <x v="5"/>
    <n v="89.775580300000001"/>
    <n v="2.4838257690000001"/>
    <n v="0.485784938"/>
    <n v="174.3871886"/>
    <n v="36.144073159999998"/>
    <n v="7.5622458000000004E-2"/>
    <n v="22.96782919"/>
    <n v="16.747"/>
    <n v="43.715000000000003"/>
    <n v="17.291"/>
    <n v="22.251000000000001"/>
    <n v="0.195579313"/>
    <n v="70.084999999999994"/>
    <n v="50.051000000000002"/>
    <m/>
    <n v="7.5622458000000004E-2"/>
    <n v="157.71899999999999"/>
    <m/>
    <s v=""/>
    <n v="0"/>
  </r>
  <r>
    <s v="Kuwait"/>
    <x v="27"/>
    <x v="5"/>
    <n v="89.668303760000001"/>
    <n v="2.6014202389999999"/>
    <n v="0.50919967499999996"/>
    <n v="162.19801369999999"/>
    <n v="34.468980600000002"/>
    <n v="9.1792603E-2"/>
    <n v="23.46050301"/>
    <n v="15.710433"/>
    <n v="38.838675000000002"/>
    <n v="17.101726580000001"/>
    <n v="22.631726579999999"/>
    <n v="0.195739107"/>
    <n v="72.787999999999997"/>
    <n v="53.030988999999998"/>
    <m/>
    <n v="9.1792603E-2"/>
    <n v="145.87117000000001"/>
    <m/>
    <s v=""/>
    <n v="0"/>
  </r>
  <r>
    <s v="Kuwait"/>
    <x v="28"/>
    <x v="5"/>
    <n v="89.421648000000005"/>
    <n v="2.629531466"/>
    <n v="0.50154960199999998"/>
    <n v="164.54960779999999"/>
    <n v="34.006684900000003"/>
    <n v="0.112925253"/>
    <n v="24.34390423"/>
    <n v="16.090185000000002"/>
    <n v="39.299402000000001"/>
    <n v="17.73778029"/>
    <n v="22.71778029"/>
    <n v="0.190737251"/>
    <n v="74.102999999999994"/>
    <n v="54.086623000000003"/>
    <m/>
    <n v="0.112925253"/>
    <n v="147.672607"/>
    <m/>
    <s v=""/>
    <n v="0"/>
  </r>
  <r>
    <s v="Kuwait"/>
    <x v="29"/>
    <x v="5"/>
    <n v="92.938136810000003"/>
    <n v="2.5819582560000001"/>
    <n v="0.51906173899999997"/>
    <n v="162.7235125"/>
    <n v="35.995212780000003"/>
    <n v="0.21320384100000001"/>
    <n v="23.67174473"/>
    <n v="16.334279540000001"/>
    <n v="36.089338130000002"/>
    <n v="19.359521950000001"/>
    <n v="24.574521950000001"/>
    <n v="0.201034133"/>
    <n v="75.070999999999998"/>
    <n v="54.793151090000002"/>
    <m/>
    <n v="0.21320384100000001"/>
    <n v="144.5523843"/>
    <m/>
    <s v=""/>
    <n v="0"/>
  </r>
  <r>
    <s v="Kuwait"/>
    <x v="30"/>
    <x v="5"/>
    <n v="94.666803880000003"/>
    <n v="2.5217432209999999"/>
    <n v="0.57517311900000001"/>
    <n v="151.14835059999999"/>
    <n v="37.540223400000002"/>
    <n v="0.271767392"/>
    <n v="22.736388829999999"/>
    <n v="15.382077089999999"/>
    <n v="33.141479510000003"/>
    <n v="21.290522859999999"/>
    <n v="27.456434569999999"/>
    <n v="0.22808552200000001"/>
    <n v="74.575000000000003"/>
    <n v="54.364663550000003"/>
    <m/>
    <n v="0.271767392"/>
    <n v="131.59772699999999"/>
    <m/>
    <s v=""/>
    <n v="0"/>
  </r>
  <r>
    <s v="Malaysia"/>
    <x v="0"/>
    <x v="2"/>
    <n v="50.738059790000001"/>
    <n v="2.391922391"/>
    <n v="0.27290635499999999"/>
    <n v="47.749219109999999"/>
    <n v="21.212251689999999"/>
    <n v="17.33142162"/>
    <n v="12.79793525"/>
    <n v="12.077"/>
    <n v="10.086"/>
    <n v="18.356009069999999"/>
    <n v="8.1840046270000002"/>
    <n v="0.11409498799999999"/>
    <n v="23.015999999999998"/>
    <n v="19.945"/>
    <n v="2.1040000000000001"/>
    <n v="0"/>
    <n v="30.029"/>
    <n v="0.111"/>
    <s v=""/>
    <n v="-1.9930000000000001"/>
  </r>
  <r>
    <s v="Malaysia"/>
    <x v="1"/>
    <x v="2"/>
    <n v="61.257305420000002"/>
    <n v="2.328974836"/>
    <n v="0.30077606299999998"/>
    <n v="51.967602739999997"/>
    <n v="26.302261609999999"/>
    <n v="16.601385960000002"/>
    <n v="13.05886213"/>
    <n v="12.958"/>
    <n v="10.228"/>
    <n v="21.79697672"/>
    <n v="11.62299956"/>
    <n v="0.12914526100000001"/>
    <n v="26.552"/>
    <n v="22.388000000000002"/>
    <n v="2.4780000000000002"/>
    <n v="0"/>
    <n v="31.219000000000001"/>
    <n v="0.2"/>
    <s v=""/>
    <n v="-2.278"/>
  </r>
  <r>
    <s v="Malaysia"/>
    <x v="2"/>
    <x v="2"/>
    <n v="64.389768529999998"/>
    <n v="2.2153274920000001"/>
    <n v="0.29035794799999998"/>
    <n v="53.349421210000003"/>
    <n v="29.065575519999999"/>
    <n v="14.87431359"/>
    <n v="13.610032159999999"/>
    <n v="13.523"/>
    <n v="9.5259999999999998"/>
    <n v="22.592001880000002"/>
    <n v="12.59700321"/>
    <n v="0.13106773099999999"/>
    <n v="29.318999999999999"/>
    <n v="25.795000000000002"/>
    <n v="2.6019999999999999"/>
    <n v="0"/>
    <n v="31.978999999999999"/>
    <n v="8.4000000000000005E-2"/>
    <s v=""/>
    <n v="-2.5179999999999998"/>
  </r>
  <r>
    <s v="Malaysia"/>
    <x v="3"/>
    <x v="2"/>
    <n v="70.177340150000006"/>
    <n v="2.2260322750000001"/>
    <n v="0.28796257600000003"/>
    <n v="55.44497415"/>
    <n v="31.525751419999999"/>
    <n v="14.027461929999999"/>
    <n v="13.80218582"/>
    <n v="14.643000000000001"/>
    <n v="10.766999999999999"/>
    <n v="24.586009659999998"/>
    <n v="12.09499982"/>
    <n v="0.12936136600000001"/>
    <n v="34.738999999999997"/>
    <n v="28.494"/>
    <n v="2.1749999999999998"/>
    <n v="0"/>
    <n v="31.654"/>
    <n v="0.41899999999999998"/>
    <s v=""/>
    <n v="-1.7559999999999998"/>
  </r>
  <r>
    <s v="Malaysia"/>
    <x v="4"/>
    <x v="2"/>
    <n v="75.333747869999996"/>
    <n v="2.3862984539999998"/>
    <n v="0.28304676299999998"/>
    <n v="57.354935310000002"/>
    <n v="31.569289980000001"/>
    <n v="16.685421989999998"/>
    <n v="15.258342300000001"/>
    <n v="15.179"/>
    <n v="14.404"/>
    <n v="25.468984880000001"/>
    <n v="14.771991870000001"/>
    <n v="0.118613312"/>
    <n v="39.1"/>
    <n v="34.097999999999999"/>
    <n v="2.4159999999999999"/>
    <n v="0"/>
    <n v="32.793999999999997"/>
    <n v="0.14099999999999999"/>
    <s v=""/>
    <n v="-2.2749999999999999"/>
  </r>
  <r>
    <s v="Malaysia"/>
    <x v="5"/>
    <x v="2"/>
    <n v="82.462204779999993"/>
    <n v="2.4049058250000002"/>
    <n v="0.28210201899999998"/>
    <n v="63.77743675"/>
    <n v="34.289161720000003"/>
    <n v="13.686155469999999"/>
    <n v="15.38407832"/>
    <n v="17.54"/>
    <n v="18.074999999999999"/>
    <n v="29.178998379999999"/>
    <n v="14.478995749999999"/>
    <n v="0.11730272999999999"/>
    <n v="45.462000000000003"/>
    <n v="39.250999999999998"/>
    <n v="2.6469999999999998"/>
    <n v="0"/>
    <n v="35.976999999999997"/>
    <n v="0.13500000000000001"/>
    <s v=""/>
    <n v="-2.5119999999999996"/>
  </r>
  <r>
    <s v="Malaysia"/>
    <x v="6"/>
    <x v="2"/>
    <n v="92.929349889999997"/>
    <n v="2.446071157"/>
    <n v="0.28900197100000002"/>
    <n v="69.839393770000001"/>
    <n v="37.991270049999997"/>
    <n v="10.088299360000001"/>
    <n v="15.864092579999999"/>
    <n v="18.629000000000001"/>
    <n v="19.192"/>
    <n v="36.382995530000002"/>
    <n v="16.519980029999999"/>
    <n v="0.118149454"/>
    <n v="51.415999999999997"/>
    <n v="43.927"/>
    <n v="2.66"/>
    <n v="0"/>
    <n v="35.988"/>
    <n v="0.24299999999999999"/>
    <s v=""/>
    <n v="-2.4170000000000003"/>
  </r>
  <r>
    <s v="Malaysia"/>
    <x v="7"/>
    <x v="2"/>
    <n v="100.1575673"/>
    <n v="2.2610982590000002"/>
    <n v="0.290228404"/>
    <n v="73.921977530000007"/>
    <n v="44.295981789999999"/>
    <n v="6.6910837379999997"/>
    <n v="17.054972920000001"/>
    <n v="19.853000000000002"/>
    <n v="17.39"/>
    <n v="41.430955500000003"/>
    <n v="19.853015360000001"/>
    <n v="0.12835727199999999"/>
    <n v="57.883000000000003"/>
    <n v="50.985999999999997"/>
    <n v="2.573"/>
    <n v="0"/>
    <n v="35.935000000000002"/>
    <n v="0.24299999999999999"/>
    <s v=""/>
    <n v="-2.33"/>
  </r>
  <r>
    <s v="Malaysia"/>
    <x v="8"/>
    <x v="2"/>
    <n v="100.2828968"/>
    <n v="2.405219974"/>
    <n v="0.31367631600000001"/>
    <n v="74.496358240000006"/>
    <n v="41.693856629999999"/>
    <n v="7.9969033620000003"/>
    <n v="18.350737859999999"/>
    <n v="18.492999999999999"/>
    <n v="17.797999999999998"/>
    <n v="41.881006489999997"/>
    <n v="19.50801796"/>
    <n v="0.13041481399999999"/>
    <n v="60.710999999999999"/>
    <n v="53.234999999999999"/>
    <n v="2.746"/>
    <n v="0"/>
    <n v="35.975999999999999"/>
    <n v="0.35"/>
    <s v=""/>
    <n v="-2.3959999999999999"/>
  </r>
  <r>
    <s v="Malaysia"/>
    <x v="9"/>
    <x v="2"/>
    <n v="108.61625050000001"/>
    <n v="2.5703156589999998"/>
    <n v="0.32009607699999998"/>
    <n v="72.989622609999998"/>
    <n v="42.257942180000001"/>
    <n v="11.53557249"/>
    <n v="17.990090460000001"/>
    <n v="18.763000000000002"/>
    <n v="18.68"/>
    <n v="43.424002080000001"/>
    <n v="22.960019769999999"/>
    <n v="0.124535707"/>
    <n v="65.233000000000004"/>
    <n v="55.999000000000002"/>
    <n v="3.077"/>
    <n v="0"/>
    <n v="33.076999999999998"/>
    <n v="0.27600000000000002"/>
    <s v=""/>
    <n v="-2.8010000000000002"/>
  </r>
  <r>
    <s v="Malaysia"/>
    <x v="10"/>
    <x v="2"/>
    <n v="117.99481369999999"/>
    <n v="2.4346230050000002"/>
    <n v="0.31943658200000002"/>
    <n v="77.12533372"/>
    <n v="48.465332619999998"/>
    <n v="10.05847953"/>
    <n v="18.076908979999999"/>
    <n v="19.015000000000001"/>
    <n v="21.814"/>
    <n v="50.443982439999999"/>
    <n v="27.27199766"/>
    <n v="0.131205768"/>
    <n v="69.254999999999995"/>
    <n v="61.204999999999998"/>
    <n v="3.9430000000000001"/>
    <n v="0"/>
    <n v="31.318999999999999"/>
    <n v="0.38400000000000001"/>
    <s v=""/>
    <n v="-3.5590000000000002"/>
  </r>
  <r>
    <s v="Malaysia"/>
    <x v="11"/>
    <x v="2"/>
    <n v="123.6005141"/>
    <n v="2.4342199469999999"/>
    <n v="0.33288909799999999"/>
    <n v="78.266718769999997"/>
    <n v="50.776230890000001"/>
    <n v="9.9290979690000007"/>
    <n v="18.168275269999999"/>
    <n v="19.821999999999999"/>
    <n v="23.448"/>
    <n v="49.091979180000003"/>
    <n v="28.767994089999998"/>
    <n v="0.13675391100000001"/>
    <n v="71.084000000000003"/>
    <n v="65.055999999999997"/>
    <n v="4.7640000000000002"/>
    <n v="0"/>
    <n v="33.447000000000003"/>
    <n v="0.54600000000000004"/>
    <s v=""/>
    <n v="-4.218"/>
  </r>
  <r>
    <s v="Malaysia"/>
    <x v="12"/>
    <x v="2"/>
    <n v="129.85106300000001"/>
    <n v="2.4784020889999998"/>
    <n v="0.33183434000000001"/>
    <n v="81.369516919999995"/>
    <n v="52.393057460000001"/>
    <n v="7.1448773719999998"/>
    <n v="18.222210260000001"/>
    <n v="20.893000000000001"/>
    <n v="22.335000000000001"/>
    <n v="50.634049519999998"/>
    <n v="28.70400897"/>
    <n v="0.133890438"/>
    <n v="74.248999999999995"/>
    <n v="68.876999999999995"/>
    <n v="5.7709999999999999"/>
    <n v="0"/>
    <n v="35.479999999999997"/>
    <n v="0.35299999999999998"/>
    <s v=""/>
    <n v="-5.4180000000000001"/>
  </r>
  <r>
    <s v="Malaysia"/>
    <x v="13"/>
    <x v="2"/>
    <n v="135.8937645"/>
    <n v="2.4228369249999999"/>
    <n v="0.32827430499999999"/>
    <n v="84.65217869"/>
    <n v="56.088696300000002"/>
    <n v="6.4433088229999997"/>
    <n v="18.712672439999999"/>
    <n v="20.111999999999998"/>
    <n v="22.721"/>
    <n v="52.993956599999997"/>
    <n v="30.266987010000001"/>
    <n v="0.13549170499999999"/>
    <n v="78.468999999999994"/>
    <n v="73.42"/>
    <n v="8.4329999999999998"/>
    <n v="0"/>
    <n v="36.938000000000002"/>
    <n v="0.17499999999999999"/>
    <s v=""/>
    <n v="-8.2579999999999991"/>
  </r>
  <r>
    <s v="Malaysia"/>
    <x v="14"/>
    <x v="2"/>
    <n v="149.4419542"/>
    <n v="2.4735097349999999"/>
    <n v="0.33806950800000002"/>
    <n v="91.989844140000002"/>
    <n v="60.416966250000002"/>
    <n v="7.0864323560000004"/>
    <n v="18.29699681"/>
    <n v="21.449000000000002"/>
    <n v="22.893999999999998"/>
    <n v="60.457027259999997"/>
    <n v="32.413010300000003"/>
    <n v="0.136676037"/>
    <n v="82.284000000000006"/>
    <n v="77.251999999999995"/>
    <n v="10.518000000000001"/>
    <n v="0"/>
    <n v="37.737000000000002"/>
    <n v="0.38900000000000001"/>
    <s v=""/>
    <n v="-10.129000000000001"/>
  </r>
  <r>
    <s v="Malaysia"/>
    <x v="15"/>
    <x v="2"/>
    <n v="158.76113530000001"/>
    <n v="2.4064361170000002"/>
    <n v="0.34097045999999998"/>
    <n v="95.823073390000005"/>
    <n v="65.973550739999993"/>
    <n v="6.28016402"/>
    <n v="18.62176169"/>
    <n v="21.495999999999999"/>
    <n v="22.617000000000001"/>
    <n v="65.628016000000002"/>
    <n v="37.10398859"/>
    <n v="0.14169105000000001"/>
    <n v="82.673000000000002"/>
    <n v="80.754999999999995"/>
    <n v="10.920999999999999"/>
    <n v="1.4067859999999999E-3"/>
    <n v="37.073"/>
    <n v="0.78800000000000003"/>
    <s v=""/>
    <n v="-10.132999999999999"/>
  </r>
  <r>
    <s v="Malaysia"/>
    <x v="16"/>
    <x v="2"/>
    <n v="165.68399260000001"/>
    <n v="2.4979299300000002"/>
    <n v="0.33701677299999999"/>
    <n v="93.245656760000003"/>
    <n v="66.328518919999993"/>
    <n v="7.1724368250000001"/>
    <n v="18.547854749999999"/>
    <n v="21.637"/>
    <n v="24.33"/>
    <n v="64.695930880000006"/>
    <n v="39.404949960000003"/>
    <n v="0.13491842500000001"/>
    <n v="89.83"/>
    <n v="84.572999999999993"/>
    <n v="11.22"/>
    <n v="1.346819E-3"/>
    <n v="35.173000000000002"/>
    <n v="0.90100000000000002"/>
    <s v=""/>
    <n v="-10.319000000000001"/>
  </r>
  <r>
    <s v="Malaysia"/>
    <x v="17"/>
    <x v="2"/>
    <n v="184.24990819999999"/>
    <n v="2.5410469089999999"/>
    <n v="0.35257372100000001"/>
    <n v="93.017486649999995"/>
    <n v="72.509447780000002"/>
    <n v="6.6563435740000001"/>
    <n v="17.25871583"/>
    <n v="25.19"/>
    <n v="26.526"/>
    <n v="64.361039419999997"/>
    <n v="40.723019260000001"/>
    <n v="0.13875136299999999"/>
    <n v="97.516000000000005"/>
    <n v="89.358000000000004"/>
    <n v="14.023"/>
    <n v="1.2743889999999999E-3"/>
    <n v="35.122"/>
    <n v="1.075"/>
    <s v=""/>
    <n v="-12.948"/>
  </r>
  <r>
    <s v="Malaysia"/>
    <x v="18"/>
    <x v="2"/>
    <n v="194.8861952"/>
    <n v="2.571281113"/>
    <n v="0.35573845799999998"/>
    <n v="96.19565652"/>
    <n v="75.79342226"/>
    <n v="7.6287563519999999"/>
    <n v="17.929932820000001"/>
    <n v="24.451000000000001"/>
    <n v="27.398"/>
    <n v="67.652004649999995"/>
    <n v="45.274018320000003"/>
    <n v="0.13835066700000001"/>
    <n v="97.801000000000002"/>
    <n v="92.881"/>
    <n v="15.516999999999999"/>
    <n v="1.215303E-3"/>
    <n v="35.237000000000002"/>
    <n v="1.254"/>
    <s v=""/>
    <n v="-14.263"/>
  </r>
  <r>
    <s v="Malaysia"/>
    <x v="19"/>
    <x v="2"/>
    <n v="176.6580147"/>
    <n v="2.4574544070000002"/>
    <n v="0.32742098400000003"/>
    <n v="89.640284199999996"/>
    <n v="71.886588869999997"/>
    <n v="7.0058532969999998"/>
    <n v="20.720606849999999"/>
    <n v="25.739000000000001"/>
    <n v="25.696000000000002"/>
    <n v="61.583003810000001"/>
    <n v="37.719024689999998"/>
    <n v="0.133235833"/>
    <n v="116.003"/>
    <n v="102.92"/>
    <n v="16.585999999999999"/>
    <n v="1.209585E-3"/>
    <n v="33.441000000000003"/>
    <n v="2.1379999999999999"/>
    <s v=""/>
    <n v="-14.447999999999999"/>
  </r>
  <r>
    <s v="Malaysia"/>
    <x v="20"/>
    <x v="2"/>
    <n v="193.74796449999999"/>
    <n v="2.6403059280000001"/>
    <n v="0.33427628500000001"/>
    <n v="89.283921649999996"/>
    <n v="73.380876990000004"/>
    <n v="5.992659433"/>
    <n v="22.838423980000002"/>
    <n v="24.04"/>
    <n v="23.187999999999999"/>
    <n v="60.459047050000002"/>
    <n v="36.761990179999998"/>
    <n v="0.12660513400000001"/>
    <n v="124.786"/>
    <n v="110.85299999999999"/>
    <n v="23.440999999999999"/>
    <n v="1.113214E-3"/>
    <n v="34.073999999999998"/>
    <n v="2.3969999999999998"/>
    <s v=""/>
    <n v="-21.044"/>
  </r>
  <r>
    <s v="Malaysia"/>
    <x v="21"/>
    <x v="2"/>
    <n v="199.36003769999999"/>
    <n v="2.6181583060000002"/>
    <n v="0.32666549299999997"/>
    <n v="87.398310839999994"/>
    <n v="76.145142649999997"/>
    <n v="6.7201410859999999"/>
    <n v="21.99030509"/>
    <n v="26.527999999999999"/>
    <n v="25.626999999999999"/>
    <n v="62.441991710000003"/>
    <n v="37.267999869999997"/>
    <n v="0.124769191"/>
    <n v="129.28299999999999"/>
    <n v="111.852"/>
    <n v="23.431999999999999"/>
    <n v="1.0254730000000001E-3"/>
    <n v="30.175999999999998"/>
    <n v="2.9159999999999999"/>
    <s v=""/>
    <n v="-20.515999999999998"/>
  </r>
  <r>
    <s v="Malaysia"/>
    <x v="22"/>
    <x v="2"/>
    <n v="202.5081175"/>
    <n v="2.6144804399999999"/>
    <n v="0.31460413100000001"/>
    <n v="86.755717239999996"/>
    <n v="77.456352109999997"/>
    <n v="7.3834842719999996"/>
    <n v="22.24996076"/>
    <n v="24.832999999999998"/>
    <n v="27.495000000000001"/>
    <n v="60.994007519999997"/>
    <n v="38.148953079999998"/>
    <n v="0.120331415"/>
    <n v="134.381"/>
    <n v="120.63800000000001"/>
    <n v="25.193000000000001"/>
    <n v="3.4975183E-2"/>
    <n v="30.712"/>
    <n v="2.95"/>
    <s v=""/>
    <n v="-22.243000000000002"/>
  </r>
  <r>
    <s v="Malaysia"/>
    <x v="23"/>
    <x v="2"/>
    <n v="221.33945449999999"/>
    <n v="2.5371253280000001"/>
    <n v="0.328443127"/>
    <n v="92.399410739999993"/>
    <n v="87.240252600000005"/>
    <n v="8.57764478"/>
    <n v="20.727771659999998"/>
    <n v="28.283999999999999"/>
    <n v="25.33"/>
    <n v="68.960070119999997"/>
    <n v="45.00695563"/>
    <n v="0.12945482999999999"/>
    <n v="138.34800000000001"/>
    <n v="127.377"/>
    <n v="23.9"/>
    <n v="0.101916905"/>
    <n v="29.338999999999999"/>
    <n v="2.8940000000000001"/>
    <s v=""/>
    <n v="-21.006"/>
  </r>
  <r>
    <s v="Malaysia"/>
    <x v="24"/>
    <x v="2"/>
    <n v="228.32684320000001"/>
    <n v="2.5676647639999999"/>
    <n v="0.31961334899999999"/>
    <n v="93.961051370000007"/>
    <n v="88.923930580000004"/>
    <n v="9.7078029959999999"/>
    <n v="21.245221910000001"/>
    <n v="29.353999999999999"/>
    <n v="24.07"/>
    <n v="69.735915489999996"/>
    <n v="45.357026390000001"/>
    <n v="0.124476277"/>
    <n v="147.46899999999999"/>
    <n v="128.41900000000001"/>
    <n v="24.36"/>
    <n v="0.153930657"/>
    <n v="30.218"/>
    <n v="2.6869999999999998"/>
    <s v=""/>
    <n v="-21.672999999999998"/>
  </r>
  <r>
    <s v="Malaysia"/>
    <x v="25"/>
    <x v="2"/>
    <n v="228.23492730000001"/>
    <n v="2.6844129739999998"/>
    <n v="0.304006163"/>
    <n v="95.696827990000003"/>
    <n v="85.022285870000005"/>
    <n v="9.9571684549999997"/>
    <n v="22.49560365"/>
    <n v="27.173999999999999"/>
    <n v="24.795999999999999"/>
    <n v="68.558969660000002"/>
    <n v="44.435003270000003"/>
    <n v="0.113248657"/>
    <n v="150.12299999999999"/>
    <n v="132.55199999999999"/>
    <n v="27.61"/>
    <n v="0.18185088199999999"/>
    <n v="32.890999999999998"/>
    <n v="2.5590000000000002"/>
    <s v=""/>
    <n v="-25.050999999999998"/>
  </r>
  <r>
    <s v="Malaysia"/>
    <x v="26"/>
    <x v="2"/>
    <n v="227.5047194"/>
    <n v="2.574864034"/>
    <n v="0.29012373699999999"/>
    <n v="97.058415100000005"/>
    <n v="88.356012730000003"/>
    <n v="13.461636670000001"/>
    <n v="22.46878787"/>
    <n v="27.777999999999999"/>
    <n v="26.146000000000001"/>
    <n v="67.830976590000006"/>
    <n v="42.311962880000003"/>
    <n v="0.112675362"/>
    <n v="156.66"/>
    <n v="144.12100000000001"/>
    <n v="29.957999999999998"/>
    <n v="0.19788076099999999"/>
    <n v="34.591999999999999"/>
    <n v="2.2589999999999999"/>
    <s v=""/>
    <n v="-27.698999999999998"/>
  </r>
  <r>
    <s v="Malaysia"/>
    <x v="27"/>
    <x v="2"/>
    <n v="227.8791435"/>
    <n v="2.6728493310000001"/>
    <n v="0.27482143999999997"/>
    <n v="96.3965733"/>
    <n v="85.257010510000001"/>
    <n v="16.865382589999999"/>
    <n v="20.841636260000001"/>
    <n v="28.430689999999998"/>
    <n v="28.314198999999999"/>
    <n v="66.482914899999997"/>
    <n v="38.12975574"/>
    <n v="0.102819653"/>
    <n v="164.50233399999999"/>
    <n v="146.617694"/>
    <n v="32.947907999999998"/>
    <n v="0.200622685"/>
    <n v="34.062080000000002"/>
    <n v="2.9890129999999999"/>
    <s v=""/>
    <n v="-29.958894999999998"/>
  </r>
  <r>
    <s v="Malaysia"/>
    <x v="28"/>
    <x v="2"/>
    <n v="246.2078257"/>
    <n v="2.6193265370000001"/>
    <n v="0.28348406700000001"/>
    <n v="98.809254179999996"/>
    <n v="93.996614120000004"/>
    <n v="16.571801260000001"/>
    <n v="21.038007310000001"/>
    <n v="27.726358999999999"/>
    <n v="25.964880000000001"/>
    <n v="70.113412650000001"/>
    <n v="45.906917350000001"/>
    <n v="0.108227845"/>
    <n v="170.46941100000001"/>
    <n v="152.96812700000001"/>
    <n v="35.342641"/>
    <n v="0.33635008"/>
    <n v="33.337795"/>
    <n v="2.6528580000000002"/>
    <s v=""/>
    <n v="-32.689782999999998"/>
  </r>
  <r>
    <s v="Malaysia"/>
    <x v="29"/>
    <x v="2"/>
    <n v="252.16744389999999"/>
    <n v="2.6231222320000001"/>
    <n v="0.27836781399999999"/>
    <n v="97.327492849999999"/>
    <n v="96.132555640000007"/>
    <n v="16.04431005"/>
    <n v="21.25799889"/>
    <n v="28.274868390000002"/>
    <n v="26.522883010000001"/>
    <n v="70.925451820000006"/>
    <n v="47.145996169999997"/>
    <n v="0.106120794"/>
    <n v="175.62210189999999"/>
    <n v="157.74932290000001"/>
    <n v="36.138726669999997"/>
    <n v="0.53722702600000005"/>
    <n v="30.734433979999999"/>
    <n v="3.4591786770000001"/>
    <s v=""/>
    <n v="-32.679547993"/>
  </r>
  <r>
    <s v="Malaysia"/>
    <x v="30"/>
    <x v="2"/>
    <n v="233.4943912"/>
    <n v="2.6503819559999999"/>
    <n v="0.27362486000000003"/>
    <n v="88.877426979999996"/>
    <n v="88.098393020000003"/>
    <n v="17.150131500000001"/>
    <n v="22.674398029999999"/>
    <n v="22.8709162"/>
    <n v="22.27838423"/>
    <n v="65.124152659999993"/>
    <n v="43.422405449999999"/>
    <n v="0.103239784"/>
    <n v="168.13087279999999"/>
    <n v="150.3547184"/>
    <n v="37.333089639999997"/>
    <n v="0.92339726499999997"/>
    <n v="27.51428305"/>
    <n v="2.9782985200000001"/>
    <s v=""/>
    <n v="-34.354791119999994"/>
  </r>
  <r>
    <s v="Mexico"/>
    <x v="0"/>
    <x v="1"/>
    <n v="264.6537022"/>
    <n v="2.1397182199999998"/>
    <n v="0.222142281"/>
    <n v="195.538118"/>
    <n v="123.6862404"/>
    <n v="24.69331906"/>
    <n v="10.231723369999999"/>
    <n v="68.599999999999994"/>
    <n v="72.168999999999997"/>
    <n v="25.578989839999998"/>
    <n v="25.99602299"/>
    <n v="0.10381847399999999"/>
    <n v="115.837"/>
    <n v="100.194"/>
    <n v="7.4960000000000004"/>
    <n v="4.4251836630000003"/>
    <n v="150.77600000000001"/>
    <n v="6.9329999999999998"/>
    <s v=""/>
    <n v="-0.56300000000000061"/>
  </r>
  <r>
    <s v="Mexico"/>
    <x v="1"/>
    <x v="1"/>
    <n v="284.0446973"/>
    <n v="2.1873244889999999"/>
    <n v="0.22877613999999999"/>
    <n v="204.01854180000001"/>
    <n v="129.85942349999999"/>
    <n v="22.388930370000001"/>
    <n v="9.8266809839999993"/>
    <n v="74.007999999999996"/>
    <n v="74.498999999999995"/>
    <n v="25.45901911"/>
    <n v="27.70400412"/>
    <n v="0.10459177"/>
    <n v="128.56800000000001"/>
    <n v="102.532"/>
    <n v="7.4020000000000001"/>
    <n v="4.2296683469999996"/>
    <n v="157.982"/>
    <n v="6.4630000000000001"/>
    <s v=""/>
    <n v="-0.93900000000000006"/>
  </r>
  <r>
    <s v="Mexico"/>
    <x v="2"/>
    <x v="1"/>
    <n v="286.2226708"/>
    <n v="2.1858933710000001"/>
    <n v="0.22264619999999999"/>
    <n v="203.28296549999999"/>
    <n v="130.9408201"/>
    <n v="25.655557559999998"/>
    <n v="10.14339711"/>
    <n v="74.197999999999993"/>
    <n v="74.326999999999998"/>
    <n v="24.8800174"/>
    <n v="28.07297969"/>
    <n v="0.101855929"/>
    <n v="132.864"/>
    <n v="106.12"/>
    <n v="7.3491345389999996"/>
    <n v="4.3713872829999998"/>
    <n v="158.27600000000001"/>
    <n v="6.1040000000000001"/>
    <s v=""/>
    <n v="-1.2451345389999995"/>
  </r>
  <r>
    <s v="Mexico"/>
    <x v="3"/>
    <x v="1"/>
    <n v="296.27252379999999"/>
    <n v="2.2214541680000002"/>
    <n v="0.22607528199999999"/>
    <n v="206.52785040000001"/>
    <n v="133.36873120000001"/>
    <n v="25.396357420000001"/>
    <n v="10.37721852"/>
    <n v="77.057000000000002"/>
    <n v="76.861999999999995"/>
    <n v="26.14902403"/>
    <n v="29.984962719999999"/>
    <n v="0.101769051"/>
    <n v="135.673"/>
    <n v="109.88"/>
    <n v="8.91"/>
    <n v="4.3354241450000002"/>
    <n v="159.09700000000001"/>
    <n v="6.6150000000000002"/>
    <s v=""/>
    <n v="-2.2949999999999999"/>
  </r>
  <r>
    <s v="Mexico"/>
    <x v="4"/>
    <x v="1"/>
    <n v="320.94213100000002"/>
    <n v="2.3540351780000002"/>
    <n v="0.23336886000000001"/>
    <n v="205.59382819999999"/>
    <n v="136.33701569999999"/>
    <n v="19.021824089999999"/>
    <n v="10.722704800000001"/>
    <n v="84.332999999999998"/>
    <n v="79.534999999999997"/>
    <n v="26.944975199999998"/>
    <n v="31.18498937"/>
    <n v="9.9135671999999994E-2"/>
    <n v="147.131"/>
    <n v="118.458"/>
    <n v="10.118"/>
    <n v="3.8115692819999998"/>
    <n v="158.435"/>
    <n v="8.8979999999999997"/>
    <s v=""/>
    <n v="-1.2200000000000006"/>
  </r>
  <r>
    <s v="Mexico"/>
    <x v="5"/>
    <x v="1"/>
    <n v="303.94002339999997"/>
    <n v="2.3044730699999998"/>
    <n v="0.23584345700000001"/>
    <n v="204.0970653"/>
    <n v="131.89133229999999"/>
    <n v="23.650228569999999"/>
    <n v="11.536036920000001"/>
    <n v="77.111999999999995"/>
    <n v="76.177999999999997"/>
    <n v="26.52201114"/>
    <n v="31.344029679999998"/>
    <n v="0.10234159800000001"/>
    <n v="152.24799999999999"/>
    <n v="122.669"/>
    <n v="11.057"/>
    <n v="3.731411907"/>
    <n v="154.358"/>
    <n v="9.32"/>
    <s v=""/>
    <n v="-1.7370000000000001"/>
  </r>
  <r>
    <s v="Mexico"/>
    <x v="6"/>
    <x v="1"/>
    <n v="317.35404979999998"/>
    <n v="2.353855024"/>
    <n v="0.230630896"/>
    <n v="214.3332217"/>
    <n v="134.8231079"/>
    <n v="24.664692339999998"/>
    <n v="10.53295398"/>
    <n v="78.144999999999996"/>
    <n v="75.358999999999995"/>
    <n v="29.83797418"/>
    <n v="33.062012160000002"/>
    <n v="9.7980076999999999E-2"/>
    <n v="157.691"/>
    <n v="111.286"/>
    <n v="12.507999999999999"/>
    <n v="3.640664337"/>
    <n v="160.90299999999999"/>
    <n v="10.305"/>
    <s v=""/>
    <n v="-2.2029999999999994"/>
  </r>
  <r>
    <s v="Mexico"/>
    <x v="7"/>
    <x v="1"/>
    <n v="330.22119190000001"/>
    <n v="2.3286838580000002"/>
    <n v="0.224603567"/>
    <n v="225.975617"/>
    <n v="141.8059351"/>
    <n v="19.957251939999999"/>
    <n v="11.369525250000001"/>
    <n v="80.861000000000004"/>
    <n v="75.105999999999995"/>
    <n v="32.87799278"/>
    <n v="35.139984929999997"/>
    <n v="9.6450862999999998E-2"/>
    <n v="167.49299999999999"/>
    <n v="120.01300000000001"/>
    <n v="12.49"/>
    <n v="3.2741666820000002"/>
    <n v="169.31299999999999"/>
    <n v="10.404999999999999"/>
    <s v=""/>
    <n v="-2.0850000000000009"/>
  </r>
  <r>
    <s v="Mexico"/>
    <x v="8"/>
    <x v="1"/>
    <n v="352.61811849999998"/>
    <n v="2.4199552610000001"/>
    <n v="0.22806022300000001"/>
    <n v="226.14496890000001"/>
    <n v="145.71266019999999"/>
    <n v="17.586558719999999"/>
    <n v="11.70803927"/>
    <n v="85.287000000000006"/>
    <n v="76.382999999999996"/>
    <n v="35.296022550000004"/>
    <n v="40.321032580000001"/>
    <n v="9.4241504000000004E-2"/>
    <n v="182.304"/>
    <n v="129.429"/>
    <n v="13.083"/>
    <n v="3.1151263820000001"/>
    <n v="172.80600000000001"/>
    <n v="11.231999999999999"/>
    <s v=""/>
    <n v="-1.8510000000000009"/>
  </r>
  <r>
    <s v="Mexico"/>
    <x v="9"/>
    <x v="1"/>
    <n v="344.60326359999999"/>
    <n v="2.2988713600000001"/>
    <n v="0.21690394700000001"/>
    <n v="224.7811154"/>
    <n v="149.9010643"/>
    <n v="20.907524410000001"/>
    <n v="12.417244800000001"/>
    <n v="84.006"/>
    <n v="73.379000000000005"/>
    <n v="35.739987630000002"/>
    <n v="38.833034390000002"/>
    <n v="9.4352363999999994E-2"/>
    <n v="191.51"/>
    <n v="137.21899999999999"/>
    <n v="12.984"/>
    <n v="2.9486710880000002"/>
    <n v="166.846"/>
    <n v="10.326000000000001"/>
    <s v=""/>
    <n v="-2.6579999999999995"/>
  </r>
  <r>
    <s v="Mexico"/>
    <x v="10"/>
    <x v="1"/>
    <n v="368.96912680000003"/>
    <n v="2.446421661"/>
    <n v="0.221302787"/>
    <n v="229.310304"/>
    <n v="150.81992320000001"/>
    <n v="19.804059800000001"/>
    <n v="12.917255279999999"/>
    <n v="88.028999999999996"/>
    <n v="71.540999999999997"/>
    <n v="36.719997540000001"/>
    <n v="41.688951600000003"/>
    <n v="9.0459788999999999E-2"/>
    <n v="205.67500000000001"/>
    <n v="148.33799999999999"/>
    <n v="13.199"/>
    <n v="2.8817308860000002"/>
    <n v="169.26499999999999"/>
    <n v="11.343999999999999"/>
    <s v=""/>
    <n v="-1.8550000000000004"/>
  </r>
  <r>
    <s v="Mexico"/>
    <x v="11"/>
    <x v="1"/>
    <n v="370.69765640000003"/>
    <n v="2.3873319390000001"/>
    <n v="0.223242305"/>
    <n v="233.72703000000001"/>
    <n v="155.2769643"/>
    <n v="17.10563209"/>
    <n v="13.403920530000001"/>
    <n v="86.709000000000003"/>
    <n v="73.11"/>
    <n v="36.320020829999997"/>
    <n v="42.313018450000001"/>
    <n v="9.3511212999999996E-2"/>
    <n v="213.988"/>
    <n v="151.303"/>
    <n v="14.861000000000001"/>
    <n v="2.613697964"/>
    <n v="175.553"/>
    <n v="11.345000000000001"/>
    <s v=""/>
    <n v="-3.516"/>
  </r>
  <r>
    <s v="Mexico"/>
    <x v="12"/>
    <x v="1"/>
    <n v="376.94595199999998"/>
    <n v="2.4014124080000001"/>
    <n v="0.22709565200000001"/>
    <n v="238.97820569999999"/>
    <n v="156.96843680000001"/>
    <n v="15.055837889999999"/>
    <n v="13.57052693"/>
    <n v="83.1"/>
    <n v="74.284999999999997"/>
    <n v="37.342974839999997"/>
    <n v="47.689051480000003"/>
    <n v="9.4567534999999994E-2"/>
    <n v="218.221"/>
    <n v="154.976"/>
    <n v="15.977"/>
    <n v="2.486928389"/>
    <n v="178.55"/>
    <n v="10.984"/>
    <s v=""/>
    <n v="-4.9930000000000003"/>
  </r>
  <r>
    <s v="Mexico"/>
    <x v="13"/>
    <x v="1"/>
    <n v="397.24807279999999"/>
    <n v="2.3614799849999999"/>
    <n v="0.23591468099999999"/>
    <n v="258.29191459999998"/>
    <n v="168.21996179999999"/>
    <n v="12.125714909999999"/>
    <n v="14.996738949999999"/>
    <n v="82.581000000000003"/>
    <n v="77.281999999999996"/>
    <n v="39.192971819999997"/>
    <n v="53.626959390000003"/>
    <n v="9.9901198999999996E-2"/>
    <n v="236.21700000000001"/>
    <n v="177.49799999999999"/>
    <n v="19.492000000000001"/>
    <n v="2.6708492609999999"/>
    <n v="189.53800000000001"/>
    <n v="11.965"/>
    <s v=""/>
    <n v="-7.527000000000001"/>
  </r>
  <r>
    <s v="Mexico"/>
    <x v="14"/>
    <x v="1"/>
    <n v="404.38859960000002"/>
    <n v="2.361023656"/>
    <n v="0.23109495599999999"/>
    <n v="264.16760629999999"/>
    <n v="171.2768098"/>
    <n v="14.448424340000001"/>
    <n v="15.10961148"/>
    <n v="85.87"/>
    <n v="78.433000000000007"/>
    <n v="41.021032669999997"/>
    <n v="56.311960370000001"/>
    <n v="9.7879136000000005E-2"/>
    <n v="237.583"/>
    <n v="186.797"/>
    <n v="17.401"/>
    <n v="2.7805019720000002"/>
    <n v="191.428"/>
    <n v="13.12"/>
    <s v=""/>
    <n v="-4.2810000000000006"/>
  </r>
  <r>
    <s v="Mexico"/>
    <x v="15"/>
    <x v="1"/>
    <n v="419.66305119999998"/>
    <n v="2.322976997"/>
    <n v="0.23441398599999999"/>
    <n v="263.5585269"/>
    <n v="180.6574287"/>
    <n v="15.19731385"/>
    <n v="15.23409715"/>
    <n v="88.234999999999999"/>
    <n v="76.409000000000006"/>
    <n v="42.831048260000003"/>
    <n v="55.145930999999997"/>
    <n v="0.100911024"/>
    <n v="250.768"/>
    <n v="194.55799999999999"/>
    <n v="21.55"/>
    <n v="2.921824156"/>
    <n v="187.68899999999999"/>
    <n v="13.475"/>
    <s v=""/>
    <n v="-8.0750000000000011"/>
  </r>
  <r>
    <s v="Mexico"/>
    <x v="16"/>
    <x v="1"/>
    <n v="436.95983310000003"/>
    <n v="2.37958962"/>
    <n v="0.23357613599999999"/>
    <n v="261.92268610000002"/>
    <n v="183.62823130000001"/>
    <n v="15.334248759999999"/>
    <n v="14.822070070000001"/>
    <n v="87.938000000000002"/>
    <n v="75.917000000000002"/>
    <n v="47.512951409999999"/>
    <n v="61.543952730000001"/>
    <n v="9.8158158999999995E-2"/>
    <n v="257.80200000000002"/>
    <n v="199.077"/>
    <n v="23.012"/>
    <n v="2.6198400319999999"/>
    <n v="183.24"/>
    <n v="15.042999999999999"/>
    <s v=""/>
    <n v="-7.9690000000000012"/>
  </r>
  <r>
    <s v="Mexico"/>
    <x v="17"/>
    <x v="1"/>
    <n v="439.79437810000002"/>
    <n v="2.4051948219999999"/>
    <n v="0.22982502099999999"/>
    <n v="250.93690670000001"/>
    <n v="182.85187300000001"/>
    <n v="14.09049613"/>
    <n v="15.305425230000001"/>
    <n v="90.754000000000005"/>
    <n v="74.153999999999996"/>
    <n v="50.439039030000004"/>
    <n v="64.560961710000001"/>
    <n v="9.5553599000000003E-2"/>
    <n v="265.27100000000002"/>
    <n v="208.381"/>
    <n v="21.266999999999999"/>
    <n v="2.8932676399999999"/>
    <n v="172.57599999999999"/>
    <n v="16.216999999999999"/>
    <s v=""/>
    <n v="-5.0500000000000007"/>
  </r>
  <r>
    <s v="Mexico"/>
    <x v="18"/>
    <x v="1"/>
    <n v="436.4111843"/>
    <n v="2.3732117119999998"/>
    <n v="0.22547851499999999"/>
    <n v="236.691678"/>
    <n v="183.89054039999999"/>
    <n v="17.54302582"/>
    <n v="15.30518636"/>
    <n v="90.247"/>
    <n v="73.009"/>
    <n v="50.19299032"/>
    <n v="66.863922090000003"/>
    <n v="9.5009861000000001E-2"/>
    <n v="269.315"/>
    <n v="214.61"/>
    <n v="18.97"/>
    <n v="2.7269182930000002"/>
    <n v="156.89099999999999"/>
    <n v="14.46"/>
    <s v=""/>
    <n v="-4.509999999999998"/>
  </r>
  <r>
    <s v="Mexico"/>
    <x v="19"/>
    <x v="1"/>
    <n v="432.01488710000001"/>
    <n v="2.400802283"/>
    <n v="0.23566367999999999"/>
    <n v="224.46259839999999"/>
    <n v="179.9460498"/>
    <n v="12.94738061"/>
    <n v="15.83110868"/>
    <n v="87.207999999999998"/>
    <n v="73.885000000000005"/>
    <n v="50.614019550000002"/>
    <n v="67.453950759999998"/>
    <n v="9.8160387000000002E-2"/>
    <n v="267.75299999999999"/>
    <n v="211.27199999999999"/>
    <n v="19.161000000000001"/>
    <n v="2.7499225030000001"/>
    <n v="146.04900000000001"/>
    <n v="12.744999999999999"/>
    <s v=""/>
    <n v="-6.4160000000000021"/>
  </r>
  <r>
    <s v="Mexico"/>
    <x v="20"/>
    <x v="1"/>
    <n v="445.68865820000002"/>
    <n v="2.4956594980000002"/>
    <n v="0.23128525599999999"/>
    <n v="222.587401"/>
    <n v="178.58552359999999"/>
    <n v="16.602791629999999"/>
    <n v="15.70354221"/>
    <n v="88.328000000000003"/>
    <n v="69.043000000000006"/>
    <n v="50.954987539999998"/>
    <n v="69.974960749999994"/>
    <n v="9.2675005000000005E-2"/>
    <n v="275.53800000000001"/>
    <n v="221.09100000000001"/>
    <n v="23.582000000000001"/>
    <n v="2.8627630310000001"/>
    <n v="144.762"/>
    <n v="15.304"/>
    <s v=""/>
    <n v="-8.2780000000000005"/>
  </r>
  <r>
    <s v="Mexico"/>
    <x v="21"/>
    <x v="1"/>
    <n v="464.26024790000002"/>
    <n v="2.4825303860000001"/>
    <n v="0.232409597"/>
    <n v="223.78881100000001"/>
    <n v="187.01090249999999"/>
    <n v="14.88857106"/>
    <n v="16.563584030000001"/>
    <n v="89.799000000000007"/>
    <n v="67.256"/>
    <n v="48.960019789999997"/>
    <n v="72.680059240000006"/>
    <n v="9.3618027000000006E-2"/>
    <n v="302.74900000000002"/>
    <n v="238.95500000000001"/>
    <n v="26.125"/>
    <n v="2.7071930869999998"/>
    <n v="143.39599999999999"/>
    <n v="19.518000000000001"/>
    <s v=""/>
    <n v="-6.6069999999999993"/>
  </r>
  <r>
    <s v="Mexico"/>
    <x v="22"/>
    <x v="1"/>
    <n v="466.95676989999998"/>
    <n v="2.4347757699999999"/>
    <n v="0.22554442599999999"/>
    <n v="218.59794550000001"/>
    <n v="191.78635489999999"/>
    <n v="13.788131290000001"/>
    <n v="17.696002199999999"/>
    <n v="89.313000000000002"/>
    <n v="67.647000000000006"/>
    <n v="47.042020520000001"/>
    <n v="76.207043279999994"/>
    <n v="9.2634577999999995E-2"/>
    <n v="307.22800000000001"/>
    <n v="253.065"/>
    <n v="23.341999999999999"/>
    <n v="3.1162524249999999"/>
    <n v="143.024"/>
    <n v="15.752000000000001"/>
    <s v=""/>
    <n v="-7.5899999999999981"/>
  </r>
  <r>
    <s v="Mexico"/>
    <x v="23"/>
    <x v="1"/>
    <n v="458.45314489999998"/>
    <n v="2.3867353260000002"/>
    <n v="0.218478694"/>
    <n v="216.34936819999999"/>
    <n v="192.08378070000001"/>
    <n v="13.29954326"/>
    <n v="17.17483563"/>
    <n v="88.480999999999995"/>
    <n v="70.334999999999994"/>
    <n v="45.797998710000002"/>
    <n v="72.876014130000002"/>
    <n v="9.1538719000000004E-2"/>
    <n v="297.32600000000002"/>
    <n v="246.50299999999999"/>
    <n v="23.582999999999998"/>
    <n v="3.4847272020000002"/>
    <n v="141.24"/>
    <n v="15.186999999999999"/>
    <s v=""/>
    <n v="-8.395999999999999"/>
  </r>
  <r>
    <s v="Mexico"/>
    <x v="24"/>
    <x v="1"/>
    <n v="443.5904458"/>
    <n v="2.3541085289999999"/>
    <n v="0.20562923899999999"/>
    <n v="208.57769490000001"/>
    <n v="188.43245350000001"/>
    <n v="17.543516329999999"/>
    <n v="18.0561094"/>
    <n v="85.180999999999997"/>
    <n v="66.977000000000004"/>
    <n v="44.794982429999997"/>
    <n v="74.996037720000004"/>
    <n v="8.7349091000000004E-2"/>
    <n v="301.49599999999998"/>
    <n v="256.779"/>
    <n v="22.754999999999999"/>
    <n v="4.194748852"/>
    <n v="136.33699999999999"/>
    <n v="15.387"/>
    <s v=""/>
    <n v="-7.3679999999999986"/>
  </r>
  <r>
    <s v="Mexico"/>
    <x v="25"/>
    <x v="1"/>
    <n v="451.28004720000001"/>
    <n v="2.4398987569999999"/>
    <n v="0.20253448700000001"/>
    <n v="189.6504295"/>
    <n v="184.95851350000001"/>
    <n v="15.27813538"/>
    <n v="18.277446919999999"/>
    <n v="83.582999999999998"/>
    <n v="61.316000000000003"/>
    <n v="41.560010089999999"/>
    <n v="77.831973340000005"/>
    <n v="8.3009382000000007E-2"/>
    <n v="310.71199999999999"/>
    <n v="261.85000000000002"/>
    <n v="24.45"/>
    <n v="4.9290017769999999"/>
    <n v="126.602"/>
    <n v="10.677"/>
    <s v=""/>
    <n v="-13.773"/>
  </r>
  <r>
    <s v="Mexico"/>
    <x v="26"/>
    <x v="1"/>
    <n v="457.27795739999999"/>
    <n v="2.472855944"/>
    <n v="0.199422077"/>
    <n v="180.4634872"/>
    <n v="184.91896320000001"/>
    <n v="15.33172783"/>
    <n v="18.84723649"/>
    <n v="85.965999999999994"/>
    <n v="54.814999999999998"/>
    <n v="36.699034660000002"/>
    <n v="80.268034659999998"/>
    <n v="8.0644437999999999E-2"/>
    <n v="320.56400000000002"/>
    <n v="274.20999999999998"/>
    <n v="21.504999999999999"/>
    <n v="5.3000336910000003"/>
    <n v="120.48399999999999"/>
    <n v="12.567"/>
    <s v=""/>
    <n v="-8.9379999999999988"/>
  </r>
  <r>
    <s v="Mexico"/>
    <x v="27"/>
    <x v="1"/>
    <n v="456.30713159999999"/>
    <n v="2.5333758909999999"/>
    <n v="0.19487116199999999"/>
    <n v="164.8800866"/>
    <n v="180.11821040000001"/>
    <n v="15.990574519999999"/>
    <n v="18.874462879999999"/>
    <n v="84.081000000000003"/>
    <n v="48.164000000000001"/>
    <n v="31.56698519"/>
    <n v="81.508063879999995"/>
    <n v="7.6921534999999999E-2"/>
    <n v="322.06233700000001"/>
    <n v="275.85931699999998"/>
    <n v="21.69"/>
    <n v="5.4251354449999996"/>
    <n v="108.977"/>
    <n v="11.776"/>
    <s v=""/>
    <n v="-9.9140000000000015"/>
  </r>
  <r>
    <s v="Mexico"/>
    <x v="28"/>
    <x v="1"/>
    <n v="458.48860230000003"/>
    <n v="2.5378117850000002"/>
    <n v="0.191707981"/>
    <n v="158.16827040000001"/>
    <n v="180.6629652"/>
    <n v="16.298800839999998"/>
    <n v="19.31511501"/>
    <n v="83.293488999999994"/>
    <n v="38.860999999999997"/>
    <n v="30.619975629999999"/>
    <n v="84.605370309999998"/>
    <n v="7.5540661999999995E-2"/>
    <n v="335.58281699999998"/>
    <n v="286.959745"/>
    <n v="20.559085"/>
    <n v="5.9641155579999996"/>
    <n v="102.113"/>
    <n v="12.24198"/>
    <s v=""/>
    <n v="-8.3171049999999997"/>
  </r>
  <r>
    <s v="Mexico"/>
    <x v="29"/>
    <x v="1"/>
    <n v="441.39630949999997"/>
    <n v="2.509922327"/>
    <n v="0.18512395200000001"/>
    <n v="148.42703839999999"/>
    <n v="175.8605455"/>
    <n v="17.02234726"/>
    <n v="19.962697980000002"/>
    <n v="77.289055169999997"/>
    <n v="38.11971449"/>
    <n v="29.57495248"/>
    <n v="85.593556840000005"/>
    <n v="7.3756845000000001E-2"/>
    <n v="331.18374219999998"/>
    <n v="282.45576549999998"/>
    <n v="20.536328610000002"/>
    <n v="8.995751491"/>
    <n v="94.722710699999993"/>
    <n v="10.122634"/>
    <s v=""/>
    <n v="-10.413694610000002"/>
  </r>
  <r>
    <s v="Mexico"/>
    <x v="30"/>
    <x v="1"/>
    <n v="370.5165341"/>
    <n v="2.450582313"/>
    <n v="0.16983234799999999"/>
    <n v="147.08877279999999"/>
    <n v="151.1953025"/>
    <n v="20.479458210000001"/>
    <n v="22.208965410000001"/>
    <n v="63.819131820000003"/>
    <n v="37.78713887"/>
    <n v="29.319421389999999"/>
    <n v="77.662479000000005"/>
    <n v="6.9302853999999997E-2"/>
    <n v="321.91241719999999"/>
    <n v="274.14109569999999"/>
    <n v="13.514099890000001"/>
    <n v="11.23132438"/>
    <n v="94.977505269999995"/>
    <n v="6.7091318580000001"/>
    <s v=""/>
    <n v="-6.8049680320000006"/>
  </r>
  <r>
    <s v="Netherlands"/>
    <x v="0"/>
    <x v="3"/>
    <n v="163.3385313"/>
    <n v="2.4555344969999999"/>
    <n v="0.31553526700000001"/>
    <n v="60.561183229999997"/>
    <n v="66.518524369999994"/>
    <n v="1.1199421970000001"/>
    <n v="11.21787117"/>
    <n v="21.439"/>
    <n v="49.08"/>
    <n v="76.087075200000001"/>
    <n v="44.164946970000003"/>
    <n v="0.12849962700000001"/>
    <n v="71.968000000000004"/>
    <n v="74.073999999999998"/>
    <n v="12.528968389999999"/>
    <n v="0.31958648299999998"/>
    <n v="4.0759999999999996"/>
    <n v="0"/>
    <s v=""/>
    <n v="-12.528968389999999"/>
  </r>
  <r>
    <s v="Netherlands"/>
    <x v="1"/>
    <x v="3"/>
    <n v="170.37954160000001"/>
    <n v="2.465477624"/>
    <n v="0.32130005900000003"/>
    <n v="67.450368839999996"/>
    <n v="69.106099360000002"/>
    <n v="1.256990751"/>
    <n v="11.10883074"/>
    <n v="21.103000000000002"/>
    <n v="52.89"/>
    <n v="86.025117649999999"/>
    <n v="49.318991689999997"/>
    <n v="0.13031960000000001"/>
    <n v="74.384"/>
    <n v="76.305999999999997"/>
    <n v="11.453563389999999"/>
    <n v="0.28231877799999999"/>
    <n v="3.9329999999999998"/>
    <n v="0"/>
    <s v=""/>
    <n v="-11.453563389999999"/>
  </r>
  <r>
    <s v="Netherlands"/>
    <x v="2"/>
    <x v="3"/>
    <n v="168.58953639999999"/>
    <n v="2.4592841879999998"/>
    <n v="0.31259145300000002"/>
    <n v="67.47800427"/>
    <n v="68.55227927"/>
    <n v="1.287909186"/>
    <n v="11.48099324"/>
    <n v="21.486000000000001"/>
    <n v="54.593000000000004"/>
    <n v="86.391973359999994"/>
    <n v="48.033972429999999"/>
    <n v="0.127106682"/>
    <n v="77.257000000000005"/>
    <n v="78.006"/>
    <n v="11.435031609999999"/>
    <n v="0.45950528800000001"/>
    <n v="3.5630000000000002"/>
    <n v="0"/>
    <s v=""/>
    <n v="-11.435031609999999"/>
  </r>
  <r>
    <s v="Netherlands"/>
    <x v="3"/>
    <x v="3"/>
    <n v="173.53607059999999"/>
    <n v="2.4780699500000001"/>
    <n v="0.31776701699999998"/>
    <n v="68.782860799999995"/>
    <n v="70.028721579999996"/>
    <n v="1.434699776"/>
    <n v="11.40800565"/>
    <n v="21.184999999999999"/>
    <n v="55.262"/>
    <n v="88.065028949999999"/>
    <n v="49.367021399999999"/>
    <n v="0.128231658"/>
    <n v="77.159000000000006"/>
    <n v="79.381"/>
    <n v="11.485031149999999"/>
    <n v="0.50415376000000001"/>
    <n v="3.5350000000000001"/>
    <n v="0"/>
    <s v=""/>
    <n v="-11.485031149999999"/>
  </r>
  <r>
    <s v="Netherlands"/>
    <x v="4"/>
    <x v="3"/>
    <n v="174.24308819999999"/>
    <n v="2.479950519"/>
    <n v="0.30988565699999998"/>
    <n v="66.641982729999995"/>
    <n v="70.260711599999993"/>
    <n v="1.5751186349999999"/>
    <n v="11.82710825"/>
    <n v="21.986999999999998"/>
    <n v="55.08"/>
    <n v="83.538877769999999"/>
    <n v="47.707046679999998"/>
    <n v="0.124956387"/>
    <n v="79.867000000000004"/>
    <n v="82.722999999999999"/>
    <n v="12.524827739999999"/>
    <n v="0.57094920299999996"/>
    <n v="4.6180000000000003"/>
    <n v="0"/>
    <s v=""/>
    <n v="-12.524827739999999"/>
  </r>
  <r>
    <s v="Netherlands"/>
    <x v="5"/>
    <x v="3"/>
    <n v="179.3944884"/>
    <n v="2.452219296"/>
    <n v="0.30940605100000002"/>
    <n v="66.903349779999999"/>
    <n v="73.155972930000004"/>
    <n v="1.731233673"/>
    <n v="11.742881690000001"/>
    <n v="22.734000000000002"/>
    <n v="59.418999999999997"/>
    <n v="84.926062130000005"/>
    <n v="48.972047840000002"/>
    <n v="0.12617389100000001"/>
    <n v="81.156000000000006"/>
    <n v="83.649000000000001"/>
    <n v="13.865"/>
    <n v="0.74547784500000003"/>
    <n v="3.6480000000000001"/>
    <n v="0"/>
    <s v=""/>
    <n v="-13.865"/>
  </r>
  <r>
    <s v="Netherlands"/>
    <x v="6"/>
    <x v="3"/>
    <n v="188.6137683"/>
    <n v="2.4535847049999999"/>
    <n v="0.31430987599999999"/>
    <n v="74.791237699999996"/>
    <n v="76.872735579999997"/>
    <n v="2.125891153"/>
    <n v="11.46583081"/>
    <n v="23.359000000000002"/>
    <n v="60.890999999999998"/>
    <n v="96.113938970000007"/>
    <n v="54.273052040000003"/>
    <n v="0.128102313"/>
    <n v="85.423000000000002"/>
    <n v="87.221000000000004"/>
    <n v="13.520968849999999"/>
    <n v="0.79018531299999994"/>
    <n v="3.2519999999999998"/>
    <n v="0"/>
    <s v=""/>
    <n v="-13.520968849999999"/>
  </r>
  <r>
    <s v="Netherlands"/>
    <x v="7"/>
    <x v="3"/>
    <n v="183.28722959999999"/>
    <n v="2.451784811"/>
    <n v="0.29275989000000002"/>
    <n v="66.52046455"/>
    <n v="74.756654339999997"/>
    <n v="2.3311990009999999"/>
    <n v="12.3481541"/>
    <n v="23.312999999999999"/>
    <n v="60.201000000000001"/>
    <n v="85.126039329999998"/>
    <n v="50.850980229999998"/>
    <n v="0.119406845"/>
    <n v="86.522000000000006"/>
    <n v="90.376999999999995"/>
    <n v="13.56103115"/>
    <n v="0.82522364299999995"/>
    <n v="3.1440000000000001"/>
    <n v="0"/>
    <s v=""/>
    <n v="-13.56103115"/>
  </r>
  <r>
    <s v="Netherlands"/>
    <x v="8"/>
    <x v="3"/>
    <n v="183.6119712"/>
    <n v="2.4380643439999998"/>
    <n v="0.28020983599999999"/>
    <n v="63.9289858"/>
    <n v="75.310551840000002"/>
    <n v="2.555012896"/>
    <n v="12.81758013"/>
    <n v="23.306000000000001"/>
    <n v="61.716999999999999"/>
    <n v="81.200013200000001"/>
    <n v="50.21596134"/>
    <n v="0.114931272"/>
    <n v="91.114999999999995"/>
    <n v="93.656000000000006"/>
    <n v="13.9"/>
    <n v="0.93947209600000003"/>
    <n v="2.8540000000000001"/>
    <n v="0"/>
    <s v=""/>
    <n v="-13.9"/>
  </r>
  <r>
    <s v="Netherlands"/>
    <x v="9"/>
    <x v="3"/>
    <n v="178.48039059999999"/>
    <n v="2.4091543199999998"/>
    <n v="0.259324045"/>
    <n v="59.864315329999997"/>
    <n v="74.084249880000002"/>
    <n v="2.8909132839999998"/>
    <n v="13.17162905"/>
    <n v="23.376999999999999"/>
    <n v="58.164000000000001"/>
    <n v="75.506927300000001"/>
    <n v="49.06604317"/>
    <n v="0.10764111"/>
    <n v="86.72"/>
    <n v="95.775999999999996"/>
    <n v="11.89196885"/>
    <n v="0.95479704799999998"/>
    <n v="2.7610000000000001"/>
    <n v="0"/>
    <s v=""/>
    <n v="-11.89196885"/>
  </r>
  <r>
    <s v="Netherlands"/>
    <x v="10"/>
    <x v="3"/>
    <n v="179.51707099999999"/>
    <n v="2.4006772440000002"/>
    <n v="0.25032745000000001"/>
    <n v="58.480198170000001"/>
    <n v="74.777678440000003"/>
    <n v="3.3158540670000001"/>
    <n v="13.52426271"/>
    <n v="23.117999999999999"/>
    <n v="58.656999999999996"/>
    <n v="73.621025290000006"/>
    <n v="49.20393533"/>
    <n v="0.10427367999999999"/>
    <n v="89.63"/>
    <n v="98.591999999999999"/>
    <n v="12.648999999999999"/>
    <n v="1.20941649"/>
    <n v="2.5680000000000001"/>
    <n v="0"/>
    <s v=""/>
    <n v="-12.648999999999999"/>
  </r>
  <r>
    <s v="Netherlands"/>
    <x v="11"/>
    <x v="3"/>
    <n v="184.28872240000001"/>
    <n v="2.4010137340000002"/>
    <n v="0.25113742100000003"/>
    <n v="61.286947730000001"/>
    <n v="76.754547389999999"/>
    <n v="3.5254049090000001"/>
    <n v="13.597905280000001"/>
    <n v="23.446999999999999"/>
    <n v="58.186999999999998"/>
    <n v="77.563018909999997"/>
    <n v="50.196947110000004"/>
    <n v="0.104596412"/>
    <n v="93.662999999999997"/>
    <n v="100.64"/>
    <n v="13.439031610000001"/>
    <n v="1.152002392"/>
    <n v="2.4289999999999998"/>
    <n v="0"/>
    <s v=""/>
    <n v="-13.439031610000001"/>
  </r>
  <r>
    <s v="Netherlands"/>
    <x v="12"/>
    <x v="3"/>
    <n v="186.3161399"/>
    <n v="2.4013196689999998"/>
    <n v="0.25334980000000001"/>
    <n v="61.288505209999997"/>
    <n v="77.58906168"/>
    <n v="4.1403596509999998"/>
    <n v="13.662509330000001"/>
    <n v="23.87"/>
    <n v="53.603999999999999"/>
    <n v="76.209927050000005"/>
    <n v="49.687036020000001"/>
    <n v="0.105504404"/>
    <n v="95.981999999999999"/>
    <n v="102.128"/>
    <n v="13.39296839"/>
    <n v="1.2408576609999999"/>
    <n v="3.2120000000000002"/>
    <n v="0"/>
    <s v=""/>
    <n v="-13.39296839"/>
  </r>
  <r>
    <s v="Netherlands"/>
    <x v="13"/>
    <x v="3"/>
    <n v="189.45105649999999"/>
    <n v="2.354338883"/>
    <n v="0.25721227000000002"/>
    <n v="59.048858250000002"/>
    <n v="80.468898490000001"/>
    <n v="4.0922142580000003"/>
    <n v="13.36394351"/>
    <n v="26.02"/>
    <n v="56.219000000000001"/>
    <n v="72.848062920000004"/>
    <n v="50.026065410000001"/>
    <n v="0.109250317"/>
    <n v="96.817999999999998"/>
    <n v="103.804"/>
    <n v="13.723000000000001"/>
    <n v="1.618500692"/>
    <n v="3.29"/>
    <n v="0"/>
    <s v=""/>
    <n v="-13.723000000000001"/>
  </r>
  <r>
    <s v="Netherlands"/>
    <x v="14"/>
    <x v="3"/>
    <n v="191.37235799999999"/>
    <n v="2.3574239010000002"/>
    <n v="0.25476384200000002"/>
    <n v="68.240637160000006"/>
    <n v="81.17859412"/>
    <n v="5.2433457819999996"/>
    <n v="13.590094329999999"/>
    <n v="26.071999999999999"/>
    <n v="58.277999999999999"/>
    <n v="85.924887220000002"/>
    <n v="51.224024569999997"/>
    <n v="0.10806874499999999"/>
    <n v="101.214"/>
    <n v="106.306"/>
    <n v="13.50103161"/>
    <n v="2.0827158300000002"/>
    <n v="2.988"/>
    <n v="0"/>
    <s v=""/>
    <n v="-13.50103161"/>
  </r>
  <r>
    <s v="Netherlands"/>
    <x v="15"/>
    <x v="3"/>
    <n v="188.1689599"/>
    <n v="2.354501876"/>
    <n v="0.245465143"/>
    <n v="62.464470310000003"/>
    <n v="79.918798050000007"/>
    <n v="7.4507370679999996"/>
    <n v="13.941173389999999"/>
    <n v="25.777000000000001"/>
    <n v="58.878"/>
    <n v="78.386899389999996"/>
    <n v="49.758959529999998"/>
    <n v="0.10425353499999999"/>
    <n v="99.923000000000002"/>
    <n v="108.48099999999999"/>
    <n v="12.859"/>
    <n v="2.3658216830000001"/>
    <n v="2.4670000000000001"/>
    <n v="0"/>
    <s v=""/>
    <n v="-12.859"/>
  </r>
  <r>
    <s v="Netherlands"/>
    <x v="16"/>
    <x v="3"/>
    <n v="183.53430639999999"/>
    <n v="2.3194439469999999"/>
    <n v="0.23141018699999999"/>
    <n v="61.472797620000001"/>
    <n v="79.128580200000002"/>
    <n v="8.1461469970000007"/>
    <n v="14.20284751"/>
    <n v="25.673999999999999"/>
    <n v="57.512999999999998"/>
    <n v="77.389941539999995"/>
    <n v="47.79606467"/>
    <n v="9.9769682999999998E-2"/>
    <n v="98.831999999999994"/>
    <n v="109.62"/>
    <n v="12.401"/>
    <n v="2.9524850250000001"/>
    <n v="2.19"/>
    <n v="0"/>
    <s v=""/>
    <n v="-12.401"/>
  </r>
  <r>
    <s v="Netherlands"/>
    <x v="17"/>
    <x v="3"/>
    <n v="184.0467764"/>
    <n v="2.3345688189999998"/>
    <n v="0.22361952500000001"/>
    <n v="60.21300008"/>
    <n v="78.835447009999996"/>
    <n v="7.2106424249999996"/>
    <n v="14.70867484"/>
    <n v="26.15"/>
    <n v="55.991"/>
    <n v="74.390906720000004"/>
    <n v="46.605937169999997"/>
    <n v="9.5786221000000005E-2"/>
    <n v="105.164"/>
    <n v="111.925"/>
    <n v="13.494968849999999"/>
    <n v="3.4707694650000001"/>
    <n v="2.74"/>
    <n v="0"/>
    <s v=""/>
    <n v="-13.494968849999999"/>
  </r>
  <r>
    <s v="Netherlands"/>
    <x v="18"/>
    <x v="3"/>
    <n v="183.4798538"/>
    <n v="2.346205844"/>
    <n v="0.218195162"/>
    <n v="67.726958089999997"/>
    <n v="78.202794650000001"/>
    <n v="8.8617598930000003"/>
    <n v="14.89728876"/>
    <n v="24.937000000000001"/>
    <n v="56.244999999999997"/>
    <n v="85.076037529999994"/>
    <n v="48.51501245"/>
    <n v="9.2999155999999999E-2"/>
    <n v="107.55200000000001"/>
    <n v="112.733"/>
    <n v="12.813000000000001"/>
    <n v="4.134744124"/>
    <n v="2.2890000000000001"/>
    <n v="0"/>
    <s v=""/>
    <n v="-12.813000000000001"/>
  </r>
  <r>
    <s v="Netherlands"/>
    <x v="19"/>
    <x v="3"/>
    <n v="178.1660937"/>
    <n v="2.3099488340000001"/>
    <n v="0.219940993"/>
    <n v="62.994136699999999"/>
    <n v="77.129887499999995"/>
    <n v="9.5321447110000008"/>
    <n v="14.696943559999999"/>
    <n v="23.995000000000001"/>
    <n v="55.015000000000001"/>
    <n v="78.587111710000002"/>
    <n v="49.677014909999997"/>
    <n v="9.5214660000000007E-2"/>
    <n v="113.68899999999999"/>
    <n v="108.79900000000001"/>
    <n v="12.054000459999999"/>
    <n v="4.1833422760000003"/>
    <n v="1.867"/>
    <n v="0"/>
    <s v=""/>
    <n v="-12.054000459999999"/>
  </r>
  <r>
    <s v="Netherlands"/>
    <x v="20"/>
    <x v="3"/>
    <n v="190.79654339999999"/>
    <n v="2.3063119049999998"/>
    <n v="0.23241223499999999"/>
    <n v="71.189019619999996"/>
    <n v="82.727987909999996"/>
    <n v="9.3880220340000005"/>
    <n v="13.923609470000001"/>
    <n v="25.151"/>
    <n v="57.981999999999999"/>
    <n v="90.304929079999994"/>
    <n v="56.151017420000002"/>
    <n v="0.10077224799999999"/>
    <n v="119.26900000000001"/>
    <n v="112.3"/>
    <n v="12.097031149999999"/>
    <n v="3.524805272"/>
    <n v="1.587"/>
    <n v="0"/>
    <s v=""/>
    <n v="-12.097031149999999"/>
  </r>
  <r>
    <s v="Netherlands"/>
    <x v="21"/>
    <x v="3"/>
    <n v="178.5152631"/>
    <n v="2.3187236699999998"/>
    <n v="0.21413064500000001"/>
    <n v="66.447973730000001"/>
    <n v="76.988588789999994"/>
    <n v="10.81247093"/>
    <n v="15.014257499999999"/>
    <n v="24.132999999999999"/>
    <n v="56.954000000000001"/>
    <n v="83.381994770000006"/>
    <n v="49.173010589999997"/>
    <n v="9.2348497000000002E-2"/>
    <n v="113.961"/>
    <n v="112.958"/>
    <n v="11.938000000000001"/>
    <n v="4.6972209789999999"/>
    <n v="1.5940000000000001"/>
    <n v="0"/>
    <s v=""/>
    <n v="-11.938000000000001"/>
  </r>
  <r>
    <s v="Netherlands"/>
    <x v="22"/>
    <x v="3"/>
    <n v="176.7764593"/>
    <n v="2.2939408270000001"/>
    <n v="0.21425249299999999"/>
    <n v="66.111260209999998"/>
    <n v="77.062344940000003"/>
    <n v="12.08795467"/>
    <n v="14.362551310000001"/>
    <n v="24.52"/>
    <n v="56.639000000000003"/>
    <n v="82.068885879999996"/>
    <n v="47.21403033"/>
    <n v="9.3399310999999999E-2"/>
    <n v="103.235"/>
    <n v="108.902"/>
    <n v="13.127968389999999"/>
    <n v="5.1523223710000003"/>
    <n v="1.6419999999999999"/>
    <n v="0"/>
    <s v=""/>
    <n v="-13.127968389999999"/>
  </r>
  <r>
    <s v="Netherlands"/>
    <x v="23"/>
    <x v="3"/>
    <n v="175.19205049999999"/>
    <n v="2.322515514"/>
    <n v="0.21260895899999999"/>
    <n v="69.755494130000002"/>
    <n v="75.432025940000003"/>
    <n v="11.91183706"/>
    <n v="14.637705990000001"/>
    <n v="23.373999999999999"/>
    <n v="55.381"/>
    <n v="86.871891779999999"/>
    <n v="47.02998272"/>
    <n v="9.1542535999999994E-2"/>
    <n v="101.63"/>
    <n v="110.321"/>
    <n v="13.10506277"/>
    <n v="6.0612024010000001"/>
    <n v="1.6839999999999999"/>
    <n v="0"/>
    <s v=""/>
    <n v="-13.10506277"/>
  </r>
  <r>
    <s v="Netherlands"/>
    <x v="24"/>
    <x v="3"/>
    <n v="168.3652878"/>
    <n v="2.3681471909999998"/>
    <n v="0.20145663599999999"/>
    <n v="60.279402230000002"/>
    <n v="71.095786799999999"/>
    <n v="11.270644470000001"/>
    <n v="15.382181920000001"/>
    <n v="22.640999999999998"/>
    <n v="56.579000000000001"/>
    <n v="72.451003330000006"/>
    <n v="41.450943340000002"/>
    <n v="8.5069304999999998E-2"/>
    <n v="103.357"/>
    <n v="107.291"/>
    <n v="14.616"/>
    <n v="6.4514256410000002"/>
    <n v="2.032"/>
    <n v="0"/>
    <s v=""/>
    <n v="-14.616"/>
  </r>
  <r>
    <s v="Netherlands"/>
    <x v="25"/>
    <x v="3"/>
    <n v="175.52194370000001"/>
    <n v="2.4350032320000001"/>
    <n v="0.205984314"/>
    <n v="47.89269633"/>
    <n v="72.082838100000004"/>
    <n v="12.398079360000001"/>
    <n v="15.44573138"/>
    <n v="23.388999999999999"/>
    <n v="59.091000000000001"/>
    <n v="55.043042419999999"/>
    <n v="41.020090459999999"/>
    <n v="8.4593034999999997E-2"/>
    <n v="110.38"/>
    <n v="109.928"/>
    <n v="17.875031610000001"/>
    <n v="7.9797064689999999"/>
    <n v="2.0059999999999998"/>
    <n v="0"/>
    <s v=""/>
    <n v="-17.875031610000001"/>
  </r>
  <r>
    <s v="Netherlands"/>
    <x v="26"/>
    <x v="3"/>
    <n v="175.62078099999999"/>
    <n v="2.3863752859999998"/>
    <n v="0.201680056"/>
    <n v="46.025400920000003"/>
    <n v="73.593110879999998"/>
    <n v="12.825920910000001"/>
    <n v="15.38586145"/>
    <n v="24.239000000000001"/>
    <n v="60.097000000000001"/>
    <n v="53.138988699999999"/>
    <n v="42.122055619999998"/>
    <n v="8.4513135000000003E-2"/>
    <n v="115.212"/>
    <n v="111.44499999999999"/>
    <n v="16.423999999999999"/>
    <n v="8.6015345619999994"/>
    <n v="1.569"/>
    <n v="0"/>
    <s v=""/>
    <n v="-16.423999999999999"/>
  </r>
  <r>
    <s v="Netherlands"/>
    <x v="27"/>
    <x v="3"/>
    <n v="173.62545410000001"/>
    <n v="2.338409994"/>
    <n v="0.19374881499999999"/>
    <n v="41.672934380000001"/>
    <n v="74.249363689999996"/>
    <n v="14.869535129999999"/>
    <n v="15.21380087"/>
    <n v="24.813099999999999"/>
    <n v="59.664239999999999"/>
    <n v="46.228763739999998"/>
    <n v="43.54567728"/>
    <n v="8.2854938000000003E-2"/>
    <n v="117.263249"/>
    <n v="112.27378400000001"/>
    <n v="14.717435"/>
    <n v="11.003079919999999"/>
    <n v="1.4701820000000001"/>
    <n v="0"/>
    <s v=""/>
    <n v="-14.717435"/>
  </r>
  <r>
    <s v="Netherlands"/>
    <x v="28"/>
    <x v="3"/>
    <n v="166.9314535"/>
    <n v="2.288377423"/>
    <n v="0.18156296"/>
    <n v="36.437346359999999"/>
    <n v="72.94751814"/>
    <n v="16.49742225"/>
    <n v="15.61553417"/>
    <n v="24.633647"/>
    <n v="60.915770999999999"/>
    <n v="38.752463310000003"/>
    <n v="42.58923231"/>
    <n v="7.9341353000000003E-2"/>
    <n v="114.468277"/>
    <n v="114.036007"/>
    <n v="13.07474904"/>
    <n v="12.545115880000001"/>
    <n v="1.479506"/>
    <n v="0"/>
    <s v=""/>
    <n v="-13.07474904"/>
  </r>
  <r>
    <s v="Netherlands"/>
    <x v="29"/>
    <x v="3"/>
    <n v="160.39040539999999"/>
    <n v="2.2378541439999999"/>
    <n v="0.17153253700000001"/>
    <n v="33.334312089999997"/>
    <n v="71.671518800000001"/>
    <n v="18.02251433"/>
    <n v="15.82936333"/>
    <n v="23.48875344"/>
    <n v="61.902947509999997"/>
    <n v="33.687104589999997"/>
    <n v="44.370308700000002"/>
    <n v="7.6650454000000007E-2"/>
    <n v="121.3582937"/>
    <n v="113.56560279999999"/>
    <n v="10.10643303"/>
    <n v="13.821305880000001"/>
    <n v="1.112132047"/>
    <n v="0"/>
    <s v=""/>
    <n v="-10.10643303"/>
  </r>
  <r>
    <s v="Netherlands"/>
    <x v="30"/>
    <x v="3"/>
    <n v="151.46078589999999"/>
    <n v="2.1658718800000001"/>
    <n v="0.16890780799999999"/>
    <n v="28.14649781"/>
    <n v="69.930630379999997"/>
    <n v="24.781192220000001"/>
    <n v="15.91978711"/>
    <n v="22.627274249999999"/>
    <n v="55.370736219999998"/>
    <n v="24.16524042"/>
    <n v="43.535532019999998"/>
    <n v="7.7986056999999998E-2"/>
    <n v="122.6765121"/>
    <n v="111.4018379"/>
    <n v="6.3265734609999997"/>
    <n v="18.88679406"/>
    <n v="1.0360546079999999"/>
    <n v="0"/>
    <s v=""/>
    <n v="-6.3265734609999997"/>
  </r>
  <r>
    <s v="New Zealand"/>
    <x v="0"/>
    <x v="2"/>
    <n v="21.620523210000002"/>
    <n v="1.5853812060000001"/>
    <n v="0.25355904200000001"/>
    <n v="12.33168053"/>
    <n v="13.63742873"/>
    <n v="80.008678399999994"/>
    <n v="24.51220262"/>
    <n v="4.149"/>
    <n v="4.8630000000000004"/>
    <n v="4.9100033529999996"/>
    <n v="4.8880007409999999"/>
    <n v="0.15993569299999999"/>
    <n v="32.264000000000003"/>
    <n v="28.870999999999999"/>
    <n v="2.3221237170000002"/>
    <n v="6.812546491"/>
    <n v="2.5409999999999999"/>
    <n v="2.5779999999999998"/>
    <s v=""/>
    <n v="0.25587628299999965"/>
  </r>
  <r>
    <s v="New Zealand"/>
    <x v="1"/>
    <x v="2"/>
    <n v="22.16846189"/>
    <n v="1.6036525800000001"/>
    <n v="0.26285229500000001"/>
    <n v="12.78308781"/>
    <n v="13.823731009999999"/>
    <n v="77.190137250000006"/>
    <n v="24.589373030000001"/>
    <n v="4.04"/>
    <n v="4.7770000000000001"/>
    <n v="5.4139926620000001"/>
    <n v="5.3749993089999997"/>
    <n v="0.16390850400000001"/>
    <n v="33.296999999999997"/>
    <n v="29.315999999999999"/>
    <n v="2.2805626999999999"/>
    <n v="7.0697059800000002"/>
    <n v="2.516"/>
    <n v="2.6890000000000001"/>
    <s v=""/>
    <n v="0.40843730000000011"/>
  </r>
  <r>
    <s v="New Zealand"/>
    <x v="2"/>
    <x v="2"/>
    <n v="23.714226589999999"/>
    <n v="1.6612487309999999"/>
    <n v="0.27813560599999998"/>
    <n v="13.14059776"/>
    <n v="14.27494038"/>
    <n v="72.572800779999994"/>
    <n v="23.76825646"/>
    <n v="4.3659999999999997"/>
    <n v="4.8840000000000003"/>
    <n v="5.5689930539999999"/>
    <n v="5.5309946630000004"/>
    <n v="0.16742562499999999"/>
    <n v="32.898000000000003"/>
    <n v="28.780999999999999"/>
    <n v="2.532722138"/>
    <n v="7.0733783209999999"/>
    <n v="2.5739999999999998"/>
    <n v="3.0179999999999998"/>
    <s v=""/>
    <n v="0.48527786199999978"/>
  </r>
  <r>
    <s v="New Zealand"/>
    <x v="3"/>
    <x v="2"/>
    <n v="23.42923571"/>
    <n v="1.567786549"/>
    <n v="0.25828445100000003"/>
    <n v="13.645174340000001"/>
    <n v="14.944148950000001"/>
    <n v="77.021152439999994"/>
    <n v="24.030036330000001"/>
    <n v="4.359"/>
    <n v="5.0270000000000001"/>
    <n v="5.3840005120000001"/>
    <n v="5.3579941140000003"/>
    <n v="0.16474465299999999"/>
    <n v="34.274999999999999"/>
    <n v="29.93"/>
    <n v="2.453687859"/>
    <n v="7.1480671039999999"/>
    <n v="2.6469999999999998"/>
    <n v="3.3370000000000002"/>
    <s v=""/>
    <n v="0.88331214100000022"/>
  </r>
  <r>
    <s v="New Zealand"/>
    <x v="4"/>
    <x v="2"/>
    <n v="23.98646244"/>
    <n v="1.5661182890000001"/>
    <n v="0.25155189999999999"/>
    <n v="13.254884860000001"/>
    <n v="15.315868930000001"/>
    <n v="82.05554918"/>
    <n v="23.287267589999999"/>
    <n v="4.7210000000000001"/>
    <n v="5.226"/>
    <n v="5.0240022599999996"/>
    <n v="5.0250025970000003"/>
    <n v="0.16062126500000001"/>
    <n v="34.851999999999997"/>
    <n v="30.518999999999998"/>
    <n v="2.3105853949999999"/>
    <n v="6.5849879490000003"/>
    <n v="2.444"/>
    <n v="3.0329999999999999"/>
    <s v=""/>
    <n v="0.72241460499999999"/>
  </r>
  <r>
    <s v="New Zealand"/>
    <x v="5"/>
    <x v="2"/>
    <n v="24.380093169999999"/>
    <n v="1.588711746"/>
    <n v="0.24415065499999999"/>
    <n v="13.108826799999999"/>
    <n v="15.345825469999999"/>
    <n v="83.855134359999994"/>
    <n v="22.77124371"/>
    <n v="4.9290000000000003"/>
    <n v="4.843"/>
    <n v="4.6779940719999997"/>
    <n v="4.7229990730000004"/>
    <n v="0.153678385"/>
    <n v="36.061"/>
    <n v="31.145"/>
    <n v="2.2926691140000002"/>
    <n v="6.1811929790000004"/>
    <n v="1.98"/>
    <n v="3.577"/>
    <s v=""/>
    <n v="1.2843308859999998"/>
  </r>
  <r>
    <s v="New Zealand"/>
    <x v="6"/>
    <x v="2"/>
    <n v="25.86243885"/>
    <n v="1.6414207599999999"/>
    <n v="0.24994467100000001"/>
    <n v="14.03388601"/>
    <n v="15.75612999"/>
    <n v="79.066706879999998"/>
    <n v="22.70470482"/>
    <n v="4.95"/>
    <n v="4.7350000000000003"/>
    <n v="5.4800028019999996"/>
    <n v="5.5209991030000003"/>
    <n v="0.15227336999999999"/>
    <n v="36.472999999999999"/>
    <n v="32.003999999999998"/>
    <n v="2.26439352"/>
    <n v="6.1305623340000004"/>
    <n v="2.379"/>
    <n v="3.61"/>
    <s v=""/>
    <n v="1.3456064799999998"/>
  </r>
  <r>
    <s v="New Zealand"/>
    <x v="7"/>
    <x v="2"/>
    <n v="28.229284849999999"/>
    <n v="1.73394297"/>
    <n v="0.26735478299999998"/>
    <n v="14.64271465"/>
    <n v="16.280399840000001"/>
    <n v="70.093508310000004"/>
    <n v="23.18368254"/>
    <n v="5.085"/>
    <n v="5.1340000000000003"/>
    <n v="5.8940024419999997"/>
    <n v="5.9669970210000001"/>
    <n v="0.15418891400000001"/>
    <n v="37.109000000000002"/>
    <n v="33.04"/>
    <n v="2.4121561489999999"/>
    <n v="6.3030531679999999"/>
    <n v="2.8820000000000001"/>
    <n v="3.5670000000000002"/>
    <s v=""/>
    <n v="1.1548438510000003"/>
  </r>
  <r>
    <s v="New Zealand"/>
    <x v="8"/>
    <x v="2"/>
    <n v="27.36759571"/>
    <n v="1.704896075"/>
    <n v="0.25715734600000001"/>
    <n v="13.533508700000001"/>
    <n v="16.052354220000002"/>
    <n v="75.648081680000004"/>
    <n v="23.486451710000001"/>
    <n v="5.0629999999999997"/>
    <n v="5.3230000000000004"/>
    <n v="5.3199966999999999"/>
    <n v="5.3289998079999998"/>
    <n v="0.150834617"/>
    <n v="37.610999999999997"/>
    <n v="33.201000000000001"/>
    <n v="2.228433586"/>
    <n v="6.9607295740000001"/>
    <n v="2.3029999999999999"/>
    <n v="3.1269999999999998"/>
    <s v=""/>
    <n v="0.89856641399999981"/>
  </r>
  <r>
    <s v="New Zealand"/>
    <x v="9"/>
    <x v="2"/>
    <n v="28.96199605"/>
    <n v="1.734696258"/>
    <n v="0.25805958000000001"/>
    <n v="14.025492789999999"/>
    <n v="16.69571599"/>
    <n v="69.522449629999997"/>
    <n v="23.050818750000001"/>
    <n v="5.1890000000000001"/>
    <n v="5.0679999999999996"/>
    <n v="6.0169999699999996"/>
    <n v="5.9520040850000004"/>
    <n v="0.14876355399999999"/>
    <n v="37.817999999999998"/>
    <n v="33.93"/>
    <n v="2.311739046"/>
    <n v="7.6656618539999997"/>
    <n v="2.0630000000000002"/>
    <n v="3.5070000000000001"/>
    <s v=""/>
    <n v="1.1952609540000001"/>
  </r>
  <r>
    <s v="New Zealand"/>
    <x v="10"/>
    <x v="2"/>
    <n v="30.098297500000001"/>
    <n v="1.7429554599999999"/>
    <n v="0.26061777000000003"/>
    <n v="14.46837285"/>
    <n v="17.268540810000001"/>
    <n v="71.501006450000006"/>
    <n v="22.335229779999999"/>
    <n v="5.4089999999999998"/>
    <n v="5.2530000000000001"/>
    <n v="6.3240082270000002"/>
    <n v="6.3269961979999998"/>
    <n v="0.149526351"/>
    <n v="39.247"/>
    <n v="34.697000000000003"/>
    <n v="2.1988686180000001"/>
    <n v="7.9216245829999998"/>
    <n v="1.87"/>
    <n v="3.4580000000000002"/>
    <s v=""/>
    <n v="1.2591313820000001"/>
  </r>
  <r>
    <s v="New Zealand"/>
    <x v="11"/>
    <x v="2"/>
    <n v="31.908285660000001"/>
    <n v="1.844988082"/>
    <n v="0.26702611500000001"/>
    <n v="14.537490650000001"/>
    <n v="17.29457549"/>
    <n v="63.556645019999998"/>
    <n v="22.80969262"/>
    <n v="5.3490000000000002"/>
    <n v="5.1970000000000001"/>
    <n v="6.3659980090000001"/>
    <n v="6.3799965040000002"/>
    <n v="0.14473053599999999"/>
    <n v="39.570999999999998"/>
    <n v="35.375999999999998"/>
    <n v="2.6606892430000002"/>
    <n v="7.6520684340000003"/>
    <n v="1.784"/>
    <n v="3.9119999999999999"/>
    <s v=""/>
    <n v="1.2513107569999997"/>
  </r>
  <r>
    <s v="New Zealand"/>
    <x v="12"/>
    <x v="2"/>
    <n v="31.979928059999999"/>
    <n v="1.847800903"/>
    <n v="0.25565995499999999"/>
    <n v="14.814572610000001"/>
    <n v="17.307020470000001"/>
    <n v="69.47917692"/>
    <n v="22.323344729999999"/>
    <n v="5.6070000000000002"/>
    <n v="5.5149999999999997"/>
    <n v="6.0120042309999997"/>
    <n v="6.0500029370000004"/>
    <n v="0.13835903799999999"/>
    <n v="40.628"/>
    <n v="36.195"/>
    <n v="2.6667395090000001"/>
    <n v="7.5539037120000003"/>
    <n v="1.627"/>
    <n v="4.4589999999999996"/>
    <s v=""/>
    <n v="1.7922604909999995"/>
  </r>
  <r>
    <s v="New Zealand"/>
    <x v="13"/>
    <x v="2"/>
    <n v="32.539498129999998"/>
    <n v="1.9033362810000001"/>
    <n v="0.24878124600000001"/>
    <n v="13.50885319"/>
    <n v="17.096032090000001"/>
    <n v="66.00583949"/>
    <n v="23.568785739999999"/>
    <n v="5.8280000000000003"/>
    <n v="5.3369999999999997"/>
    <n v="4.6480058849999999"/>
    <n v="4.6050033509999997"/>
    <n v="0.130707983"/>
    <n v="40.756999999999998"/>
    <n v="36.369"/>
    <n v="3.823447566"/>
    <n v="7.3288024140000001"/>
    <n v="1.2669999999999999"/>
    <n v="5.18"/>
    <s v=""/>
    <n v="1.3565524339999997"/>
  </r>
  <r>
    <s v="New Zealand"/>
    <x v="14"/>
    <x v="2"/>
    <n v="32.289668249999998"/>
    <n v="1.8397963450000001"/>
    <n v="0.2372988"/>
    <n v="13.464164200000001"/>
    <n v="17.550675290000001"/>
    <n v="72.267135330000002"/>
    <n v="23.846394960000001"/>
    <n v="6.0129999999999999"/>
    <n v="5.2480000000000002"/>
    <n v="4.2580050639999998"/>
    <n v="4.2850019259999996"/>
    <n v="0.128981015"/>
    <n v="42.674999999999997"/>
    <n v="37.866999999999997"/>
    <n v="3.9909208220000001"/>
    <n v="7.5922671350000002"/>
    <n v="1.123"/>
    <n v="5.1550000000000002"/>
    <s v=""/>
    <n v="1.1640791780000002"/>
  </r>
  <r>
    <s v="New Zealand"/>
    <x v="15"/>
    <x v="2"/>
    <n v="32.983339379999997"/>
    <n v="1.9250343990000001"/>
    <n v="0.23460447300000001"/>
    <n v="13.065324909999999"/>
    <n v="17.133896100000001"/>
    <n v="64.352834189999996"/>
    <n v="25.469880799999999"/>
    <n v="6.0549999999999997"/>
    <n v="5.3559999999999999"/>
    <n v="4.1289948279999997"/>
    <n v="4.1259947830000003"/>
    <n v="0.121870276"/>
    <n v="42.887"/>
    <n v="38.408000000000001"/>
    <n v="4.416462632"/>
    <n v="8.9864061369999995"/>
    <n v="1.054"/>
    <n v="5.2670000000000003"/>
    <s v=""/>
    <n v="0.85053736800000035"/>
  </r>
  <r>
    <s v="New Zealand"/>
    <x v="16"/>
    <x v="2"/>
    <n v="33.109399410000002"/>
    <n v="1.932067478"/>
    <n v="0.22898871600000001"/>
    <n v="13.457157499999999"/>
    <n v="17.136771769999999"/>
    <n v="64.721454879999996"/>
    <n v="25.739249910000002"/>
    <n v="6.133"/>
    <n v="5.21"/>
    <n v="3.9680037100000001"/>
    <n v="3.8990005339999998"/>
    <n v="0.11852004100000001"/>
    <n v="43.44"/>
    <n v="39.256999999999998"/>
    <n v="4.367498748"/>
    <n v="9.3600368320000005"/>
    <n v="1.0029999999999999"/>
    <n v="5.6740000000000004"/>
    <s v=""/>
    <n v="1.3065012520000003"/>
  </r>
  <r>
    <s v="New Zealand"/>
    <x v="17"/>
    <x v="2"/>
    <n v="31.949347329999998"/>
    <n v="1.8428440619999999"/>
    <n v="0.21450245400000001"/>
    <n v="14.32199885"/>
    <n v="17.336978200000001"/>
    <n v="65.505982279999998"/>
    <n v="25.775069770000002"/>
    <n v="6.1550000000000002"/>
    <n v="4.9690000000000003"/>
    <n v="4.3989996729999996"/>
    <n v="4.3619966860000003"/>
    <n v="0.116397506"/>
    <n v="43.795999999999999"/>
    <n v="39.552999999999997"/>
    <n v="3.3416318120000001"/>
    <n v="10.37766006"/>
    <n v="2.0089999999999999"/>
    <n v="4.835"/>
    <s v=""/>
    <n v="1.4933681879999998"/>
  </r>
  <r>
    <s v="New Zealand"/>
    <x v="18"/>
    <x v="2"/>
    <n v="33.033291660000003"/>
    <n v="1.877816999"/>
    <n v="0.224040198"/>
    <n v="15.171957129999999"/>
    <n v="17.59132636"/>
    <n v="64.274958929999997"/>
    <n v="25.650724929999999"/>
    <n v="6.2389999999999999"/>
    <n v="5.2270000000000003"/>
    <n v="4.273005275"/>
    <n v="4.1499970609999997"/>
    <n v="0.119308856"/>
    <n v="43.832000000000001"/>
    <n v="39.194000000000003"/>
    <n v="4.1652466779999999"/>
    <n v="12.148658510000001"/>
    <n v="2.8109999999999999"/>
    <n v="4.8310000000000004"/>
    <s v=""/>
    <n v="0.66575332200000048"/>
  </r>
  <r>
    <s v="New Zealand"/>
    <x v="19"/>
    <x v="2"/>
    <n v="30.267646800000001"/>
    <n v="1.7099162750000001"/>
    <n v="0.20572251599999999"/>
    <n v="15.488782430000001"/>
    <n v="17.701244930000001"/>
    <n v="71.711010860000002"/>
    <n v="25.918354220000001"/>
    <n v="5.9649999999999999"/>
    <n v="5.1079999999999997"/>
    <n v="4.4909960959999999"/>
    <n v="4.2740025749999999"/>
    <n v="0.120311455"/>
    <n v="43.448"/>
    <n v="39.28"/>
    <n v="3.2491487170000002"/>
    <n v="14.73485546"/>
    <n v="2.6539999999999999"/>
    <n v="4.5129999999999999"/>
    <s v=""/>
    <n v="1.2638512829999997"/>
  </r>
  <r>
    <s v="New Zealand"/>
    <x v="20"/>
    <x v="2"/>
    <n v="29.994329839999999"/>
    <n v="1.617639209"/>
    <n v="0.200774429"/>
    <n v="17.04878948"/>
    <n v="18.542039330000001"/>
    <n v="73.181767519999994"/>
    <n v="25.9551689"/>
    <n v="6.0209999999999999"/>
    <n v="5.3"/>
    <n v="4.8319974129999999"/>
    <n v="4.7070001110000002"/>
    <n v="0.12411570399999999"/>
    <n v="44.865000000000002"/>
    <n v="40.69"/>
    <n v="2.844774342"/>
    <n v="16.868382929999999"/>
    <n v="2.6190000000000002"/>
    <n v="5.3419999999999996"/>
    <s v=""/>
    <n v="2.4972256579999996"/>
  </r>
  <r>
    <s v="New Zealand"/>
    <x v="21"/>
    <x v="2"/>
    <n v="29.282931640000001"/>
    <n v="1.587759578"/>
    <n v="0.19154154700000001"/>
    <n v="16.255612030000002"/>
    <n v="18.442925519999999"/>
    <n v="76.096012250000001"/>
    <n v="25.999773879999999"/>
    <n v="5.9980000000000002"/>
    <n v="5.5179999999999998"/>
    <n v="4.358999206"/>
    <n v="4.3249952990000002"/>
    <n v="0.12063636699999999"/>
    <n v="44.411000000000001"/>
    <n v="40.341999999999999"/>
    <n v="2.9823294759999999"/>
    <n v="18.308527170000001"/>
    <n v="2.2749999999999999"/>
    <n v="4.9589999999999996"/>
    <s v=""/>
    <n v="1.9766705239999998"/>
  </r>
  <r>
    <s v="New Zealand"/>
    <x v="22"/>
    <x v="2"/>
    <n v="31.112608529999999"/>
    <n v="1.6055224100000001"/>
    <n v="0.19907817"/>
    <n v="16.212295659999999"/>
    <n v="19.37849533"/>
    <n v="71.809760510000004"/>
    <n v="25.38400068"/>
    <n v="5.96"/>
    <n v="5.7430000000000003"/>
    <n v="4.6479940439999998"/>
    <n v="4.5050024320000004"/>
    <n v="0.123995884"/>
    <n v="44.26"/>
    <n v="39.880000000000003"/>
    <n v="3.527751184"/>
    <n v="18.793493000000002"/>
    <n v="2.032"/>
    <n v="4.9219999999999997"/>
    <s v=""/>
    <n v="1.3942488159999997"/>
  </r>
  <r>
    <s v="New Zealand"/>
    <x v="23"/>
    <x v="2"/>
    <n v="31.250577870000001"/>
    <n v="1.603215192"/>
    <n v="0.19494051500000001"/>
    <n v="16.305068080000002"/>
    <n v="19.492441199999998"/>
    <n v="74.212193369999994"/>
    <n v="24.409970950000002"/>
    <n v="6.04"/>
    <n v="5.5190000000000001"/>
    <n v="4.7909990069999999"/>
    <n v="4.8069988879999999"/>
    <n v="0.12159348"/>
    <n v="43.253"/>
    <n v="39.496000000000002"/>
    <n v="3.1080989140000002"/>
    <n v="19.681871780000002"/>
    <n v="1.7789999999999999"/>
    <n v="4.625"/>
    <s v=""/>
    <n v="1.5169010859999998"/>
  </r>
  <r>
    <s v="New Zealand"/>
    <x v="24"/>
    <x v="2"/>
    <n v="31.8993602"/>
    <n v="1.5525925840000001"/>
    <n v="0.19185902099999999"/>
    <n v="17.07128698"/>
    <n v="20.545866660000002"/>
    <n v="79.137764709999999"/>
    <n v="23.132768550000002"/>
    <n v="6.1890000000000001"/>
    <n v="5.4180000000000001"/>
    <n v="5.2409991370000002"/>
    <n v="5.3689941189999999"/>
    <n v="0.123573321"/>
    <n v="43.537999999999997"/>
    <n v="39.862000000000002"/>
    <n v="3.1581389799999999"/>
    <n v="21.96931416"/>
    <n v="1.9890000000000001"/>
    <n v="3.9849999999999999"/>
    <s v=""/>
    <n v="0.82686101999999995"/>
  </r>
  <r>
    <s v="New Zealand"/>
    <x v="25"/>
    <x v="2"/>
    <n v="31.668587089999999"/>
    <n v="1.523132935"/>
    <n v="0.183879497"/>
    <n v="16.71219679"/>
    <n v="20.79174205"/>
    <n v="80.080951519999999"/>
    <n v="23.565457089999999"/>
    <n v="6.3319999999999999"/>
    <n v="5.8090000000000002"/>
    <n v="4.9540037659999996"/>
    <n v="5.0599977330000003"/>
    <n v="0.120724523"/>
    <n v="44.223999999999997"/>
    <n v="40.421999999999997"/>
    <n v="2.9476594739999999"/>
    <n v="23.306349489999999"/>
    <n v="2.0609999999999999"/>
    <n v="3.391"/>
    <s v=""/>
    <n v="0.44334052600000007"/>
  </r>
  <r>
    <s v="New Zealand"/>
    <x v="26"/>
    <x v="2"/>
    <n v="31.22167353"/>
    <n v="1.51900974"/>
    <n v="0.17490776699999999"/>
    <n v="16.202305240000001"/>
    <n v="20.553965340000001"/>
    <n v="84.235697939999994"/>
    <n v="22.703646209999999"/>
    <n v="6.4749999999999996"/>
    <n v="5.6950000000000003"/>
    <n v="5.066005241"/>
    <n v="5.0630052240000003"/>
    <n v="0.115145915"/>
    <n v="43.7"/>
    <n v="39.780999999999999"/>
    <n v="2.515598454"/>
    <n v="23.597254"/>
    <n v="1.752"/>
    <n v="2.8660000000000001"/>
    <s v=""/>
    <n v="0.35040154600000006"/>
  </r>
  <r>
    <s v="New Zealand"/>
    <x v="27"/>
    <x v="2"/>
    <n v="32.733009209999999"/>
    <n v="1.5826509479999999"/>
    <n v="0.17781169199999999"/>
    <n v="15.995532559999999"/>
    <n v="20.6823932"/>
    <n v="81.118622999999999"/>
    <n v="22.330648310000001"/>
    <n v="6.728383"/>
    <n v="5.524"/>
    <n v="4.9900026950000003"/>
    <n v="5.1692509629999996"/>
    <n v="0.112350542"/>
    <n v="44.192332999999998"/>
    <n v="39.662982999999997"/>
    <n v="2.6317106269999999"/>
    <n v="22.89686992"/>
    <n v="1.585"/>
    <n v="2.9185629999999998"/>
    <s v=""/>
    <n v="0.28685237299999988"/>
  </r>
  <r>
    <s v="New Zealand"/>
    <x v="28"/>
    <x v="2"/>
    <n v="32.156835289999997"/>
    <n v="1.5735058749999999"/>
    <n v="0.16996763600000001"/>
    <n v="15.44902598"/>
    <n v="20.4364253"/>
    <n v="83.375657910000001"/>
    <n v="22.720861750000001"/>
    <n v="6.7787420000000003"/>
    <n v="5.5140000000000002"/>
    <n v="4.4080006349999996"/>
    <n v="4.5829953090000002"/>
    <n v="0.108018431"/>
    <n v="44.380042000000003"/>
    <n v="39.543334000000002"/>
    <n v="2.621948481"/>
    <n v="22.938711959999999"/>
    <n v="1.2589999999999999"/>
    <n v="3.2385989999999998"/>
    <s v=""/>
    <n v="0.61665051899999979"/>
  </r>
  <r>
    <s v="New Zealand"/>
    <x v="29"/>
    <x v="2"/>
    <n v="32.083722549999997"/>
    <n v="1.547578401"/>
    <n v="0.16589662899999999"/>
    <n v="15.6818005"/>
    <n v="20.731565209999999"/>
    <n v="81.681178930000002"/>
    <n v="22.26833096"/>
    <n v="6.9772993760000004"/>
    <n v="5.6519082799999998"/>
    <n v="4.728642153"/>
    <n v="4.926470739"/>
    <n v="0.10719756"/>
    <n v="44.781132040000003"/>
    <n v="39.74586266"/>
    <n v="2.9715604"/>
    <n v="23.346839809999999"/>
    <n v="1.3006144829999999"/>
    <n v="3.0413087760000002"/>
    <s v=""/>
    <n v="6.9748376000000167E-2"/>
  </r>
  <r>
    <s v="New Zealand"/>
    <x v="30"/>
    <x v="2"/>
    <n v="30.004304309999998"/>
    <n v="1.443832242"/>
    <n v="0.17030131200000001"/>
    <n v="15.19973315"/>
    <n v="20.781018339999999"/>
    <n v="80.029880219999995"/>
    <n v="23.4529158"/>
    <n v="6.4076234899999998"/>
    <n v="4.026153742"/>
    <n v="4.6511591599999997"/>
    <n v="4.8808744669999999"/>
    <n v="0.1179509"/>
    <n v="44.150343550000002"/>
    <n v="38.929244930000003"/>
    <n v="2.8127704470000001"/>
    <n v="23.91162611"/>
    <n v="1.1182137569999999"/>
    <n v="2.8254879160000002"/>
    <s v=""/>
    <n v="1.2717469000000037E-2"/>
  </r>
  <r>
    <s v="Nigeria"/>
    <x v="0"/>
    <x v="6"/>
    <n v="28.320678319999999"/>
    <n v="0.42630720999999999"/>
    <n v="9.2771675999999997E-2"/>
    <n v="146.30307970000001"/>
    <n v="66.432557750000001"/>
    <n v="32.58560499"/>
    <n v="1.141129206"/>
    <n v="7.0860000000000003"/>
    <n v="12.849"/>
    <n v="4"/>
    <n v="4"/>
    <n v="0.217616953"/>
    <n v="13.462999999999999"/>
    <n v="7.8710000000000004"/>
    <n v="7.4999999999999997E-2"/>
    <n v="0"/>
    <n v="88.322000000000003"/>
    <n v="0.09"/>
    <s v=""/>
    <n v="1.4999999999999999E-2"/>
  </r>
  <r>
    <s v="Nigeria"/>
    <x v="1"/>
    <x v="6"/>
    <n v="33.591432210000001"/>
    <n v="0.48252142799999997"/>
    <n v="0.10964447400000001"/>
    <n v="152.48683149999999"/>
    <n v="69.616456889999995"/>
    <n v="41.864897300000003"/>
    <n v="1.1465298230000001"/>
    <n v="8.516"/>
    <n v="13.901999999999999"/>
    <n v="4.8780038479999996"/>
    <n v="4.8780038479999996"/>
    <n v="0.227232342"/>
    <n v="14.167"/>
    <n v="8.2919999999999998"/>
    <n v="7.2999999999999995E-2"/>
    <n v="0"/>
    <n v="92.144000000000005"/>
    <n v="0.1"/>
    <s v=""/>
    <n v="2.700000000000001E-2"/>
  </r>
  <r>
    <s v="Nigeria"/>
    <x v="2"/>
    <x v="6"/>
    <n v="40.145987689999998"/>
    <n v="0.55475004100000003"/>
    <n v="0.12523888699999999"/>
    <n v="157.6720157"/>
    <n v="72.367705709999996"/>
    <n v="40.845355259999998"/>
    <n v="1.1497438980000001"/>
    <n v="10.358000000000001"/>
    <n v="12.723000000000001"/>
    <n v="5.13199761"/>
    <n v="5.13199761"/>
    <n v="0.22575732800000001"/>
    <n v="14.834"/>
    <n v="8.6989999999999998"/>
    <n v="5.1999999999999998E-2"/>
    <n v="0"/>
    <n v="95.575000000000003"/>
    <n v="8.6999999999999994E-2"/>
    <s v=""/>
    <n v="3.4999999999999996E-2"/>
  </r>
  <r>
    <s v="Nigeria"/>
    <x v="3"/>
    <x v="6"/>
    <n v="36.639817610000001"/>
    <n v="0.49829899900000002"/>
    <n v="0.11667557200000001"/>
    <n v="160.4593079"/>
    <n v="73.529783660000007"/>
    <n v="38.41433988"/>
    <n v="1.3155242110000001"/>
    <n v="9.0120000000000005"/>
    <n v="12.432"/>
    <n v="5.6049976580000003"/>
    <n v="5.6049976580000003"/>
    <n v="0.23414771500000001"/>
    <n v="14.505000000000001"/>
    <n v="9.9979999999999993"/>
    <n v="8.0000000000000002E-3"/>
    <n v="0"/>
    <n v="96.509"/>
    <n v="2.8000000000000001E-2"/>
    <s v=""/>
    <n v="0.02"/>
  </r>
  <r>
    <s v="Nigeria"/>
    <x v="4"/>
    <x v="6"/>
    <n v="30.849902570000001"/>
    <n v="0.430108029"/>
    <n v="0.100054115"/>
    <n v="161.6838904"/>
    <n v="71.725939710000006"/>
    <n v="35.812246469999998"/>
    <n v="1.266052526"/>
    <n v="7.1559999999999997"/>
    <n v="8.0039999999999996"/>
    <n v="5.4929988869999997"/>
    <n v="5.4929988869999997"/>
    <n v="0.23262554499999999"/>
    <n v="15.531000000000001"/>
    <n v="9.5950000000000006"/>
    <n v="2.5000000000000001E-2"/>
    <n v="0"/>
    <n v="96.215999999999994"/>
    <n v="2.5000000000000001E-2"/>
    <s v=""/>
    <n v="0"/>
  </r>
  <r>
    <s v="Nigeria"/>
    <x v="5"/>
    <x v="6"/>
    <n v="33.200786290000003"/>
    <n v="0.45497779399999999"/>
    <n v="0.107756932"/>
    <n v="164.6169884"/>
    <n v="72.972322439999999"/>
    <n v="34.684997160000002"/>
    <n v="1.204604837"/>
    <n v="8.0050000000000008"/>
    <n v="9.15"/>
    <n v="5.3849959859999998"/>
    <n v="5.3849959859999998"/>
    <n v="0.236839982"/>
    <n v="15.856999999999999"/>
    <n v="9.4359999999999999"/>
    <n v="0.02"/>
    <n v="0"/>
    <n v="97.540999999999997"/>
    <n v="0.02"/>
    <s v=""/>
    <n v="0"/>
  </r>
  <r>
    <s v="Nigeria"/>
    <x v="6"/>
    <x v="6"/>
    <n v="36.929341669999999"/>
    <n v="0.48623514400000001"/>
    <n v="0.11503173899999999"/>
    <n v="177.12520079999999"/>
    <n v="75.949552699999998"/>
    <n v="33.860740010000001"/>
    <n v="1.112922237"/>
    <n v="9.2360000000000007"/>
    <n v="10.959"/>
    <n v="5.4570023340000002"/>
    <n v="5.4570023340000002"/>
    <n v="0.23657635699999999"/>
    <n v="16.242999999999999"/>
    <n v="9.0519999999999996"/>
    <n v="8.0000000000000002E-3"/>
    <n v="0"/>
    <n v="108.032"/>
    <n v="8.0000000000000002E-3"/>
    <s v=""/>
    <n v="0"/>
  </r>
  <r>
    <s v="Nigeria"/>
    <x v="7"/>
    <x v="6"/>
    <n v="41.584129789999999"/>
    <n v="0.52587768000000001"/>
    <n v="0.125835104"/>
    <n v="188.7734031"/>
    <n v="79.075669770000005"/>
    <n v="34.70248806"/>
    <n v="1.04492473"/>
    <n v="9.7110000000000003"/>
    <n v="9.9469999999999992"/>
    <n v="5.7059964369999996"/>
    <n v="6.1779993099999997"/>
    <n v="0.23928588000000001"/>
    <n v="16.117000000000001"/>
    <n v="8.843"/>
    <n v="0.01"/>
    <n v="0"/>
    <n v="117.458"/>
    <n v="0.01"/>
    <s v=""/>
    <n v="0"/>
  </r>
  <r>
    <s v="Nigeria"/>
    <x v="8"/>
    <x v="6"/>
    <n v="37.631568870000002"/>
    <n v="0.47025753399999998"/>
    <n v="0.11100908299999999"/>
    <n v="184.62544249999999"/>
    <n v="80.023319380000004"/>
    <n v="38.217192769999997"/>
    <n v="0.99795321199999998"/>
    <n v="8.5229999999999997"/>
    <n v="7.2629999999999999"/>
    <n v="5.9"/>
    <n v="6.2689929209999997"/>
    <n v="0.23606019"/>
    <n v="15.111000000000001"/>
    <n v="8.5210000000000008"/>
    <n v="1.2E-2"/>
    <n v="0"/>
    <n v="111.375"/>
    <n v="1.2E-2"/>
    <s v=""/>
    <n v="0"/>
  </r>
  <r>
    <s v="Nigeria"/>
    <x v="9"/>
    <x v="6"/>
    <n v="39.463835629999998"/>
    <n v="0.47728449699999997"/>
    <n v="0.115738016"/>
    <n v="183.10614039999999"/>
    <n v="82.684092750000005"/>
    <n v="38.212443280000002"/>
    <n v="0.97832463300000005"/>
    <n v="8.8170000000000002"/>
    <n v="8.5939999999999994"/>
    <n v="6.95"/>
    <n v="6.6400008420000001"/>
    <n v="0.24249271999999999"/>
    <n v="16.088999999999999"/>
    <n v="8.5760000000000005"/>
    <n v="1.6E-2"/>
    <n v="0"/>
    <n v="107.066"/>
    <n v="1.6E-2"/>
    <s v=""/>
    <n v="0"/>
  </r>
  <r>
    <s v="Nigeria"/>
    <x v="10"/>
    <x v="6"/>
    <n v="43.994851920000002"/>
    <n v="0.50529150599999995"/>
    <n v="0.12286364499999999"/>
    <n v="197.9377135"/>
    <n v="87.068259330000004"/>
    <n v="38.21552251"/>
    <n v="0.94858386800000005"/>
    <n v="9.6649999999999991"/>
    <n v="4.9800000000000004"/>
    <n v="12.46"/>
    <n v="7.6459968790000001"/>
    <n v="0.24315398899999999"/>
    <n v="14.727"/>
    <n v="8.6880000000000006"/>
    <n v="3.0000000000000001E-3"/>
    <n v="0"/>
    <n v="115.178"/>
    <n v="3.0000000000000001E-3"/>
    <s v=""/>
    <n v="0"/>
  </r>
  <r>
    <s v="Nigeria"/>
    <x v="11"/>
    <x v="6"/>
    <n v="49.661372640000003"/>
    <n v="0.54716406299999998"/>
    <n v="0.13093983100000001"/>
    <n v="207.78696550000001"/>
    <n v="90.761393209999994"/>
    <n v="38.216272150000002"/>
    <n v="0.93714379599999997"/>
    <n v="12.015000000000001"/>
    <n v="11.045999999999999"/>
    <n v="14.9"/>
    <n v="7.2020042259999997"/>
    <n v="0.239306344"/>
    <n v="15.462"/>
    <n v="9.0340000000000007"/>
    <n v="3.0000000000000001E-3"/>
    <n v="0"/>
    <n v="120.72"/>
    <n v="3.0000000000000001E-3"/>
    <s v=""/>
    <n v="0"/>
  </r>
  <r>
    <s v="Nigeria"/>
    <x v="12"/>
    <x v="6"/>
    <n v="51.360037200000001"/>
    <n v="0.54916594100000005"/>
    <n v="0.11741924300000001"/>
    <n v="192.2127318"/>
    <n v="93.523711719999994"/>
    <n v="38.217683919999999"/>
    <n v="1.296693466"/>
    <n v="12.301"/>
    <n v="10.696999999999999"/>
    <n v="14.2"/>
    <n v="7.6440001369999999"/>
    <n v="0.21381377400000001"/>
    <n v="21.545000000000002"/>
    <n v="12.843"/>
    <n v="4.2999999999999997E-2"/>
    <n v="0"/>
    <n v="103.61799999999999"/>
    <n v="4.2999999999999997E-2"/>
    <s v=""/>
    <n v="0"/>
  </r>
  <r>
    <s v="Nigeria"/>
    <x v="13"/>
    <x v="6"/>
    <n v="55.621154529999998"/>
    <n v="0.56729407600000004"/>
    <n v="0.11845768600000001"/>
    <n v="215.63097590000001"/>
    <n v="98.046422210000003"/>
    <n v="36.900515259999999"/>
    <n v="1.228908039"/>
    <n v="11.656000000000001"/>
    <n v="6.44"/>
    <n v="22.02998358"/>
    <n v="10.69399269"/>
    <n v="0.20881178"/>
    <n v="20.184000000000001"/>
    <n v="12.867000000000001"/>
    <n v="2.3E-2"/>
    <n v="0"/>
    <n v="117.93899999999999"/>
    <n v="2.3E-2"/>
    <s v=""/>
    <n v="0"/>
  </r>
  <r>
    <s v="Nigeria"/>
    <x v="14"/>
    <x v="6"/>
    <n v="55.879330889999999"/>
    <n v="0.56173514800000002"/>
    <n v="0.108930821"/>
    <n v="229.5232766"/>
    <n v="99.476294289999998"/>
    <n v="33.400617920000002"/>
    <n v="1.5089033359999999"/>
    <n v="11.512"/>
    <n v="5.5439999999999996"/>
    <n v="24.06898348"/>
    <n v="11.027003410000001"/>
    <n v="0.19391847100000001"/>
    <n v="24.274999999999999"/>
    <n v="16.036000000000001"/>
    <n v="8.0000000000000002E-3"/>
    <n v="0"/>
    <n v="127.48099999999999"/>
    <n v="8.0000000000000002E-3"/>
    <s v=""/>
    <n v="0"/>
  </r>
  <r>
    <s v="Nigeria"/>
    <x v="15"/>
    <x v="6"/>
    <n v="58.3584763"/>
    <n v="0.55449032200000004"/>
    <n v="0.106882034"/>
    <n v="233.55198039999999"/>
    <n v="105.24706020000001"/>
    <n v="33.00055227"/>
    <n v="1.5792114850000001"/>
    <n v="12.382"/>
    <n v="10.122"/>
    <n v="24.21100693"/>
    <n v="11.036014460000001"/>
    <n v="0.19275725799999999"/>
    <n v="23.539000000000001"/>
    <n v="17.286000000000001"/>
    <n v="8.0000000000000002E-3"/>
    <n v="0"/>
    <n v="128.648"/>
    <n v="8.0000000000000002E-3"/>
    <s v=""/>
    <n v="0"/>
  </r>
  <r>
    <s v="Nigeria"/>
    <x v="16"/>
    <x v="6"/>
    <n v="53.12627054"/>
    <n v="0.50158914700000001"/>
    <n v="9.1740439000000007E-2"/>
    <n v="233.21208329999999"/>
    <n v="105.91590909999999"/>
    <n v="27.100822149999999"/>
    <n v="1.3811854130000001"/>
    <n v="10.35"/>
    <n v="6.1029999999999998"/>
    <n v="28.288000719999999"/>
    <n v="11.564001620000001"/>
    <n v="0.18289957000000001"/>
    <n v="23.11"/>
    <n v="15.268000000000001"/>
    <n v="8.0000000000000002E-3"/>
    <n v="0"/>
    <n v="122.31399999999999"/>
    <n v="8.0000000000000002E-3"/>
    <s v=""/>
    <n v="0"/>
  </r>
  <r>
    <s v="Nigeria"/>
    <x v="17"/>
    <x v="6"/>
    <n v="49.124516730000003"/>
    <n v="0.44717043400000001"/>
    <n v="7.9584539999999995E-2"/>
    <n v="236.04016820000001"/>
    <n v="109.8563613"/>
    <n v="27.099834619999999"/>
    <n v="1.742988843"/>
    <n v="8.7159999999999993"/>
    <n v="3.0030000000000001"/>
    <n v="35.39604052"/>
    <n v="11.89400418"/>
    <n v="0.177973618"/>
    <n v="22.978000000000002"/>
    <n v="19.670999999999999"/>
    <n v="2.3E-2"/>
    <n v="0"/>
    <n v="114.17400000000001"/>
    <n v="2.3E-2"/>
    <s v=""/>
    <n v="0"/>
  </r>
  <r>
    <s v="Nigeria"/>
    <x v="18"/>
    <x v="6"/>
    <n v="54.056912150000002"/>
    <n v="0.47767718799999997"/>
    <n v="8.2026634000000001E-2"/>
    <n v="231.99473939999999"/>
    <n v="113.1661998"/>
    <n v="27.10090005"/>
    <n v="1.57813223"/>
    <n v="10.808999999999999"/>
    <n v="5.1920000000000002"/>
    <n v="34.518040740000004"/>
    <n v="11.076995139999999"/>
    <n v="0.171719807"/>
    <n v="21.11"/>
    <n v="18.516999999999999"/>
    <n v="3.2000000000000001E-2"/>
    <n v="0"/>
    <n v="109.214"/>
    <n v="3.2000000000000001E-2"/>
    <s v=""/>
    <n v="0"/>
  </r>
  <r>
    <s v="Nigeria"/>
    <x v="19"/>
    <x v="6"/>
    <n v="45.80562484"/>
    <n v="0.41233142299999997"/>
    <n v="6.4335436999999995E-2"/>
    <n v="225.35709929999999"/>
    <n v="111.089338"/>
    <n v="22.900338779999998"/>
    <n v="1.5393277919999999"/>
    <n v="9.0719999999999992"/>
    <n v="2.7789999999999999"/>
    <n v="24.408988399999998"/>
    <n v="9.6579964"/>
    <n v="0.15602846000000001"/>
    <n v="19.777000000000001"/>
    <n v="18.050999999999998"/>
    <n v="3.4000000000000002E-2"/>
    <n v="0"/>
    <n v="109.45099999999999"/>
    <n v="3.4000000000000002E-2"/>
    <s v=""/>
    <n v="0"/>
  </r>
  <r>
    <s v="Nigeria"/>
    <x v="20"/>
    <x v="6"/>
    <n v="57.930611089999999"/>
    <n v="0.45478750000000001"/>
    <n v="7.5334351999999993E-2"/>
    <n v="253.986288"/>
    <n v="127.3795149"/>
    <n v="24.401822289999998"/>
    <n v="1.6699171390000001"/>
    <n v="12.15"/>
    <n v="5.2539999999999996"/>
    <n v="32.539959899999999"/>
    <n v="10.785995290000001"/>
    <n v="0.16564736599999999"/>
    <n v="26.120999999999999"/>
    <n v="20.876000000000001"/>
    <n v="3.7999999999999999E-2"/>
    <n v="0"/>
    <n v="126.511"/>
    <n v="3.7999999999999999E-2"/>
    <s v=""/>
    <n v="0"/>
  </r>
  <r>
    <s v="Nigeria"/>
    <x v="21"/>
    <x v="6"/>
    <n v="67.900806889999998"/>
    <n v="0.48878399099999997"/>
    <n v="8.3849181999999994E-2"/>
    <n v="259.11026340000001"/>
    <n v="138.91782069999999"/>
    <n v="21.761485539999999"/>
    <n v="1.78351288"/>
    <n v="12.829000000000001"/>
    <n v="6.3819999999999997"/>
    <n v="38.340995630000002"/>
    <n v="15.008342109999999"/>
    <n v="0.17154649699999999"/>
    <n v="27.033999999999999"/>
    <n v="23.678999999999998"/>
    <n v="3.2000000000000001E-2"/>
    <n v="0"/>
    <n v="122.56"/>
    <n v="3.2000000000000001E-2"/>
    <s v=""/>
    <n v="0"/>
  </r>
  <r>
    <s v="Nigeria"/>
    <x v="22"/>
    <x v="6"/>
    <n v="72.292739100000006"/>
    <n v="0.51534647899999997"/>
    <n v="8.5649647999999995E-2"/>
    <n v="265.90416340000002"/>
    <n v="140.27987379999999"/>
    <n v="19.77233961"/>
    <n v="1.822595561"/>
    <n v="14.015000000000001"/>
    <n v="5.04"/>
    <n v="41.201003159999999"/>
    <n v="15.44598073"/>
    <n v="0.166198181"/>
    <n v="28.727"/>
    <n v="25.399000000000001"/>
    <n v="4.8000000000000001E-2"/>
    <n v="7.3101959999999994E-2"/>
    <n v="121.294"/>
    <n v="4.8000000000000001E-2"/>
    <s v=""/>
    <n v="0"/>
  </r>
  <r>
    <s v="Nigeria"/>
    <x v="23"/>
    <x v="6"/>
    <n v="82.753689339999994"/>
    <n v="0.578885596"/>
    <n v="9.1911644000000001E-2"/>
    <n v="251.45522270000001"/>
    <n v="142.95344360000001"/>
    <n v="18.50198928"/>
    <n v="1.6345717310000001"/>
    <n v="17.498999999999999"/>
    <n v="5.2380000000000004"/>
    <n v="37.166045169999997"/>
    <n v="15.160997460000001"/>
    <n v="0.158773416"/>
    <n v="28.905000000000001"/>
    <n v="23.689"/>
    <n v="4.3999999999999997E-2"/>
    <n v="7.6111398999999996E-2"/>
    <n v="109.797"/>
    <n v="4.3999999999999997E-2"/>
    <s v=""/>
    <n v="0"/>
  </r>
  <r>
    <s v="Nigeria"/>
    <x v="24"/>
    <x v="6"/>
    <n v="91.344825330000006"/>
    <n v="0.62315502199999995"/>
    <n v="9.5432027000000003E-2"/>
    <n v="255.8514189"/>
    <n v="146.58443270000001"/>
    <n v="16.643413020000001"/>
    <n v="1.6675592749999999"/>
    <n v="19.321000000000002"/>
    <n v="3.3359999999999999"/>
    <n v="42.419967319999998"/>
    <n v="17.05300166"/>
    <n v="0.153143317"/>
    <n v="32.253"/>
    <n v="24.625"/>
    <n v="4.5999999999999999E-2"/>
    <n v="6.8210708999999994E-2"/>
    <n v="109.809"/>
    <n v="4.5999999999999999E-2"/>
    <s v=""/>
    <n v="0"/>
  </r>
  <r>
    <s v="Nigeria"/>
    <x v="25"/>
    <x v="6"/>
    <n v="84.943364880000004"/>
    <n v="0.58486732699999999"/>
    <n v="8.6450859000000005E-2"/>
    <n v="256.24713919999999"/>
    <n v="145.23527129999999"/>
    <n v="17.708525980000001"/>
    <n v="1.684678347"/>
    <n v="17.375"/>
    <n v="1.6180000000000001"/>
    <n v="43.6880028"/>
    <n v="17.223010219999999"/>
    <n v="0.14781276900000001"/>
    <n v="32.442"/>
    <n v="25.026"/>
    <n v="4.7E-2"/>
    <n v="7.3978176000000007E-2"/>
    <n v="106.298"/>
    <n v="4.7E-2"/>
    <s v=""/>
    <n v="0"/>
  </r>
  <r>
    <s v="Nigeria"/>
    <x v="26"/>
    <x v="6"/>
    <n v="86.432250120000006"/>
    <n v="0.57754422500000002"/>
    <n v="8.9411840000000006E-2"/>
    <n v="241.5431853"/>
    <n v="149.65477340000001"/>
    <n v="24.34943131"/>
    <n v="1.660781914"/>
    <n v="18.277999999999999"/>
    <n v="3.351"/>
    <n v="40.299999999999997"/>
    <n v="16.517018329999999"/>
    <n v="0.15481384100000001"/>
    <n v="33.585999999999999"/>
    <n v="25.241"/>
    <n v="4.5999999999999999E-2"/>
    <n v="8.0390639E-2"/>
    <n v="91.849000000000004"/>
    <n v="4.5999999999999999E-2"/>
    <s v=""/>
    <n v="0"/>
  </r>
  <r>
    <s v="Nigeria"/>
    <x v="27"/>
    <x v="6"/>
    <n v="88.138918959999998"/>
    <n v="0.57861337999999995"/>
    <n v="9.0448430999999996E-2"/>
    <n v="249.75892110000001"/>
    <n v="152.32782710000001"/>
    <n v="22.572096049999999"/>
    <n v="1.6671673819999999"/>
    <n v="18.330857000000002"/>
    <n v="4.3795919999999997"/>
    <n v="45.1"/>
    <n v="17.255801890000001"/>
    <n v="0.156319287"/>
    <n v="34.443877000000001"/>
    <n v="25.912269999999999"/>
    <n v="4.6371000000000002E-2"/>
    <n v="8.1131982000000005E-2"/>
    <n v="93.28604"/>
    <n v="4.6371000000000002E-2"/>
    <s v=""/>
    <n v="0"/>
  </r>
  <r>
    <s v="Nigeria"/>
    <x v="28"/>
    <x v="6"/>
    <n v="106.6690498"/>
    <n v="0.66631438499999995"/>
    <n v="0.107383796"/>
    <n v="256.47120050000001"/>
    <n v="160.0881689"/>
    <n v="17.879148470000001"/>
    <n v="1.6061302340000001"/>
    <n v="23.503011999999998"/>
    <n v="2.693038"/>
    <n v="46.7"/>
    <n v="18.412762579999999"/>
    <n v="0.16116085599999999"/>
    <n v="36.277437999999997"/>
    <n v="26.543859000000001"/>
    <n v="4.7268999999999999E-2"/>
    <n v="7.7031348999999999E-2"/>
    <n v="95.741906"/>
    <n v="4.7268999999999999E-2"/>
    <s v=""/>
    <n v="0"/>
  </r>
  <r>
    <s v="Nigeria"/>
    <x v="29"/>
    <x v="6"/>
    <n v="89.018437809999995"/>
    <n v="0.56563226099999997"/>
    <n v="8.7678962999999999E-2"/>
    <n v="265.71503749999999"/>
    <n v="157.3786432"/>
    <n v="20.39601635"/>
    <n v="1.708937988"/>
    <n v="18.009401310000001"/>
    <n v="0.75632127299999996"/>
    <n v="47.16723872"/>
    <n v="18.281371570000001"/>
    <n v="0.155010542"/>
    <n v="37.84443916"/>
    <n v="27.690418959999999"/>
    <n v="4.4999999999999998E-2"/>
    <n v="9.1330597999999999E-2"/>
    <n v="101.2973045"/>
    <n v="4.4999999999999998E-2"/>
    <s v=""/>
    <n v="0"/>
  </r>
  <r>
    <s v="Nigeria"/>
    <x v="30"/>
    <x v="6"/>
    <n v="89.361181090000002"/>
    <n v="0.56334534199999997"/>
    <n v="9.0926187000000006E-2"/>
    <n v="252.68767819999999"/>
    <n v="158.62593409999999"/>
    <n v="19.211438439999998"/>
    <n v="1.8082218889999999"/>
    <n v="17.731403279999999"/>
    <n v="1.3356666999999999E-2"/>
    <n v="47.90263092"/>
    <n v="18.931373220000001"/>
    <n v="0.161403992"/>
    <n v="40.288030280000001"/>
    <n v="29.47837152"/>
    <n v="4.2839915999999999E-2"/>
    <n v="8.5791120999999998E-2"/>
    <n v="86.808176489999994"/>
    <n v="4.2839915999999999E-2"/>
    <s v=""/>
    <n v="0"/>
  </r>
  <r>
    <s v="Norway"/>
    <x v="0"/>
    <x v="3"/>
    <n v="27.87981186"/>
    <n v="1.3230099900000001"/>
    <n v="0.16271896899999999"/>
    <n v="119.48310530000001"/>
    <n v="21.073016890000002"/>
    <n v="99.792364259999999"/>
    <n v="47.587182830000003"/>
    <n v="8.0500000000000007"/>
    <n v="13.766999999999999"/>
    <n v="27.641981139999999"/>
    <n v="2.2619976230000001"/>
    <n v="0.122991489"/>
    <n v="121.848"/>
    <n v="97.697999999999993"/>
    <n v="1.2769999999999999"/>
    <n v="5.3345151E-2"/>
    <n v="82.087999999999994"/>
    <n v="0.30299999999999999"/>
    <s v=""/>
    <n v="-0.97399999999999998"/>
  </r>
  <r>
    <s v="Norway"/>
    <x v="1"/>
    <x v="3"/>
    <n v="26.3861867"/>
    <n v="1.2125372249999999"/>
    <n v="0.149393146"/>
    <n v="131.47818789999999"/>
    <n v="21.761135370000002"/>
    <n v="99.801817869999994"/>
    <n v="49.240741229999998"/>
    <n v="7.6669999999999998"/>
    <n v="13.279"/>
    <n v="27.4249963"/>
    <n v="2.2160001579999999"/>
    <n v="0.12320705999999999"/>
    <n v="111.009"/>
    <n v="99.903000000000006"/>
    <n v="1.1559999999999999"/>
    <n v="3.7834769999999997E-2"/>
    <n v="93.715999999999994"/>
    <n v="0.33"/>
    <s v=""/>
    <n v="-0.82599999999999985"/>
  </r>
  <r>
    <s v="Norway"/>
    <x v="2"/>
    <x v="3"/>
    <n v="29.27201457"/>
    <n v="1.3232530709999999"/>
    <n v="0.16001262399999999"/>
    <n v="147.1551584"/>
    <n v="22.121251940000001"/>
    <n v="99.817876990000002"/>
    <n v="50.011500179999999"/>
    <n v="7.5519999999999996"/>
    <n v="14.792"/>
    <n v="29.41900717"/>
    <n v="3.696998115"/>
    <n v="0.12092367499999999"/>
    <n v="117.503"/>
    <n v="100.441"/>
    <n v="1.159"/>
    <n v="3.6594809999999998E-2"/>
    <n v="106.86199999999999"/>
    <n v="0.35899999999999999"/>
    <s v=""/>
    <n v="-0.8"/>
  </r>
  <r>
    <s v="Norway"/>
    <x v="3"/>
    <x v="3"/>
    <n v="31.194730710000002"/>
    <n v="1.324723074"/>
    <n v="0.16580526800000001"/>
    <n v="155.35070429999999"/>
    <n v="23.548114569999999"/>
    <n v="99.804341129999997"/>
    <n v="49.324154110000002"/>
    <n v="7.7469999999999999"/>
    <n v="14.849"/>
    <n v="28.866969690000001"/>
    <n v="4.1959960269999996"/>
    <n v="0.12516221"/>
    <n v="120.107"/>
    <n v="101.932"/>
    <n v="1.2390000000000001"/>
    <n v="5.2453228999999997E-2"/>
    <n v="114.471"/>
    <n v="0.26800000000000002"/>
    <s v=""/>
    <n v="-0.97100000000000009"/>
  </r>
  <r>
    <s v="Norway"/>
    <x v="4"/>
    <x v="3"/>
    <n v="32.7032606"/>
    <n v="1.418387544"/>
    <n v="0.16545871400000001"/>
    <n v="170.54339179999999"/>
    <n v="23.056646780000001"/>
    <n v="99.646247220000006"/>
    <n v="48.70648036"/>
    <n v="7.9269999999999996"/>
    <n v="15.388"/>
    <n v="30.92700043"/>
    <n v="4.4050041960000001"/>
    <n v="0.11665268400000001"/>
    <n v="113.35599999999999"/>
    <n v="102.923"/>
    <n v="1.403"/>
    <n v="5.6459295999999999E-2"/>
    <n v="128.51400000000001"/>
    <n v="0.30099999999999999"/>
    <s v=""/>
    <n v="-1.1020000000000001"/>
  </r>
  <r>
    <s v="Norway"/>
    <x v="5"/>
    <x v="3"/>
    <n v="32.137132620000003"/>
    <n v="1.367063527"/>
    <n v="0.156107419"/>
    <n v="185.01844510000001"/>
    <n v="23.508148649999999"/>
    <n v="99.664770009999998"/>
    <n v="47.852450789999999"/>
    <n v="8.2620000000000005"/>
    <n v="13.819000000000001"/>
    <n v="31.44899522"/>
    <n v="3.8510031260000002"/>
    <n v="0.11419178100000001"/>
    <n v="123.199"/>
    <n v="104.965"/>
    <n v="1.5229999999999999"/>
    <n v="4.4643219999999997E-2"/>
    <n v="138.5"/>
    <n v="0.29199999999999998"/>
    <s v=""/>
    <n v="-1.2309999999999999"/>
  </r>
  <r>
    <s v="Norway"/>
    <x v="6"/>
    <x v="3"/>
    <n v="33.00589463"/>
    <n v="1.447778657"/>
    <n v="0.15265219299999999"/>
    <n v="207.884073"/>
    <n v="22.797611"/>
    <n v="99.500876320000003"/>
    <n v="46.718481609999998"/>
    <n v="8.8119999999999994"/>
    <n v="15.271000000000001"/>
    <n v="41.293999759999998"/>
    <n v="3.371996706"/>
    <n v="0.105438903"/>
    <n v="104.98399999999999"/>
    <n v="104.14100000000001"/>
    <n v="1.5129999999999999"/>
    <n v="5.4293988000000001E-2"/>
    <n v="156.804"/>
    <n v="0.23"/>
    <s v=""/>
    <n v="-1.2829999999999999"/>
  </r>
  <r>
    <s v="Norway"/>
    <x v="7"/>
    <x v="3"/>
    <n v="34.754310879999998"/>
    <n v="1.438014371"/>
    <n v="0.15267059499999999"/>
    <n v="213.32233780000001"/>
    <n v="24.16826395"/>
    <n v="99.581754840000002"/>
    <n v="47.231327559999997"/>
    <n v="8.6530000000000005"/>
    <n v="16.076000000000001"/>
    <n v="46.727036759999997"/>
    <n v="4.4269972649999998"/>
    <n v="0.10616764200000001"/>
    <n v="111.657"/>
    <n v="104.89400000000001"/>
    <n v="1.504"/>
    <n v="5.0153595000000002E-2"/>
    <n v="156.50200000000001"/>
    <n v="0.38600000000000001"/>
    <s v=""/>
    <n v="-1.1179999999999999"/>
  </r>
  <r>
    <s v="Norway"/>
    <x v="8"/>
    <x v="3"/>
    <n v="36.413407749999998"/>
    <n v="1.445078018"/>
    <n v="0.155868121"/>
    <n v="206.53300780000001"/>
    <n v="25.198229640000001"/>
    <n v="99.617974840000002"/>
    <n v="47.845147789999999"/>
    <n v="8.75"/>
    <n v="15.552"/>
    <n v="47.597957350000001"/>
    <n v="4.9529978979999996"/>
    <n v="0.107861388"/>
    <n v="117.008"/>
    <n v="110.455"/>
    <n v="1.639"/>
    <n v="5.5551757E-2"/>
    <n v="149.82599999999999"/>
    <n v="0.32800000000000001"/>
    <s v=""/>
    <n v="-1.3109999999999999"/>
  </r>
  <r>
    <s v="Norway"/>
    <x v="9"/>
    <x v="3"/>
    <n v="37.730151970000001"/>
    <n v="1.4296999889999999"/>
    <n v="0.15831774400000001"/>
    <n v="210.1743084"/>
    <n v="26.390258280000001"/>
    <n v="99.562407820000004"/>
    <n v="47.263618800000003"/>
    <n v="8.81"/>
    <n v="15.952999999999999"/>
    <n v="50.990054260000001"/>
    <n v="5.4910013080000004"/>
    <n v="0.110734941"/>
    <n v="122.717"/>
    <n v="110.224"/>
    <n v="1.554"/>
    <n v="6.6820407999999998E-2"/>
    <n v="149.35"/>
    <n v="0.40400000000000003"/>
    <s v=""/>
    <n v="-1.1499999999999999"/>
  </r>
  <r>
    <s v="Norway"/>
    <x v="10"/>
    <x v="3"/>
    <n v="33.02799452"/>
    <n v="1.262179607"/>
    <n v="0.13428348100000001"/>
    <n v="228.03684899999999"/>
    <n v="26.167428430000001"/>
    <n v="99.716048169999993"/>
    <n v="47.395189690000002"/>
    <n v="8.2750000000000004"/>
    <n v="15.756"/>
    <n v="53.293019800000003"/>
    <n v="4.1089980170000002"/>
    <n v="0.106390153"/>
    <n v="142.982"/>
    <n v="110.91800000000001"/>
    <n v="1.571"/>
    <n v="3.5668825000000001E-2"/>
    <n v="160.99"/>
    <n v="0.63200000000000001"/>
    <s v=""/>
    <n v="-0.93899999999999995"/>
  </r>
  <r>
    <s v="Norway"/>
    <x v="11"/>
    <x v="3"/>
    <n v="34.360428519999999"/>
    <n v="1.278155272"/>
    <n v="0.136861237"/>
    <n v="226.8508506"/>
    <n v="26.882828140000001"/>
    <n v="99.522520310000004"/>
    <n v="47.19027577"/>
    <n v="8.6790000000000003"/>
    <n v="15.209"/>
    <n v="57.663980100000003"/>
    <n v="4.5750034199999998"/>
    <n v="0.107077161"/>
    <n v="121.89"/>
    <n v="113.785"/>
    <n v="1.401"/>
    <n v="7.7118714000000005E-2"/>
    <n v="162.59200000000001"/>
    <n v="1.788"/>
    <s v=""/>
    <n v="0.38700000000000001"/>
  </r>
  <r>
    <s v="Norway"/>
    <x v="12"/>
    <x v="3"/>
    <n v="34.021670749999998"/>
    <n v="1.3503030110000001"/>
    <n v="0.13358002299999999"/>
    <n v="235.55638590000001"/>
    <n v="25.195582389999998"/>
    <n v="99.58456065"/>
    <n v="46.83483193"/>
    <n v="8.6760000000000002"/>
    <n v="13.875"/>
    <n v="69.358008740000002"/>
    <n v="4.5180016590000003"/>
    <n v="9.8925961000000007E-2"/>
    <n v="130.70500000000001"/>
    <n v="110.464"/>
    <n v="1.21"/>
    <n v="8.4158984000000006E-2"/>
    <n v="157.773"/>
    <n v="2.1320000000000001"/>
    <s v=""/>
    <n v="0.92200000000000015"/>
  </r>
  <r>
    <s v="Norway"/>
    <x v="13"/>
    <x v="3"/>
    <n v="36.834239420000003"/>
    <n v="1.348538665"/>
    <n v="0.14331872000000001"/>
    <n v="235.16379380000001"/>
    <n v="27.314188590000001"/>
    <n v="99.402459149999999"/>
    <n v="43.759103019999998"/>
    <n v="9.2840000000000007"/>
    <n v="15.8"/>
    <n v="77.114992650000005"/>
    <n v="5.0030025389999997"/>
    <n v="0.10627705699999999"/>
    <n v="107.273"/>
    <n v="104.559"/>
    <n v="1.1759999999999999"/>
    <n v="0.23771126000000001"/>
    <n v="153.74799999999999"/>
    <n v="2.944"/>
    <s v=""/>
    <n v="1.768"/>
  </r>
  <r>
    <s v="Norway"/>
    <x v="14"/>
    <x v="3"/>
    <n v="37.197134519999999"/>
    <n v="1.3906551519999999"/>
    <n v="0.13920508500000001"/>
    <n v="229.05855450000001"/>
    <n v="26.74792128"/>
    <n v="99.353625570000005"/>
    <n v="45.129096099999998"/>
    <n v="8.9559999999999995"/>
    <n v="15.074999999999999"/>
    <n v="80.957989679999997"/>
    <n v="5.3340010610000004"/>
    <n v="0.100100363"/>
    <n v="110.617"/>
    <n v="109.69199999999999"/>
    <n v="1.347"/>
    <n v="0.26306987199999998"/>
    <n v="144.04300000000001"/>
    <n v="2.9039999999999999"/>
    <s v=""/>
    <n v="1.5569999999999999"/>
  </r>
  <r>
    <s v="Norway"/>
    <x v="15"/>
    <x v="3"/>
    <n v="36.803012940000002"/>
    <n v="1.3582936299999999"/>
    <n v="0.13420660300000001"/>
    <n v="224.40894829999999"/>
    <n v="27.09503462"/>
    <n v="99.474671939999993"/>
    <n v="46.291220729999999"/>
    <n v="8.8219999999999992"/>
    <n v="16.344999999999999"/>
    <n v="86.946002489999998"/>
    <n v="5.1859969909999997"/>
    <n v="9.8805295000000001E-2"/>
    <n v="138.00899999999999"/>
    <n v="114.241"/>
    <n v="1.153"/>
    <n v="0.39780014299999999"/>
    <n v="133.01599999999999"/>
    <n v="1.4710000000000001"/>
    <s v=""/>
    <n v="0.31800000000000006"/>
  </r>
  <r>
    <s v="Norway"/>
    <x v="16"/>
    <x v="3"/>
    <n v="37.250259630000002"/>
    <n v="1.356195399"/>
    <n v="0.13265411999999999"/>
    <n v="215.6417386"/>
    <n v="27.466735"/>
    <n v="99.318155649999994"/>
    <n v="45.082949769999999"/>
    <n v="9.2040000000000006"/>
    <n v="18.434999999999999"/>
    <n v="89.27600391"/>
    <n v="5.3729995480000001"/>
    <n v="9.7813426999999994E-2"/>
    <n v="121.58199999999999"/>
    <n v="111.22"/>
    <n v="1.0129999999999999"/>
    <n v="0.56011580699999997"/>
    <n v="123.75700000000001"/>
    <n v="2.395"/>
    <s v=""/>
    <n v="1.3820000000000001"/>
  </r>
  <r>
    <s v="Norway"/>
    <x v="17"/>
    <x v="3"/>
    <n v="37.703915960000003"/>
    <n v="1.3522938929999999"/>
    <n v="0.130366171"/>
    <n v="215.4903516"/>
    <n v="27.881451030000001"/>
    <n v="99.141349349999999"/>
    <n v="45.210026069999998"/>
    <n v="9.3810000000000002"/>
    <n v="18.146999999999998"/>
    <n v="91.573989109999999"/>
    <n v="5.4270000879999998"/>
    <n v="9.6403726999999995E-2"/>
    <n v="137.19200000000001"/>
    <n v="114.947"/>
    <n v="1.1200000000000001"/>
    <n v="0.68808676899999999"/>
    <n v="119.53"/>
    <n v="4.0730000000000004"/>
    <s v=""/>
    <n v="2.9530000000000003"/>
  </r>
  <r>
    <s v="Norway"/>
    <x v="18"/>
    <x v="3"/>
    <n v="37.264542050000003"/>
    <n v="1.1503513990000001"/>
    <n v="0.128236088"/>
    <n v="221.79266150000001"/>
    <n v="32.394051140000002"/>
    <n v="99.406897720000003"/>
    <n v="45.80173722"/>
    <n v="9.0519999999999996"/>
    <n v="15.871"/>
    <n v="104.66005440000001"/>
    <n v="5.6350051480000003"/>
    <n v="0.11147557900000001"/>
    <n v="142.13399999999999"/>
    <n v="116.592"/>
    <n v="1.137"/>
    <n v="0.671901164"/>
    <n v="114.628"/>
    <n v="3.43"/>
    <s v=""/>
    <n v="2.2930000000000001"/>
  </r>
  <r>
    <s v="Norway"/>
    <x v="19"/>
    <x v="3"/>
    <n v="37.33155215"/>
    <n v="1.1808923920000001"/>
    <n v="0.130724321"/>
    <n v="217.3702341"/>
    <n v="31.613000809999999"/>
    <n v="96.591107429999994"/>
    <n v="45.957468339999998"/>
    <n v="8.9429999999999996"/>
    <n v="15.313000000000001"/>
    <n v="108.8628793"/>
    <n v="5.9590000759999997"/>
    <n v="0.11069960500000001"/>
    <n v="131.773"/>
    <n v="113.423"/>
    <n v="0.81699999999999995"/>
    <n v="0.74522094800000005"/>
    <n v="109.976"/>
    <n v="2.641"/>
    <s v=""/>
    <n v="1.8240000000000001"/>
  </r>
  <r>
    <s v="Norway"/>
    <x v="20"/>
    <x v="3"/>
    <n v="42.040554960000001"/>
    <n v="1.284429145"/>
    <n v="0.14618789400000001"/>
    <n v="207.14944170000001"/>
    <n v="32.730925730000003"/>
    <n v="95.749757360000004"/>
    <n v="45.180899920000002"/>
    <n v="9.2829999999999995"/>
    <n v="15.324"/>
    <n v="110.35291410000001"/>
    <n v="6.7279954540000002"/>
    <n v="0.11381545999999999"/>
    <n v="123.64"/>
    <n v="120.178"/>
    <n v="1.0680000000000001"/>
    <n v="0.71093497299999997"/>
    <n v="99.647999999999996"/>
    <n v="1.9350000000000001"/>
    <s v=""/>
    <n v="0.86699999999999999"/>
  </r>
  <r>
    <s v="Norway"/>
    <x v="21"/>
    <x v="3"/>
    <n v="40.228239039999998"/>
    <n v="1.4176554619999999"/>
    <n v="0.13852632200000001"/>
    <n v="198.6144003"/>
    <n v="28.376597919999998"/>
    <n v="96.578301539999998"/>
    <n v="44.666716469999997"/>
    <n v="8.9039999999999999"/>
    <n v="16.123999999999999"/>
    <n v="105.75000249999999"/>
    <n v="6.2440018659999996"/>
    <n v="9.7715083999999994E-2"/>
    <n v="127.539"/>
    <n v="114.57899999999999"/>
    <n v="1.101968388"/>
    <n v="1.0059668020000001"/>
    <n v="94.234999999999999"/>
    <n v="1.3859999999999999"/>
    <s v=""/>
    <n v="0.28403161199999993"/>
  </r>
  <r>
    <s v="Norway"/>
    <x v="22"/>
    <x v="3"/>
    <n v="38.798025289999998"/>
    <n v="1.2593641799999999"/>
    <n v="0.130085072"/>
    <n v="203.5066301"/>
    <n v="30.807629689999999"/>
    <n v="97.982568420000007"/>
    <n v="45.629163820000002"/>
    <n v="8.766"/>
    <n v="16.148"/>
    <n v="119.16406600000001"/>
    <n v="5.8249995959999996"/>
    <n v="0.10329424500000001"/>
    <n v="147.66300000000001"/>
    <n v="118.35599999999999"/>
    <n v="1.1319999999999999"/>
    <n v="1.0483330289999999"/>
    <n v="87.647999999999996"/>
    <n v="1.2290000000000001"/>
    <s v=""/>
    <n v="9.7000000000000197E-2"/>
  </r>
  <r>
    <s v="Norway"/>
    <x v="23"/>
    <x v="3"/>
    <n v="38.639478310000001"/>
    <n v="1.177230416"/>
    <n v="0.12822751700000001"/>
    <n v="194.68250219999999"/>
    <n v="32.822358129999998"/>
    <n v="97.690793009999993"/>
    <n v="45.796613909999998"/>
    <n v="8.6379999999999999"/>
    <n v="17.02"/>
    <n v="113.15491299999999"/>
    <n v="5.765995846"/>
    <n v="0.108923041"/>
    <n v="134.072"/>
    <n v="119.09399999999999"/>
    <n v="1.136031612"/>
    <n v="1.402977505"/>
    <n v="83.451999999999998"/>
    <n v="1.855"/>
    <s v=""/>
    <n v="0.71896838799999996"/>
  </r>
  <r>
    <s v="Norway"/>
    <x v="24"/>
    <x v="3"/>
    <n v="38.912763210000001"/>
    <n v="1.34380393"/>
    <n v="0.12664019600000001"/>
    <n v="196.86940820000001"/>
    <n v="28.957173260000001"/>
    <n v="97.668521519999999"/>
    <n v="45.925096779999997"/>
    <n v="8.4719999999999995"/>
    <n v="15.656000000000001"/>
    <n v="112.8770694"/>
    <n v="6.183006808"/>
    <n v="9.4240084000000002E-2"/>
    <n v="141.97"/>
    <n v="116.57"/>
    <n v="1.157968388"/>
    <n v="1.5615975209999999"/>
    <n v="84.262"/>
    <n v="1.675"/>
    <s v=""/>
    <n v="0.51703161200000003"/>
  </r>
  <r>
    <s v="Norway"/>
    <x v="25"/>
    <x v="3"/>
    <n v="39.126054969999998"/>
    <n v="1.323291268"/>
    <n v="0.124877839"/>
    <n v="207.56313080000001"/>
    <n v="29.567228270000001"/>
    <n v="97.699694210000004"/>
    <n v="46.453760610000003"/>
    <n v="8.5129999999999999"/>
    <n v="16.623000000000001"/>
    <n v="121.2779403"/>
    <n v="6.4149955920000004"/>
    <n v="9.4369124999999998E-2"/>
    <n v="144.54599999999999"/>
    <n v="119.526"/>
    <n v="1.1299999999999999"/>
    <n v="1.7399305410000001"/>
    <n v="87.820999999999998"/>
    <n v="1.1060000000000001"/>
    <s v=""/>
    <n v="-2.3999999999999799E-2"/>
  </r>
  <r>
    <s v="Norway"/>
    <x v="26"/>
    <x v="3"/>
    <n v="38.167026759999999"/>
    <n v="1.337567288"/>
    <n v="0.120525427"/>
    <n v="210.0416821"/>
    <n v="28.534659220000002"/>
    <n v="97.801961860000006"/>
    <n v="47.179351709999999"/>
    <n v="8.2720000000000002"/>
    <n v="13.1"/>
    <n v="120.59801040000001"/>
    <n v="6.1839954309999996"/>
    <n v="9.0107935E-2"/>
    <n v="149.042"/>
    <n v="122.26300000000001"/>
    <n v="1.1599999999999999"/>
    <n v="1.4197340350000001"/>
    <n v="90.183999999999997"/>
    <n v="0.81799999999999995"/>
    <s v=""/>
    <n v="-0.34199999999999997"/>
  </r>
  <r>
    <s v="Norway"/>
    <x v="27"/>
    <x v="3"/>
    <n v="37.816797790000003"/>
    <n v="1.258167528"/>
    <n v="0.11670803"/>
    <n v="215.8394255"/>
    <n v="30.05704484"/>
    <n v="97.82245116"/>
    <n v="47.119583890000001"/>
    <n v="7.9710000000000001"/>
    <n v="16.620999999999999"/>
    <n v="128.2161065"/>
    <n v="6.4480057100000003"/>
    <n v="9.2760326000000004E-2"/>
    <n v="149.47999999999999"/>
    <n v="122.988"/>
    <n v="1.2130000000000001"/>
    <n v="1.9092855230000001"/>
    <n v="88.984999999999999"/>
    <n v="0.13100000000000001"/>
    <s v=""/>
    <n v="-1.0820000000000001"/>
  </r>
  <r>
    <s v="Norway"/>
    <x v="28"/>
    <x v="3"/>
    <n v="38.028288570000001"/>
    <n v="1.3221382189999999"/>
    <n v="0.115866565"/>
    <n v="206.9635729"/>
    <n v="28.762717859999999"/>
    <n v="97.753679210000001"/>
    <n v="47.489754419999997"/>
    <n v="8.2242069999999998"/>
    <n v="17.694478"/>
    <n v="125.8093686"/>
    <n v="6.500283928"/>
    <n v="8.7635743000000002E-2"/>
    <n v="146.89077399999999"/>
    <n v="126.144508"/>
    <n v="1.184854388"/>
    <n v="2.6401916839999999"/>
    <n v="83.796999999999997"/>
    <n v="0.15035399999999999"/>
    <s v=""/>
    <n v="-1.0345003880000001"/>
  </r>
  <r>
    <s v="Norway"/>
    <x v="29"/>
    <x v="3"/>
    <n v="38.124195780000001"/>
    <n v="1.355011561"/>
    <n v="0.11483246499999999"/>
    <n v="196.08823889999999"/>
    <n v="28.135697799999999"/>
    <n v="97.67128203"/>
    <n v="47.393313720000002"/>
    <n v="7.7860068780000002"/>
    <n v="16.327640890000001"/>
    <n v="118.7678552"/>
    <n v="6.7451184179999997"/>
    <n v="8.4746483999999997E-2"/>
    <n v="134.74474720000001"/>
    <n v="125.2394978"/>
    <n v="1.147754036"/>
    <n v="4.1086917740000004"/>
    <n v="79.640691349999997"/>
    <n v="0.12128556"/>
    <s v=""/>
    <n v="-1.026468476"/>
  </r>
  <r>
    <s v="Norway"/>
    <x v="30"/>
    <x v="3"/>
    <n v="34.922626100000002"/>
    <n v="1.289324685"/>
    <n v="0.11190333700000001"/>
    <n v="210.4639157"/>
    <n v="27.085982680000001"/>
    <n v="98.370864229999995"/>
    <n v="48.229040060000003"/>
    <n v="7.2001992149999996"/>
    <n v="14.75753664"/>
    <n v="115.93071209999999"/>
    <n v="6.1348574490000001"/>
    <n v="8.6792208999999995E-2"/>
    <n v="154.29890610000001"/>
    <n v="123.3995462"/>
    <n v="1.156951871"/>
    <n v="6.4164017099999997"/>
    <n v="94.632687540000006"/>
    <n v="7.0429087000000001E-2"/>
    <s v=""/>
    <n v="-1.086522784"/>
  </r>
  <r>
    <s v="Poland"/>
    <x v="0"/>
    <x v="3"/>
    <n v="355.72661870000002"/>
    <n v="3.4499982089999999"/>
    <n v="0.85589651300000003"/>
    <n v="103.8794564"/>
    <n v="103.1092184"/>
    <n v="2.4708204029999998"/>
    <n v="12.97072137"/>
    <n v="12.885"/>
    <n v="12.811999999999999"/>
    <n v="4.0949962429999998"/>
    <n v="12.0960144"/>
    <n v="0.24808607499999999"/>
    <n v="136.31100000000001"/>
    <n v="109.19499999999999"/>
    <n v="183.6386813"/>
    <n v="0"/>
    <n v="0.17799999999999999"/>
    <n v="215.32"/>
    <s v=""/>
    <n v="31.681318699999991"/>
  </r>
  <r>
    <s v="Poland"/>
    <x v="1"/>
    <x v="3"/>
    <n v="353.98620529999999"/>
    <n v="3.505498657"/>
    <n v="0.91596955499999999"/>
    <n v="99.834761159999999"/>
    <n v="100.9802713"/>
    <n v="2.5936428290000002"/>
    <n v="12.14869215"/>
    <n v="12.574"/>
    <n v="11.57"/>
    <n v="4.3759974799999997"/>
    <n v="10.95199197"/>
    <n v="0.26129508099999998"/>
    <n v="134.714"/>
    <n v="102.833"/>
    <n v="183.1855912"/>
    <n v="0"/>
    <n v="0.17299999999999999"/>
    <n v="209.78200000000001"/>
    <s v=""/>
    <n v="26.596408800000006"/>
  </r>
  <r>
    <s v="Poland"/>
    <x v="2"/>
    <x v="3"/>
    <n v="345.3481918"/>
    <n v="3.5040390000000001"/>
    <n v="0.87169501400000005"/>
    <n v="97.671924309999994"/>
    <n v="98.557176979999994"/>
    <n v="2.7728813560000001"/>
    <n v="11.90720739"/>
    <n v="12.867000000000001"/>
    <n v="12.833"/>
    <n v="4.2039970489999998"/>
    <n v="10.564013599999999"/>
    <n v="0.24876863900000001"/>
    <n v="132.75"/>
    <n v="98.444000000000003"/>
    <n v="174.24386749999999"/>
    <n v="0"/>
    <n v="0.218"/>
    <n v="198.47200000000001"/>
    <s v=""/>
    <n v="24.228132500000015"/>
  </r>
  <r>
    <s v="Poland"/>
    <x v="3"/>
    <x v="3"/>
    <n v="345.3000222"/>
    <n v="3.4204396899999998"/>
    <n v="0.84016543799999999"/>
    <n v="97.357324770000005"/>
    <n v="100.95193999999999"/>
    <n v="2.7168757050000001"/>
    <n v="11.232754829999999"/>
    <n v="13.569000000000001"/>
    <n v="13.821999999999999"/>
    <n v="5.165999545"/>
    <n v="10.817009199999999"/>
    <n v="0.24563082899999999"/>
    <n v="133.86699999999999"/>
    <n v="99.334999999999994"/>
    <n v="175.8086649"/>
    <n v="0"/>
    <n v="0.25600000000000001"/>
    <n v="198.584"/>
    <s v=""/>
    <n v="22.775335100000007"/>
  </r>
  <r>
    <s v="Poland"/>
    <x v="4"/>
    <x v="3"/>
    <n v="338.37784449999998"/>
    <n v="3.516984039"/>
    <n v="0.78193641999999997"/>
    <n v="97.436218080000003"/>
    <n v="96.212505030000003"/>
    <n v="2.8349353879999999"/>
    <n v="11.41860288"/>
    <n v="14"/>
    <n v="13.643000000000001"/>
    <n v="4.8889996580000004"/>
    <n v="11.34001177"/>
    <n v="0.222331524"/>
    <n v="135.34700000000001"/>
    <n v="100.003"/>
    <n v="170.72308620000001"/>
    <n v="0"/>
    <n v="0.32600000000000001"/>
    <n v="200.703"/>
    <s v=""/>
    <n v="29.979913799999991"/>
  </r>
  <r>
    <s v="Poland"/>
    <x v="5"/>
    <x v="3"/>
    <n v="338.94386109999999"/>
    <n v="3.406567023"/>
    <n v="0.73233361100000005"/>
    <n v="99.366542600000002"/>
    <n v="99.497194359999995"/>
    <n v="2.8193027640000001"/>
    <n v="11.685720359999999"/>
    <n v="14.457000000000001"/>
    <n v="13.683999999999999"/>
    <n v="5.0659913479999998"/>
    <n v="11.774002360000001"/>
    <n v="0.21497701499999999"/>
    <n v="139.006"/>
    <n v="103.81"/>
    <n v="168.44932420000001"/>
    <n v="0"/>
    <n v="0.36499999999999999"/>
    <n v="200.71299999999999"/>
    <s v=""/>
    <n v="32.263675799999987"/>
  </r>
  <r>
    <s v="Poland"/>
    <x v="6"/>
    <x v="3"/>
    <n v="353.41338029999997"/>
    <n v="3.4137217450000001"/>
    <n v="0.71999018699999995"/>
    <n v="98.96589093"/>
    <n v="103.5272956"/>
    <n v="2.8238564529999999"/>
    <n v="11.69143863"/>
    <n v="16.457999999999998"/>
    <n v="15.079000000000001"/>
    <n v="5.0150023340000001"/>
    <n v="12.779981879999999"/>
    <n v="0.21091062499999999"/>
    <n v="143.173"/>
    <n v="107.29300000000001"/>
    <n v="171.2560034"/>
    <n v="7.1939300000000003E-4"/>
    <n v="0.39400000000000002"/>
    <n v="201.715"/>
    <s v=""/>
    <n v="30.458996600000006"/>
  </r>
  <r>
    <s v="Poland"/>
    <x v="7"/>
    <x v="3"/>
    <n v="342.8916423"/>
    <n v="3.3548182569999998"/>
    <n v="0.65617044099999999"/>
    <n v="100.0497953"/>
    <n v="102.2087088"/>
    <n v="2.7922123399999998"/>
    <n v="12.118397099999999"/>
    <n v="17.71"/>
    <n v="15.586"/>
    <n v="5.1010064709999998"/>
    <n v="12.92998264"/>
    <n v="0.19559045899999999"/>
    <n v="142.79"/>
    <n v="108.851"/>
    <n v="164.6162525"/>
    <n v="1.4006579999999999E-3"/>
    <n v="0.40300000000000002"/>
    <n v="200.92400000000001"/>
    <s v=""/>
    <n v="36.307747500000005"/>
  </r>
  <r>
    <s v="Poland"/>
    <x v="8"/>
    <x v="3"/>
    <n v="317.29720200000003"/>
    <n v="3.3283795199999999"/>
    <n v="0.58040739799999996"/>
    <n v="87.374004569999997"/>
    <n v="95.330835960000002"/>
    <n v="3.1872203039999998"/>
    <n v="13.10975517"/>
    <n v="18.260000000000002"/>
    <n v="16.681999999999999"/>
    <n v="5.1180062380000004"/>
    <n v="12.796007680000001"/>
    <n v="0.17438137500000001"/>
    <n v="142.78899999999999"/>
    <n v="108.661"/>
    <n v="151.9272253"/>
    <n v="2.8013360000000002E-3"/>
    <n v="0.55600000000000005"/>
    <n v="178.54599999999999"/>
    <s v=""/>
    <n v="26.618774699999989"/>
  </r>
  <r>
    <s v="Poland"/>
    <x v="9"/>
    <x v="3"/>
    <n v="308.91869129999998"/>
    <n v="3.3287551240000002"/>
    <n v="0.54001361800000003"/>
    <n v="83.681156619999996"/>
    <n v="92.803068949999997"/>
    <n v="3.1513846669999999"/>
    <n v="13.347069790000001"/>
    <n v="18.881"/>
    <n v="17.559000000000001"/>
    <n v="4.9739950439999996"/>
    <n v="12.328986199999999"/>
    <n v="0.16222689800000001"/>
    <n v="142.12799999999999"/>
    <n v="107.026"/>
    <n v="146.27340229999999"/>
    <n v="2.8143650000000001E-3"/>
    <n v="0.61499999999999999"/>
    <n v="171.06299999999999"/>
    <s v=""/>
    <n v="24.789597700000002"/>
  </r>
  <r>
    <s v="Poland"/>
    <x v="10"/>
    <x v="3"/>
    <n v="295.89984170000002"/>
    <n v="3.327060393"/>
    <n v="0.49470071700000001"/>
    <n v="79.434113440000004"/>
    <n v="88.93732206"/>
    <n v="2.9906876790000001"/>
    <n v="14.25134647"/>
    <n v="18.585999999999999"/>
    <n v="18.43"/>
    <n v="5.224007565"/>
    <n v="13.345997860000001"/>
    <n v="0.148690032"/>
    <n v="145.184"/>
    <n v="108.818"/>
    <n v="141.29300000000001"/>
    <n v="3.4439060000000001E-3"/>
    <n v="0.89800000000000002"/>
    <n v="162.815"/>
    <s v=""/>
    <n v="21.521999999999991"/>
  </r>
  <r>
    <s v="Poland"/>
    <x v="11"/>
    <x v="3"/>
    <n v="295.49082420000002"/>
    <n v="3.3000809019999999"/>
    <n v="0.48792773699999997"/>
    <n v="80.106924030000002"/>
    <n v="89.540478840000006"/>
    <n v="3.2125590590000002"/>
    <n v="14.292991949999999"/>
    <n v="18.18"/>
    <n v="18.396000000000001"/>
    <n v="5.4619944389999997"/>
    <n v="13.63500305"/>
    <n v="0.14785326500000001"/>
    <n v="145.61600000000001"/>
    <n v="109.139"/>
    <n v="140.62012770000001"/>
    <n v="9.6143280000000001E-3"/>
    <n v="1.016"/>
    <n v="163.54400000000001"/>
    <s v=""/>
    <n v="22.923872299999999"/>
  </r>
  <r>
    <s v="Poland"/>
    <x v="12"/>
    <x v="3"/>
    <n v="288.85821140000002"/>
    <n v="3.2578841089999999"/>
    <n v="0.46743248500000001"/>
    <n v="80.023898959999997"/>
    <n v="88.664360569999999"/>
    <n v="3.048721258"/>
    <n v="14.279750719999999"/>
    <n v="18.120999999999999"/>
    <n v="17.577000000000002"/>
    <n v="5.5519999459999996"/>
    <n v="13.42199359"/>
    <n v="0.14347732099999999"/>
    <n v="144.126"/>
    <n v="107.657"/>
    <n v="136.54846420000001"/>
    <n v="4.2324078000000001E-2"/>
    <n v="0.99199999999999999"/>
    <n v="161.91499999999999"/>
    <s v=""/>
    <n v="25.36653579999998"/>
  </r>
  <r>
    <s v="Poland"/>
    <x v="13"/>
    <x v="3"/>
    <n v="301.16916220000002"/>
    <n v="3.3133740239999998"/>
    <n v="0.47058960700000002"/>
    <n v="79.672950380000003"/>
    <n v="90.895009139999999"/>
    <n v="2.5535675420000001"/>
    <n v="14.35850559"/>
    <n v="19.084"/>
    <n v="17.974"/>
    <n v="5.6260046619999997"/>
    <n v="14.66399912"/>
    <n v="0.14202731199999999"/>
    <n v="151.631"/>
    <n v="111.462"/>
    <n v="140.6779836"/>
    <n v="8.1777473000000003E-2"/>
    <n v="0.95799999999999996"/>
    <n v="163.79400000000001"/>
    <s v=""/>
    <n v="23.116016400000007"/>
  </r>
  <r>
    <s v="Poland"/>
    <x v="14"/>
    <x v="3"/>
    <n v="303.55450580000002"/>
    <n v="3.3299353599999999"/>
    <n v="0.451147513"/>
    <n v="78.684495749999996"/>
    <n v="91.159278779999994"/>
    <n v="3.1240472499999998"/>
    <n v="14.413293790000001"/>
    <n v="20.218"/>
    <n v="18.530999999999999"/>
    <n v="5.9390034590000003"/>
    <n v="15.533000660000001"/>
    <n v="0.13548236399999999"/>
    <n v="154.15899999999999"/>
    <n v="114.798"/>
    <n v="139.59700000000001"/>
    <n v="0.232227765"/>
    <n v="1.0960000000000001"/>
    <n v="162.428"/>
    <s v=""/>
    <n v="22.830999999999989"/>
  </r>
  <r>
    <s v="Poland"/>
    <x v="15"/>
    <x v="3"/>
    <n v="303.66216279999998"/>
    <n v="3.2879626599999998"/>
    <n v="0.43607258799999998"/>
    <n v="78.575848519999994"/>
    <n v="92.355721220000007"/>
    <n v="3.4561859610000001"/>
    <n v="14.4262313"/>
    <n v="20.788"/>
    <n v="18.457000000000001"/>
    <n v="6.0569900079999996"/>
    <n v="16.231009279999999"/>
    <n v="0.132626989"/>
    <n v="156.93600000000001"/>
    <n v="115.65900000000001"/>
    <n v="137.24092060000001"/>
    <n v="0.24404852899999999"/>
    <n v="1.1000000000000001"/>
    <n v="159.54"/>
    <s v=""/>
    <n v="22.299079399999982"/>
  </r>
  <r>
    <s v="Poland"/>
    <x v="16"/>
    <x v="3"/>
    <n v="316.75883440000001"/>
    <n v="3.2648890509999999"/>
    <n v="0.42840604300000001"/>
    <n v="77.571949180000004"/>
    <n v="97.019785200000001"/>
    <n v="3.257657257"/>
    <n v="14.464777679999999"/>
    <n v="21.988"/>
    <n v="21.047000000000001"/>
    <n v="5.99499183"/>
    <n v="16.18498241"/>
    <n v="0.131216111"/>
    <n v="161.74199999999999"/>
    <n v="121.279"/>
    <n v="140.23803119999999"/>
    <n v="0.31408044899999998"/>
    <n v="1.032"/>
    <n v="156.06700000000001"/>
    <s v=""/>
    <n v="15.828968800000013"/>
  </r>
  <r>
    <s v="Poland"/>
    <x v="17"/>
    <x v="3"/>
    <n v="314.32156709999998"/>
    <n v="3.255405761"/>
    <n v="0.397169524"/>
    <n v="72.457121029999996"/>
    <n v="96.55372946"/>
    <n v="3.77601225"/>
    <n v="14.828288110000001"/>
    <n v="22.984999999999999"/>
    <n v="21.716000000000001"/>
    <n v="6.0399902709999997"/>
    <n v="16.158984839999999"/>
    <n v="0.122003078"/>
    <n v="159.34800000000001"/>
    <n v="124.741"/>
    <n v="137.32583869999999"/>
    <n v="0.43803499299999998"/>
    <n v="0.94399999999999995"/>
    <n v="145.85"/>
    <s v=""/>
    <n v="8.5241613000000029"/>
  </r>
  <r>
    <s v="Poland"/>
    <x v="18"/>
    <x v="3"/>
    <n v="311.19435140000002"/>
    <n v="3.1736657410000002"/>
    <n v="0.37718899099999997"/>
    <n v="71.301340999999994"/>
    <n v="98.055175570000003"/>
    <n v="4.6379704449999997"/>
    <n v="15.061638609999999"/>
    <n v="23.32"/>
    <n v="21.97"/>
    <n v="5.750004187"/>
    <n v="16.288008399999999"/>
    <n v="0.118849627"/>
    <n v="155.30500000000001"/>
    <n v="127.35"/>
    <n v="134.62013279999999"/>
    <n v="0.54409065999999995"/>
    <n v="1.0189999999999999"/>
    <n v="144.01300000000001"/>
    <s v=""/>
    <n v="9.392867200000012"/>
  </r>
  <r>
    <s v="Poland"/>
    <x v="19"/>
    <x v="3"/>
    <n v="299.52479080000001"/>
    <n v="3.1744262270000001"/>
    <n v="0.35308671699999999"/>
    <n v="67.417873729999997"/>
    <n v="94.355568349999999"/>
    <n v="6.1145531240000004"/>
    <n v="14.7481217"/>
    <n v="23.457999999999998"/>
    <n v="22.006"/>
    <n v="5.8620028030000002"/>
    <n v="15.99000886"/>
    <n v="0.111228516"/>
    <n v="151.72"/>
    <n v="122.303"/>
    <n v="127.52991"/>
    <n v="0.71513313999999994"/>
    <n v="0.93100000000000005"/>
    <n v="135.172"/>
    <s v=""/>
    <n v="7.6420899999999961"/>
  </r>
  <r>
    <s v="Poland"/>
    <x v="20"/>
    <x v="3"/>
    <n v="318.0202539"/>
    <n v="3.1561203529999999"/>
    <n v="0.36183834500000001"/>
    <n v="67.388222369999994"/>
    <n v="100.76303129999999"/>
    <n v="7.2664074540000003"/>
    <n v="14.484812079999999"/>
    <n v="24.52"/>
    <n v="23.562999999999999"/>
    <n v="6.0790072430000004"/>
    <n v="17.155017699999998"/>
    <n v="0.11464656099999999"/>
    <n v="157.65700000000001"/>
    <n v="129.42400000000001"/>
    <n v="133.50097049999999"/>
    <n v="1.05989585"/>
    <n v="1.0429999999999999"/>
    <n v="133.238"/>
    <s v=""/>
    <n v="-0.26297049999999444"/>
  </r>
  <r>
    <s v="Poland"/>
    <x v="21"/>
    <x v="3"/>
    <n v="313.51723659999999"/>
    <n v="3.096395105"/>
    <n v="0.33967270500000002"/>
    <n v="68.387008230000006"/>
    <n v="101.2523357"/>
    <n v="8.2954239730000001"/>
    <n v="15.1297505"/>
    <n v="24.187999999999999"/>
    <n v="24.777999999999999"/>
    <n v="6.2469915240000002"/>
    <n v="17.178022330000001"/>
    <n v="0.109699407"/>
    <n v="163.548"/>
    <n v="132.38800000000001"/>
    <n v="137.07263090000001"/>
    <n v="1.964560863"/>
    <n v="0.90400000000000003"/>
    <n v="139.28899999999999"/>
    <s v=""/>
    <n v="2.2163690999999801"/>
  </r>
  <r>
    <s v="Poland"/>
    <x v="22"/>
    <x v="3"/>
    <n v="307.62516099999999"/>
    <n v="3.1363467470000002"/>
    <n v="0.328014904"/>
    <n v="71.73951744"/>
    <n v="98.083912850000004"/>
    <n v="10.67417463"/>
    <n v="15.339913559999999"/>
    <n v="22.907"/>
    <n v="25.625"/>
    <n v="6.3170041640000001"/>
    <n v="18.096985719999999"/>
    <n v="0.104585025"/>
    <n v="162.13900000000001"/>
    <n v="133.27799999999999"/>
    <n v="135.22584560000001"/>
    <n v="2.9332856380000001"/>
    <n v="1.0920000000000001"/>
    <n v="144.09299999999999"/>
    <s v=""/>
    <n v="8.8671543999999756"/>
  </r>
  <r>
    <s v="Poland"/>
    <x v="23"/>
    <x v="3"/>
    <n v="304.77683539999998"/>
    <n v="3.1039786720000002"/>
    <n v="0.32051654400000001"/>
    <n v="71.487298440000004"/>
    <n v="98.189088139999996"/>
    <n v="10.709077649999999"/>
    <n v="15.766550860000001"/>
    <n v="21.460999999999999"/>
    <n v="24.893000000000001"/>
    <n v="6.2059941170000004"/>
    <n v="18.228977780000001"/>
    <n v="0.103259905"/>
    <n v="164.58"/>
    <n v="134.48099999999999"/>
    <n v="136.88200000000001"/>
    <n v="3.6535423499999999"/>
    <n v="1.5009999999999999"/>
    <n v="142.86600000000001"/>
    <s v=""/>
    <n v="5.9840000000000089"/>
  </r>
  <r>
    <s v="Poland"/>
    <x v="24"/>
    <x v="3"/>
    <n v="291.7762098"/>
    <n v="3.0828690910000001"/>
    <n v="0.29698909400000001"/>
    <n v="67.902386829999998"/>
    <n v="94.644372230000002"/>
    <n v="12.82165737"/>
    <n v="16.355307499999999"/>
    <n v="21.405000000000001"/>
    <n v="24.812000000000001"/>
    <n v="6.0800103820000002"/>
    <n v="17.657984970000001"/>
    <n v="9.6335292000000003E-2"/>
    <n v="159.059"/>
    <n v="136.30799999999999"/>
    <n v="130.47499999999999"/>
    <n v="4.8353126829999997"/>
    <n v="1.4930000000000001"/>
    <n v="137.148"/>
    <s v=""/>
    <n v="6.6730000000000018"/>
  </r>
  <r>
    <s v="Poland"/>
    <x v="25"/>
    <x v="3"/>
    <n v="296.0080193"/>
    <n v="3.0978090909999998"/>
    <n v="0.29015716899999999"/>
    <n v="68.523340379999993"/>
    <n v="95.553990139999996"/>
    <n v="14.117518670000001"/>
    <n v="16.347859239999998"/>
    <n v="23.085999999999999"/>
    <n v="27.486000000000001"/>
    <n v="6.0779966229999998"/>
    <n v="18.202017130000002"/>
    <n v="9.3665284000000001E-2"/>
    <n v="164.94399999999999"/>
    <n v="138.92699999999999"/>
    <n v="129.09800000000001"/>
    <n v="6.6228538170000002"/>
    <n v="1.5569999999999999"/>
    <n v="135.81399999999999"/>
    <s v=""/>
    <n v="6.7159999999999798"/>
  </r>
  <r>
    <s v="Poland"/>
    <x v="26"/>
    <x v="3"/>
    <n v="306.6235643"/>
    <n v="3.0716591719999999"/>
    <n v="0.291627684"/>
    <n v="67.247833839999998"/>
    <n v="99.82343324"/>
    <n v="13.97605545"/>
    <n v="15.986506070000001"/>
    <n v="25.318999999999999"/>
    <n v="27.015999999999998"/>
    <n v="5.7939960810000004"/>
    <n v="19.02198637"/>
    <n v="9.4941419999999999E-2"/>
    <n v="166.63499999999999"/>
    <n v="143.76400000000001"/>
    <n v="128.173"/>
    <n v="7.6346505840000001"/>
    <n v="1.601"/>
    <n v="131.029"/>
    <s v=""/>
    <n v="2.8559999999999945"/>
  </r>
  <r>
    <s v="Poland"/>
    <x v="27"/>
    <x v="3"/>
    <n v="319.4739849"/>
    <n v="3.0586773709999999"/>
    <n v="0.28955250799999999"/>
    <n v="64.87522543"/>
    <n v="104.448409"/>
    <n v="14.429002560000001"/>
    <n v="15.36853007"/>
    <n v="28.383133000000001"/>
    <n v="26.691728000000001"/>
    <n v="5.7466536870000002"/>
    <n v="20.07665532"/>
    <n v="9.4665920000000001E-2"/>
    <n v="170.465352"/>
    <n v="146.42546400000001"/>
    <n v="129.67074600000001"/>
    <n v="8.8475475059999997"/>
    <n v="1.5811409999999999"/>
    <n v="127.135766"/>
    <s v=""/>
    <n v="-2.5349800000000045"/>
  </r>
  <r>
    <s v="Poland"/>
    <x v="28"/>
    <x v="3"/>
    <n v="320.15130360000001"/>
    <n v="3.0070353239999998"/>
    <n v="0.27595992200000002"/>
    <n v="63.052357120000003"/>
    <n v="106.4674236"/>
    <n v="12.95851908"/>
    <n v="15.746376720000001"/>
    <n v="28.894769"/>
    <n v="28.214811999999998"/>
    <n v="5.6782098129999996"/>
    <n v="20.290675"/>
    <n v="9.1771427000000003E-2"/>
    <n v="170.03946099999999"/>
    <n v="151.40277900000001"/>
    <n v="126.717743"/>
    <n v="7.7386877859999998"/>
    <n v="1.6527609999999999"/>
    <n v="122.427868"/>
    <s v=""/>
    <n v="-4.289874999999995"/>
  </r>
  <r>
    <s v="Poland"/>
    <x v="29"/>
    <x v="3"/>
    <n v="301.89271630000002"/>
    <n v="2.9197348789999999"/>
    <n v="0.24901590300000001"/>
    <n v="60.008501930000001"/>
    <n v="103.3973045"/>
    <n v="14.47815449"/>
    <n v="15.817454010000001"/>
    <n v="29.423408439999999"/>
    <n v="28.435398249999999"/>
    <n v="5.60946239"/>
    <n v="20.86452105"/>
    <n v="8.5287162999999999E-2"/>
    <n v="163.99044459999999"/>
    <n v="149.91398319999999"/>
    <n v="112.7901542"/>
    <n v="9.6816648199999999"/>
    <n v="1.5922143099999999"/>
    <n v="112.4088788"/>
    <s v=""/>
    <n v="-0.38127540000000693"/>
  </r>
  <r>
    <s v="Poland"/>
    <x v="30"/>
    <x v="3"/>
    <n v="278.03279700000002"/>
    <n v="2.8524681300000001"/>
    <n v="0.23594143300000001"/>
    <n v="55.379555840000002"/>
    <n v="97.4709565"/>
    <n v="16.670806750000001"/>
    <n v="15.930953880000001"/>
    <n v="28.66436728"/>
    <n v="26.69068828"/>
    <n v="5.5341418259999999"/>
    <n v="21.531968379999999"/>
    <n v="8.2714836E-2"/>
    <n v="157.55038250000001"/>
    <n v="144.6542972"/>
    <n v="99.767189000000002"/>
    <n v="11.21195823"/>
    <n v="1.5222327"/>
    <n v="100.7725952"/>
    <s v=""/>
    <n v="1.0054061999999959"/>
  </r>
  <r>
    <s v="Portugal"/>
    <x v="0"/>
    <x v="3"/>
    <n v="39.787807749999999"/>
    <n v="2.3710201469999999"/>
    <n v="0.177453263"/>
    <n v="3.3929670449999998"/>
    <n v="16.780881350000001"/>
    <n v="35.079470899999997"/>
    <n v="15.04636449"/>
    <n v="10.94"/>
    <n v="11.428000000000001"/>
    <m/>
    <n v="0"/>
    <n v="7.4842579000000006E-2"/>
    <n v="28.501000000000001"/>
    <n v="23.95"/>
    <n v="4.399"/>
    <n v="2.1051892999999999E-2"/>
    <n v="0"/>
    <n v="0"/>
    <s v=""/>
    <n v="-4.399"/>
  </r>
  <r>
    <s v="Portugal"/>
    <x v="1"/>
    <x v="3"/>
    <n v="41.28946792"/>
    <n v="2.433777868"/>
    <n v="0.176443249"/>
    <n v="3.3941156000000001"/>
    <n v="16.965175200000001"/>
    <n v="33.446036419999999"/>
    <n v="15.77273664"/>
    <n v="10.994999999999999"/>
    <n v="10.192"/>
    <m/>
    <n v="0"/>
    <n v="7.2497679999999995E-2"/>
    <n v="29.872"/>
    <n v="25.256"/>
    <n v="4.6189999999999998"/>
    <n v="2.3433315E-2"/>
    <n v="0"/>
    <n v="0"/>
    <s v=""/>
    <n v="-4.6189999999999998"/>
  </r>
  <r>
    <s v="Portugal"/>
    <x v="2"/>
    <x v="3"/>
    <n v="45.145234360000003"/>
    <n v="2.501169306"/>
    <n v="0.190841018"/>
    <n v="2.9397123199999999"/>
    <n v="18.049651520000001"/>
    <n v="19.828503059999999"/>
    <n v="15.654184539999999"/>
    <n v="12.351000000000001"/>
    <n v="11.648999999999999"/>
    <m/>
    <n v="0"/>
    <n v="7.6300719000000003E-2"/>
    <n v="30.088000000000001"/>
    <n v="26.035"/>
    <n v="4.7130000000000001"/>
    <n v="3.3235842000000002E-2"/>
    <n v="0"/>
    <n v="0"/>
    <s v=""/>
    <n v="-4.7130000000000001"/>
  </r>
  <r>
    <s v="Portugal"/>
    <x v="3"/>
    <x v="3"/>
    <n v="43.863107030000002"/>
    <n v="2.4641469640000002"/>
    <n v="0.189288816"/>
    <n v="3.2758895400000001"/>
    <n v="17.800523940000001"/>
    <n v="30.936358389999999"/>
    <n v="15.82967549"/>
    <n v="11.651999999999999"/>
    <n v="11.263999999999999"/>
    <m/>
    <n v="0"/>
    <n v="7.6817178E-2"/>
    <n v="31.206"/>
    <n v="26.376000000000001"/>
    <n v="4.9820000000000002"/>
    <n v="5.1272191000000002E-2"/>
    <n v="0"/>
    <n v="0"/>
    <s v=""/>
    <n v="-4.9820000000000002"/>
  </r>
  <r>
    <s v="Portugal"/>
    <x v="4"/>
    <x v="3"/>
    <n v="45.282534849999998"/>
    <n v="2.4797098229999999"/>
    <n v="0.19354686500000001"/>
    <n v="3.4858031249999999"/>
    <n v="18.26122333"/>
    <n v="37.241093620000001"/>
    <n v="15.65635296"/>
    <n v="11.776"/>
    <n v="13.744"/>
    <m/>
    <n v="0"/>
    <n v="7.8052223000000004E-2"/>
    <n v="31.382000000000001"/>
    <n v="27.431000000000001"/>
    <n v="5.2359999999999998"/>
    <n v="0.16251354300000001"/>
    <n v="0"/>
    <n v="0"/>
    <s v=""/>
    <n v="-5.2359999999999998"/>
  </r>
  <r>
    <s v="Portugal"/>
    <x v="5"/>
    <x v="3"/>
    <n v="48.710548699999997"/>
    <n v="2.411989443"/>
    <n v="0.199648398"/>
    <n v="3.3173587200000001"/>
    <n v="20.195174919999999"/>
    <n v="28.561551179999999"/>
    <n v="16.209295269999998"/>
    <n v="12.872"/>
    <n v="13.346"/>
    <m/>
    <n v="0"/>
    <n v="8.2773330000000006E-2"/>
    <n v="33.265000000000001"/>
    <n v="29.291"/>
    <n v="5.6719999999999997"/>
    <n v="0.17736359500000001"/>
    <n v="0"/>
    <n v="0"/>
    <s v=""/>
    <n v="-5.6719999999999997"/>
  </r>
  <r>
    <s v="Portugal"/>
    <x v="6"/>
    <x v="3"/>
    <n v="46.754992229999999"/>
    <n v="2.3380971050000001"/>
    <n v="0.185145272"/>
    <n v="3.7930702549999999"/>
    <n v="19.997027559999999"/>
    <n v="46.024159210000001"/>
    <n v="16.38842885"/>
    <n v="12.263999999999999"/>
    <n v="12.340999999999999"/>
    <m/>
    <n v="0"/>
    <n v="7.9186305999999998E-2"/>
    <n v="34.521000000000001"/>
    <n v="30.69"/>
    <n v="5.4379999999999997"/>
    <n v="0.20567191000000001"/>
    <n v="0"/>
    <n v="0"/>
    <s v=""/>
    <n v="-5.4379999999999997"/>
  </r>
  <r>
    <s v="Portugal"/>
    <x v="7"/>
    <x v="3"/>
    <n v="48.993033990000001"/>
    <n v="2.3257709439999998"/>
    <n v="0.18582958699999999"/>
    <n v="3.7477564800000001"/>
    <n v="21.06528767"/>
    <n v="41.808933580000001"/>
    <n v="16.408969460000002"/>
    <n v="13.16"/>
    <n v="12.984"/>
    <m/>
    <n v="0.1"/>
    <n v="7.9900209999999999E-2"/>
    <n v="34.207999999999998"/>
    <n v="32.439"/>
    <n v="5.4640000000000004"/>
    <n v="0.26309635199999998"/>
    <n v="0"/>
    <n v="0"/>
    <s v=""/>
    <n v="-5.4640000000000004"/>
  </r>
  <r>
    <s v="Portugal"/>
    <x v="8"/>
    <x v="3"/>
    <n v="53.740411639999998"/>
    <n v="2.3611679040000002"/>
    <n v="0.194485503"/>
    <n v="3.7324065649999998"/>
    <n v="22.760097470000002"/>
    <n v="36.486763799999999"/>
    <n v="16.239754349999998"/>
    <n v="14.782999999999999"/>
    <n v="14.019"/>
    <m/>
    <n v="0.80600038100000004"/>
    <n v="8.2368348999999993E-2"/>
    <n v="38.984000000000002"/>
    <n v="34.411999999999999"/>
    <n v="4.9850000000000003"/>
    <n v="0.37964292999999999"/>
    <n v="0"/>
    <n v="0"/>
    <s v=""/>
    <n v="-4.9850000000000003"/>
  </r>
  <r>
    <s v="Portugal"/>
    <x v="9"/>
    <x v="3"/>
    <n v="60.210852879999997"/>
    <n v="2.465185892"/>
    <n v="0.20970944399999999"/>
    <n v="3.3678405549999999"/>
    <n v="24.424467570000001"/>
    <n v="20.779910829999999"/>
    <n v="16.806924030000001"/>
    <n v="15.031000000000001"/>
    <n v="13.481999999999999"/>
    <m/>
    <n v="2.2480023199999999"/>
    <n v="8.5068409999999997E-2"/>
    <n v="43.286999999999999"/>
    <n v="36.741"/>
    <n v="6.0830000000000002"/>
    <n v="0.47127313100000001"/>
    <n v="0"/>
    <n v="0"/>
    <s v=""/>
    <n v="-6.0830000000000002"/>
  </r>
  <r>
    <s v="Portugal"/>
    <x v="10"/>
    <x v="3"/>
    <n v="59.711418299999998"/>
    <n v="2.4277544130000002"/>
    <n v="0.20032518899999999"/>
    <n v="3.8466729200000001"/>
    <n v="24.595328909999999"/>
    <n v="30.29887579"/>
    <n v="16.983934789999999"/>
    <n v="14.66"/>
    <n v="12.308"/>
    <m/>
    <n v="2.2800000969999998"/>
    <n v="8.2514602000000006E-2"/>
    <n v="43.764000000000003"/>
    <n v="38.939"/>
    <n v="6.1020000000000003"/>
    <n v="0.56896078999999999"/>
    <n v="0"/>
    <n v="0"/>
    <s v=""/>
    <n v="-6.1020000000000003"/>
  </r>
  <r>
    <s v="Portugal"/>
    <x v="11"/>
    <x v="3"/>
    <n v="59.254515290000001"/>
    <n v="2.3912402880000001"/>
    <n v="0.195002127"/>
    <n v="4.0971066150000004"/>
    <n v="24.77982476"/>
    <n v="34.578253670000002"/>
    <n v="17.60697339"/>
    <n v="15.045999999999999"/>
    <n v="13.061"/>
    <m/>
    <n v="2.5429994589999998"/>
    <n v="8.1548528999999995E-2"/>
    <n v="46.509"/>
    <n v="40.540999999999997"/>
    <n v="5.157"/>
    <n v="0.77834397600000005"/>
    <n v="0"/>
    <n v="0"/>
    <s v=""/>
    <n v="-5.157"/>
  </r>
  <r>
    <s v="Portugal"/>
    <x v="12"/>
    <x v="3"/>
    <n v="63.202963699999998"/>
    <n v="2.4482022059999999"/>
    <n v="0.20640494700000001"/>
    <n v="3.6432015999999998"/>
    <n v="25.816071709999999"/>
    <n v="22.10076561"/>
    <n v="17.878965919999999"/>
    <n v="15.532"/>
    <n v="12.394"/>
    <m/>
    <n v="3.1130012210000002"/>
    <n v="8.4308781999999999E-2"/>
    <n v="46.106999999999999"/>
    <n v="42.116999999999997"/>
    <n v="5.6890000000000001"/>
    <n v="0.99767931099999996"/>
    <n v="0"/>
    <n v="0"/>
    <s v=""/>
    <n v="-5.6890000000000001"/>
  </r>
  <r>
    <s v="Portugal"/>
    <x v="13"/>
    <x v="3"/>
    <n v="58.734762920000001"/>
    <n v="2.3390256389999999"/>
    <n v="0.19361455299999999"/>
    <n v="4.3368587400000003"/>
    <n v="25.110782010000001"/>
    <n v="38.491419790000002"/>
    <n v="18.571243419999998"/>
    <n v="14.414999999999999"/>
    <n v="13.224"/>
    <m/>
    <n v="3.017001279"/>
    <n v="8.2775729000000006E-2"/>
    <n v="46.851999999999997"/>
    <n v="43.802999999999997"/>
    <n v="5.3639999999999999"/>
    <n v="1.257150175"/>
    <n v="0"/>
    <n v="0"/>
    <s v=""/>
    <n v="-5.3639999999999999"/>
  </r>
  <r>
    <s v="Portugal"/>
    <x v="14"/>
    <x v="3"/>
    <n v="60.049131989999999"/>
    <n v="2.325799559"/>
    <n v="0.194468737"/>
    <n v="3.891627325"/>
    <n v="25.818704700000001"/>
    <n v="27.917082359999998"/>
    <n v="18.821969060000001"/>
    <n v="14.404999999999999"/>
    <n v="13.292999999999999"/>
    <m/>
    <n v="3.7600011740000001"/>
    <n v="8.3613713000000006E-2"/>
    <n v="45.104999999999997"/>
    <n v="45.497999999999998"/>
    <n v="5.4240000000000004"/>
    <n v="2.001995344"/>
    <n v="0"/>
    <n v="0"/>
    <s v=""/>
    <n v="-5.4240000000000004"/>
  </r>
  <r>
    <s v="Portugal"/>
    <x v="15"/>
    <x v="3"/>
    <n v="63.189017200000002"/>
    <n v="2.3884692909999998"/>
    <n v="0.203049696"/>
    <n v="3.6111214550000001"/>
    <n v="26.455863359999999"/>
    <n v="18.565754160000001"/>
    <n v="19.469517660000001"/>
    <n v="15.021000000000001"/>
    <n v="13.564"/>
    <m/>
    <n v="4.2579997880000002"/>
    <n v="8.5012479000000002E-2"/>
    <n v="46.575000000000003"/>
    <n v="47.027999999999999"/>
    <n v="5.4589999999999996"/>
    <n v="3.9656468060000001"/>
    <n v="0"/>
    <n v="0"/>
    <s v=""/>
    <n v="-5.4589999999999996"/>
  </r>
  <r>
    <s v="Portugal"/>
    <x v="16"/>
    <x v="3"/>
    <n v="57.881497060000001"/>
    <n v="2.3014356239999998"/>
    <n v="0.18302052299999999"/>
    <n v="4.3630963400000002"/>
    <n v="25.150169949999999"/>
    <n v="33.007075710000002"/>
    <n v="20.845121200000001"/>
    <n v="13.089"/>
    <n v="14.318"/>
    <m/>
    <n v="4.1390009000000001"/>
    <n v="7.9524502999999996E-2"/>
    <n v="49.040999999999997"/>
    <n v="48.545000000000002"/>
    <n v="5.46"/>
    <n v="6.1479170490000001"/>
    <n v="0"/>
    <n v="0"/>
    <s v=""/>
    <n v="-5.46"/>
  </r>
  <r>
    <s v="Portugal"/>
    <x v="17"/>
    <x v="3"/>
    <n v="56.265785229999999"/>
    <n v="2.2221071910000001"/>
    <n v="0.17356121299999999"/>
    <n v="4.6302086200000003"/>
    <n v="25.32091406"/>
    <n v="35.077137960000002"/>
    <n v="20.669560789999998"/>
    <n v="13.212"/>
    <n v="13.188000000000001"/>
    <m/>
    <n v="4.3439974130000003"/>
    <n v="7.8106589000000004E-2"/>
    <n v="47.253"/>
    <n v="49.676000000000002"/>
    <n v="4.7249999999999996"/>
    <n v="9.0195331509999992"/>
    <n v="0"/>
    <n v="0"/>
    <s v=""/>
    <n v="-4.7249999999999996"/>
  </r>
  <r>
    <s v="Portugal"/>
    <x v="18"/>
    <x v="3"/>
    <n v="54.317715929999999"/>
    <n v="2.2018026700000002"/>
    <n v="0.16701886499999999"/>
    <n v="4.4635758900000004"/>
    <n v="24.669656679999999"/>
    <n v="32.933832170000002"/>
    <n v="21.314663320000001"/>
    <n v="12.519"/>
    <n v="12.757999999999999"/>
    <m/>
    <n v="4.7200031620000003"/>
    <n v="7.5855510000000001E-2"/>
    <n v="45.973999999999997"/>
    <n v="49.186999999999998"/>
    <n v="4.1449999999999996"/>
    <n v="13.029103409999999"/>
    <n v="0"/>
    <n v="0"/>
    <s v=""/>
    <n v="-4.1449999999999996"/>
  </r>
  <r>
    <s v="Portugal"/>
    <x v="19"/>
    <x v="3"/>
    <n v="53.808035349999997"/>
    <n v="2.2104946550000002"/>
    <n v="0.170783674"/>
    <n v="4.9161312700000002"/>
    <n v="24.342078919999999"/>
    <n v="37.875196690000003"/>
    <n v="21.754659279999998"/>
    <n v="11.701000000000001"/>
    <n v="11.314"/>
    <m/>
    <n v="4.7449946220000001"/>
    <n v="7.7260387999999999E-2"/>
    <n v="50.207000000000001"/>
    <n v="48.773000000000003"/>
    <n v="4.6710000000000003"/>
    <n v="15.776684530000001"/>
    <n v="0"/>
    <n v="0"/>
    <s v=""/>
    <n v="-4.6710000000000003"/>
  </r>
  <r>
    <s v="Portugal"/>
    <x v="20"/>
    <x v="3"/>
    <n v="48.471491870000001"/>
    <n v="2.063331163"/>
    <n v="0.15121818000000001"/>
    <n v="5.7918848550000002"/>
    <n v="23.491862449999999"/>
    <n v="53.15585136"/>
    <n v="22.643739360000001"/>
    <n v="11.305"/>
    <n v="11.912000000000001"/>
    <m/>
    <n v="5.1400042340000001"/>
    <n v="7.3288371000000005E-2"/>
    <n v="54.09"/>
    <n v="50.613"/>
    <n v="2.6880000000000002"/>
    <n v="17.729709740000001"/>
    <n v="0"/>
    <n v="0"/>
    <s v=""/>
    <n v="-2.6880000000000002"/>
  </r>
  <r>
    <s v="Portugal"/>
    <x v="21"/>
    <x v="3"/>
    <n v="48.0000851"/>
    <n v="2.101856701"/>
    <n v="0.152331307"/>
    <n v="5.5206993950000003"/>
    <n v="22.836992209999998"/>
    <n v="47.061738750000004"/>
    <n v="22.907891599999999"/>
    <n v="10.321999999999999"/>
    <n v="10.82"/>
    <m/>
    <n v="5.1839987000000001"/>
    <n v="7.2474640000000007E-2"/>
    <n v="52.463000000000001"/>
    <n v="49.113999999999997"/>
    <n v="3.7210000000000001"/>
    <n v="18.395821819999998"/>
    <n v="0"/>
    <n v="0"/>
    <s v=""/>
    <n v="-3.7210000000000001"/>
  </r>
  <r>
    <s v="Portugal"/>
    <x v="22"/>
    <x v="3"/>
    <n v="46.504663379999997"/>
    <n v="2.1679981970000002"/>
    <n v="0.15382669299999999"/>
    <n v="4.7168627250000004"/>
    <n v="21.450508320000001"/>
    <n v="43.782044409999997"/>
    <n v="24.26184645"/>
    <n v="9.14"/>
    <n v="11.673"/>
    <m/>
    <n v="4.4900041249999996"/>
    <n v="7.0953329999999995E-2"/>
    <n v="46.615000000000002"/>
    <n v="47.11"/>
    <n v="4.8650000000000002"/>
    <n v="23.164217529999998"/>
    <n v="1.6E-2"/>
    <n v="0"/>
    <s v=""/>
    <n v="-4.8650000000000002"/>
  </r>
  <r>
    <s v="Portugal"/>
    <x v="23"/>
    <x v="3"/>
    <n v="45.090323589999997"/>
    <n v="2.0908562499999999"/>
    <n v="0.15053730700000001"/>
    <n v="5.8211217790000003"/>
    <n v="21.565482370000002"/>
    <n v="59.23789987"/>
    <n v="23.985042369999999"/>
    <n v="9.1829999999999998"/>
    <n v="13.941000000000001"/>
    <m/>
    <n v="4.2639969229999997"/>
    <n v="7.1997923000000005E-2"/>
    <n v="51.673000000000002"/>
    <n v="46.273000000000003"/>
    <n v="4.4379999999999997"/>
    <n v="24.558279949999999"/>
    <n v="7.5999999999999998E-2"/>
    <n v="0"/>
    <s v=""/>
    <n v="-4.4379999999999997"/>
  </r>
  <r>
    <s v="Portugal"/>
    <x v="24"/>
    <x v="3"/>
    <n v="44.178224159999999"/>
    <n v="2.080464911"/>
    <n v="0.14633296000000001"/>
    <n v="6.0457454080000002"/>
    <n v="21.234784550000001"/>
    <n v="61.367725319999998"/>
    <n v="24.010799420000001"/>
    <n v="9.0269999999999992"/>
    <n v="12.662000000000001"/>
    <m/>
    <n v="4.079001377"/>
    <n v="7.0336662999999994E-2"/>
    <n v="52.802999999999997"/>
    <n v="46.139000000000003"/>
    <n v="4.5289999999999999"/>
    <n v="24.511864859999999"/>
    <n v="7.1999999999999995E-2"/>
    <n v="0"/>
    <s v=""/>
    <n v="-4.5289999999999999"/>
  </r>
  <r>
    <s v="Portugal"/>
    <x v="25"/>
    <x v="3"/>
    <n v="48.228577719999997"/>
    <n v="2.1893327139999998"/>
    <n v="0.15693669900000001"/>
    <n v="5.3680869380000003"/>
    <n v="22.028893740000001"/>
    <n v="48.666539489999998"/>
    <n v="24.256393150000001"/>
    <n v="9.1240000000000006"/>
    <n v="15.092000000000001"/>
    <m/>
    <n v="4.7359764760000003"/>
    <n v="7.1682435000000003E-2"/>
    <n v="52.42"/>
    <n v="46.848999999999997"/>
    <n v="5.5129999999999999"/>
    <n v="24.049980919999999"/>
    <n v="7.0000000000000007E-2"/>
    <n v="0"/>
    <s v=""/>
    <n v="-5.5129999999999999"/>
  </r>
  <r>
    <s v="Portugal"/>
    <x v="26"/>
    <x v="3"/>
    <n v="47.631424170000003"/>
    <n v="2.1783336069999999"/>
    <n v="0.151925439"/>
    <n v="6.0659346899999997"/>
    <n v="21.865991510000001"/>
    <n v="55.523877409999997"/>
    <n v="24.698208189999999"/>
    <n v="9.0389999999999997"/>
    <n v="14.914999999999999"/>
    <m/>
    <n v="5.0490040780000003"/>
    <n v="6.9743879999999994E-2"/>
    <n v="60.329000000000001"/>
    <n v="47.36"/>
    <n v="4.8109999999999999"/>
    <n v="22.40381906"/>
    <n v="7.0999999999999994E-2"/>
    <n v="0.28100000000000003"/>
    <s v=""/>
    <n v="-4.53"/>
  </r>
  <r>
    <s v="Portugal"/>
    <x v="27"/>
    <x v="3"/>
    <n v="51.994306229999999"/>
    <n v="2.2768215540000001"/>
    <n v="0.160223327"/>
    <n v="5.287093595"/>
    <n v="22.836355409999999"/>
    <n v="40.900521789999999"/>
    <n v="24.403265730000001"/>
    <n v="9.1516409999999997"/>
    <n v="15.477508"/>
    <m/>
    <n v="6.2822512259999996"/>
    <n v="7.0371490999999994E-2"/>
    <n v="59.431721000000003"/>
    <n v="47.660587999999997"/>
    <n v="5.4538060000000002"/>
    <n v="22.641215450000001"/>
    <n v="7.0827000000000001E-2"/>
    <n v="0.27"/>
    <s v=""/>
    <n v="-5.1838060000000006"/>
  </r>
  <r>
    <s v="Portugal"/>
    <x v="28"/>
    <x v="3"/>
    <n v="48.126542620000002"/>
    <n v="2.1807364279999999"/>
    <n v="0.14477036800000001"/>
    <n v="5.9357587079999998"/>
    <n v="22.068940569999999"/>
    <n v="51.373214820000001"/>
    <n v="25.44853329"/>
    <n v="8.5965900000000008"/>
    <n v="13.795726"/>
    <m/>
    <n v="5.7289763440000003"/>
    <n v="6.6386000000000001E-2"/>
    <n v="59.636080999999997"/>
    <n v="48.897005"/>
    <n v="4.5523379999999998"/>
    <n v="23.22900293"/>
    <n v="6.5379999999999994E-2"/>
    <n v="0.221"/>
    <s v=""/>
    <n v="-4.3313379999999997"/>
  </r>
  <r>
    <s v="Portugal"/>
    <x v="29"/>
    <x v="3"/>
    <n v="44.528239650000003"/>
    <n v="2.0534167769999998"/>
    <n v="0.13110776199999999"/>
    <n v="5.7479460859999998"/>
    <n v="21.684949769999999"/>
    <n v="54.122772519999998"/>
    <n v="24.005366030000001"/>
    <n v="9.2556159579999999"/>
    <n v="13.08160137"/>
    <m/>
    <n v="6.0070529620000004"/>
    <n v="6.3848587999999998E-2"/>
    <n v="52.955840940000002"/>
    <n v="48.176225109999997"/>
    <n v="2.1159794839999999"/>
    <n v="28.941462210000001"/>
    <n v="6.6000000000000003E-2"/>
    <n v="0.19700000000000001"/>
    <s v=""/>
    <n v="-1.9189794839999998"/>
  </r>
  <r>
    <s v="Portugal"/>
    <x v="30"/>
    <x v="3"/>
    <n v="38.90538033"/>
    <n v="1.9438118090000001"/>
    <n v="0.12397398799999999"/>
    <n v="6.1490694220000002"/>
    <n v="20.0149933"/>
    <n v="59.700641339999997"/>
    <n v="24.43401699"/>
    <n v="8.1930634690000002"/>
    <n v="11.570706960000001"/>
    <m/>
    <n v="5.9667547760000001"/>
    <n v="6.3778801999999996E-2"/>
    <n v="53.099291170000001"/>
    <n v="45.991309829999999"/>
    <n v="0.96087489400000003"/>
    <n v="26.803741989999999"/>
    <n v="6.6625878999999999E-2"/>
    <n v="0.14699999999999999"/>
    <s v=""/>
    <n v="-0.81387489400000002"/>
  </r>
  <r>
    <s v="Romania"/>
    <x v="0"/>
    <x v="3"/>
    <n v="163.01396370000001"/>
    <n v="2.6300110710000002"/>
    <n v="0.58643183899999995"/>
    <n v="40.45642307"/>
    <n v="61.98223479"/>
    <n v="17.744017169999999"/>
    <n v="10.48767468"/>
    <n v="17.032"/>
    <n v="22.617999999999999"/>
    <n v="28.336014120000002"/>
    <n v="35.667967650000001"/>
    <n v="0.22297694700000001"/>
    <n v="64.308999999999997"/>
    <n v="60.216000000000001"/>
    <n v="46.953000000000003"/>
    <n v="0"/>
    <n v="7.9290000000000003"/>
    <n v="38.183"/>
    <s v=""/>
    <n v="-8.7700000000000031"/>
  </r>
  <r>
    <s v="Romania"/>
    <x v="1"/>
    <x v="3"/>
    <n v="135.5843701"/>
    <n v="2.6546339479999999"/>
    <n v="0.56011218100000004"/>
    <n v="35.651148820000003"/>
    <n v="51.074601139999999"/>
    <n v="25.681742159999999"/>
    <n v="10.74358557"/>
    <n v="14.336"/>
    <n v="14.736000000000001"/>
    <n v="24.807023050000002"/>
    <n v="29.432988590000001"/>
    <n v="0.21099413"/>
    <n v="56.802999999999997"/>
    <n v="50.881"/>
    <n v="39.661000000000001"/>
    <n v="0"/>
    <n v="6.7910000000000004"/>
    <n v="32.414000000000001"/>
    <s v=""/>
    <n v="-7.2469999999999999"/>
  </r>
  <r>
    <s v="Romania"/>
    <x v="2"/>
    <x v="3"/>
    <n v="127.2579183"/>
    <n v="2.7624442870000001"/>
    <n v="0.57623460599999998"/>
    <n v="33.703261310000002"/>
    <n v="46.067143829999999"/>
    <n v="21.592397819999999"/>
    <n v="12.010408119999999"/>
    <n v="11.867000000000001"/>
    <n v="12.955"/>
    <n v="21.782002640000002"/>
    <n v="26.48100599"/>
    <n v="0.20859591899999999"/>
    <n v="54.195"/>
    <n v="46.735999999999997"/>
    <n v="43.853529610000002"/>
    <n v="0"/>
    <n v="6.827"/>
    <n v="38.369999999999997"/>
    <s v=""/>
    <n v="-5.4835296100000051"/>
  </r>
  <r>
    <s v="Romania"/>
    <x v="3"/>
    <x v="3"/>
    <n v="118.4838429"/>
    <n v="2.5962544730000001"/>
    <n v="0.52842609100000004"/>
    <n v="33.497068779999999"/>
    <n v="45.636452120000001"/>
    <n v="23.017160570000001"/>
    <n v="11.57718053"/>
    <n v="11.106"/>
    <n v="13.217000000000001"/>
    <n v="20.737024080000001"/>
    <n v="24.953019529999999"/>
    <n v="0.20353401300000001"/>
    <n v="55.475999999999999"/>
    <n v="42.688000000000002"/>
    <n v="44.96530362"/>
    <n v="0"/>
    <n v="6.931"/>
    <n v="39.777000000000001"/>
    <s v=""/>
    <n v="-5.1883036199999992"/>
  </r>
  <r>
    <s v="Romania"/>
    <x v="4"/>
    <x v="3"/>
    <n v="113.6217118"/>
    <n v="2.6399123109999998"/>
    <n v="0.48757047999999997"/>
    <n v="31.814664969999999"/>
    <n v="43.039956779999997"/>
    <n v="23.66149158"/>
    <n v="10.98751624"/>
    <n v="10.986000000000001"/>
    <n v="14.752000000000001"/>
    <n v="18.5110004"/>
    <n v="24.010018070000001"/>
    <n v="0.18469192300000001"/>
    <n v="55.136000000000003"/>
    <n v="40.948999999999998"/>
    <n v="43.845024080000002"/>
    <n v="0"/>
    <n v="6.9740000000000002"/>
    <n v="40.566000000000003"/>
    <s v=""/>
    <n v="-3.2790240799999992"/>
  </r>
  <r>
    <s v="Romania"/>
    <x v="5"/>
    <x v="3"/>
    <n v="117.12431220000001"/>
    <n v="2.5130989380000002"/>
    <n v="0.473109416"/>
    <n v="32.485225010000001"/>
    <n v="46.6055317"/>
    <n v="28.166233590000001"/>
    <n v="11.206948349999999"/>
    <n v="11.101000000000001"/>
    <n v="14.558999999999999"/>
    <n v="18.043012480000002"/>
    <n v="23.962983619999999"/>
    <n v="0.188257378"/>
    <n v="59.265999999999998"/>
    <n v="43.107999999999997"/>
    <n v="45.010866479999997"/>
    <n v="0"/>
    <n v="7.04"/>
    <n v="41.127000000000002"/>
    <s v=""/>
    <n v="-3.8838664799999947"/>
  </r>
  <r>
    <s v="Romania"/>
    <x v="6"/>
    <x v="3"/>
    <n v="121.9590185"/>
    <n v="2.5488187180000001"/>
    <n v="0.47411175"/>
    <n v="32.979549259999999"/>
    <n v="47.849232120000003"/>
    <n v="25.680521599999999"/>
    <n v="10.9408744"/>
    <n v="12.81"/>
    <n v="13.246"/>
    <n v="17.249003940000001"/>
    <n v="24.180020150000001"/>
    <n v="0.186012346"/>
    <n v="61.35"/>
    <n v="46.146999999999998"/>
    <n v="45.335214000000001"/>
    <n v="0"/>
    <n v="6.9649999999999999"/>
    <n v="41.871000000000002"/>
    <s v=""/>
    <n v="-3.4642139999999984"/>
  </r>
  <r>
    <s v="Romania"/>
    <x v="7"/>
    <x v="3"/>
    <n v="112.54323170000001"/>
    <n v="2.507301875"/>
    <n v="0.45980438499999998"/>
    <n v="31.601577070000001"/>
    <n v="44.886191320000002"/>
    <n v="30.657240850000001"/>
    <n v="10.82917267"/>
    <n v="13.138999999999999"/>
    <n v="12.302"/>
    <n v="14.96500247"/>
    <n v="20.867974839999999"/>
    <n v="0.18338612900000001"/>
    <n v="57.148000000000003"/>
    <n v="46.738999999999997"/>
    <n v="37.801023870000002"/>
    <n v="0"/>
    <n v="6.8550000000000004"/>
    <n v="33.807000000000002"/>
    <s v=""/>
    <n v="-3.9940238699999995"/>
  </r>
  <r>
    <s v="Romania"/>
    <x v="8"/>
    <x v="3"/>
    <n v="97.990676359999995"/>
    <n v="2.3855038529999999"/>
    <n v="0.40864345299999999"/>
    <n v="29.058076150000002"/>
    <n v="41.077559460000003"/>
    <n v="35.311051290000002"/>
    <n v="11.41144218"/>
    <n v="11.48"/>
    <n v="13.025"/>
    <n v="14.004001329999999"/>
    <n v="18.741992379999999"/>
    <n v="0.17130278500000001"/>
    <n v="53.496000000000002"/>
    <n v="44.029000000000003"/>
    <n v="31.36196399"/>
    <n v="0"/>
    <n v="6.7240000000000002"/>
    <n v="26.234999999999999"/>
    <s v=""/>
    <n v="-5.1269639900000001"/>
  </r>
  <r>
    <s v="Romania"/>
    <x v="9"/>
    <x v="3"/>
    <n v="84.022073359999993"/>
    <n v="2.3166289949999999"/>
    <n v="0.35171597100000002"/>
    <n v="27.961083769999998"/>
    <n v="36.269110650000002"/>
    <n v="36.067836720000003"/>
    <n v="12.070409679999999"/>
    <n v="9.5329999999999995"/>
    <n v="10.458"/>
    <n v="14.02699426"/>
    <n v="17.135017789999999"/>
    <n v="0.15182231199999999"/>
    <n v="50.71"/>
    <n v="38.996000000000002"/>
    <n v="27.957000000000001"/>
    <n v="0"/>
    <n v="6.4349999999999996"/>
    <n v="22.893000000000001"/>
    <s v=""/>
    <n v="-5.0640000000000001"/>
  </r>
  <r>
    <s v="Romania"/>
    <x v="10"/>
    <x v="3"/>
    <n v="87.33891903"/>
    <n v="2.4091948369999998"/>
    <n v="0.356818038"/>
    <n v="28.327253259999999"/>
    <n v="36.252327000000001"/>
    <n v="28.45534717"/>
    <n v="11.96236287"/>
    <n v="9.7249999999999996"/>
    <n v="10.99"/>
    <n v="13.750016840000001"/>
    <n v="17.119998280000001"/>
    <n v="0.14810675800000001"/>
    <n v="51.933999999999997"/>
    <n v="41.3"/>
    <n v="32.006716539999999"/>
    <n v="0"/>
    <n v="6.3390000000000004"/>
    <n v="29.294"/>
    <s v=""/>
    <n v="-2.7127165399999988"/>
  </r>
  <r>
    <s v="Romania"/>
    <x v="11"/>
    <x v="3"/>
    <n v="93.635125740000007"/>
    <n v="2.5383951439999999"/>
    <n v="0.36356928100000002"/>
    <n v="27.762994750000001"/>
    <n v="36.887529499999999"/>
    <n v="27.70393198"/>
    <n v="12.569545379999999"/>
    <n v="11.169"/>
    <n v="12.073"/>
    <n v="13.56799065"/>
    <n v="16.564991500000001"/>
    <n v="0.14322800799999999"/>
    <n v="53.866"/>
    <n v="42.298999999999999"/>
    <n v="34.422833359999998"/>
    <n v="0"/>
    <n v="6.2729999999999997"/>
    <n v="33.302999999999997"/>
    <s v=""/>
    <n v="-1.1198333600000012"/>
  </r>
  <r>
    <s v="Romania"/>
    <x v="12"/>
    <x v="3"/>
    <n v="93.308522929999995"/>
    <n v="2.4414254070000001"/>
    <n v="0.34275391100000002"/>
    <n v="29.307793279999999"/>
    <n v="38.218871100000001"/>
    <n v="29.321275239999999"/>
    <n v="12.317400080000001"/>
    <n v="10.602"/>
    <n v="13.228"/>
    <n v="13.44399788"/>
    <n v="17.19001475"/>
    <n v="0.14039090000000001"/>
    <n v="54.734999999999999"/>
    <n v="41.515999999999998"/>
    <n v="34.812529609999999"/>
    <n v="0"/>
    <n v="7.3620000000000001"/>
    <n v="30.428000000000001"/>
    <s v=""/>
    <n v="-4.3845296099999977"/>
  </r>
  <r>
    <s v="Romania"/>
    <x v="13"/>
    <x v="3"/>
    <n v="95.899423959999993"/>
    <n v="2.4092921330000001"/>
    <n v="0.34421264600000001"/>
    <n v="29.445275070000001"/>
    <n v="39.803983350000003"/>
    <n v="24.051505259999999"/>
    <n v="12.569218749999999"/>
    <n v="10.122"/>
    <n v="12.04"/>
    <n v="13.029004970000001"/>
    <n v="18.434016929999999"/>
    <n v="0.142868787"/>
    <n v="55.14"/>
    <n v="44.459000000000003"/>
    <n v="37.954565350000003"/>
    <n v="0"/>
    <n v="7.1669999999999998"/>
    <n v="33.082000000000001"/>
    <s v=""/>
    <n v="-4.8725653500000021"/>
  </r>
  <r>
    <s v="Romania"/>
    <x v="14"/>
    <x v="3"/>
    <n v="94.235504629999994"/>
    <n v="2.4349237989999999"/>
    <n v="0.30629910799999999"/>
    <n v="28.369256530000001"/>
    <n v="38.70162371"/>
    <n v="29.234145739999999"/>
    <n v="12.61809994"/>
    <n v="10.324"/>
    <n v="13.077"/>
    <n v="12.96498512"/>
    <n v="17.394983790000001"/>
    <n v="0.12579412500000001"/>
    <n v="56.499000000000002"/>
    <n v="45.438000000000002"/>
    <n v="36.202402579999998"/>
    <n v="0"/>
    <n v="5.7050000000000001"/>
    <n v="31.8"/>
    <s v=""/>
    <n v="-4.4024025799999968"/>
  </r>
  <r>
    <s v="Romania"/>
    <x v="15"/>
    <x v="3"/>
    <n v="93.137613770000002"/>
    <n v="2.4121678279999998"/>
    <n v="0.28922893500000002"/>
    <n v="27.92473846"/>
    <n v="38.611581129999998"/>
    <n v="34.021173820000001"/>
    <n v="12.48042139"/>
    <n v="10.324"/>
    <n v="14.867000000000001"/>
    <n v="12.119995490000001"/>
    <n v="17.284994780000002"/>
    <n v="0.119904151"/>
    <n v="59.412999999999997"/>
    <n v="46.521000000000001"/>
    <n v="36.440963510000003"/>
    <n v="0"/>
    <n v="6.0720000000000001"/>
    <n v="31.111999999999998"/>
    <s v=""/>
    <n v="-5.3289635100000048"/>
  </r>
  <r>
    <s v="Romania"/>
    <x v="16"/>
    <x v="3"/>
    <n v="96.283275009999997"/>
    <n v="2.4087906979999998"/>
    <n v="0.27677565599999998"/>
    <n v="27.981011299999999"/>
    <n v="39.971623559999998"/>
    <n v="29.283697780000001"/>
    <n v="13.04041621"/>
    <n v="10.093"/>
    <n v="14.407"/>
    <n v="11.94201093"/>
    <n v="18.127986270000001"/>
    <n v="0.114902327"/>
    <n v="62.697000000000003"/>
    <n v="47.499000000000002"/>
    <n v="41.425991969999998"/>
    <n v="0"/>
    <n v="5.6840000000000002"/>
    <n v="34.932000000000002"/>
    <s v=""/>
    <n v="-6.4939919699999962"/>
  </r>
  <r>
    <s v="Romania"/>
    <x v="17"/>
    <x v="3"/>
    <n v="93.557346319999994"/>
    <n v="2.3514810490000002"/>
    <n v="0.25079750000000001"/>
    <n v="27.747639329999998"/>
    <n v="39.786561910000003"/>
    <n v="25.949767319999999"/>
    <n v="13.317639249999999"/>
    <n v="10.103999999999999"/>
    <n v="13.835000000000001"/>
    <n v="11.522995979999999"/>
    <n v="16.0830175"/>
    <n v="0.106655123"/>
    <n v="61.673000000000002"/>
    <n v="47.323999999999998"/>
    <n v="40.406524279999999"/>
    <n v="4.8643649999999998E-3"/>
    <n v="4.9210000000000003"/>
    <n v="35.780999999999999"/>
    <s v=""/>
    <n v="-4.6255242800000005"/>
  </r>
  <r>
    <s v="Romania"/>
    <x v="18"/>
    <x v="3"/>
    <n v="92.035380340000003"/>
    <n v="2.320734903"/>
    <n v="0.225709734"/>
    <n v="29.01500416"/>
    <n v="39.657860210000003"/>
    <n v="26.51641111"/>
    <n v="13.469062429999999"/>
    <n v="9.8979999999999997"/>
    <n v="14.015000000000001"/>
    <n v="11.3690075"/>
    <n v="16.00201779"/>
    <n v="9.7257869999999996E-2"/>
    <n v="64.956000000000003"/>
    <n v="47.893999999999998"/>
    <n v="40.48111754"/>
    <n v="7.6975180000000004E-3"/>
    <n v="4.8339999999999996"/>
    <n v="35.871000000000002"/>
    <s v=""/>
    <n v="-4.6101175399999974"/>
  </r>
  <r>
    <s v="Romania"/>
    <x v="19"/>
    <x v="3"/>
    <n v="78.156227090000002"/>
    <n v="2.2373522860000001"/>
    <n v="0.202865035"/>
    <n v="28.38828075"/>
    <n v="34.932463519999999"/>
    <n v="27.279622159999999"/>
    <n v="13.69174123"/>
    <n v="8.6639999999999997"/>
    <n v="12.196"/>
    <n v="11.251985530000001"/>
    <n v="13.256994629999999"/>
    <n v="9.0671924000000001E-2"/>
    <n v="58.014000000000003"/>
    <n v="42.664999999999999"/>
    <n v="35.152000000000001"/>
    <n v="1.5513496999999999E-2"/>
    <n v="4.6470000000000002"/>
    <n v="33.97"/>
    <s v=""/>
    <n v="-1.1820000000000022"/>
  </r>
  <r>
    <s v="Romania"/>
    <x v="20"/>
    <x v="3"/>
    <n v="74.722923219999998"/>
    <n v="2.130237352"/>
    <n v="0.20182718699999999"/>
    <n v="27.520702419999999"/>
    <n v="35.077275839999999"/>
    <n v="33.880516239999999"/>
    <n v="14.98039406"/>
    <n v="8.0830000000000002"/>
    <n v="10.968"/>
    <n v="10.85499705"/>
    <n v="13.57898325"/>
    <n v="9.474399E-2"/>
    <n v="60.978999999999999"/>
    <n v="45.972000000000001"/>
    <n v="33.050063219999998"/>
    <n v="0.50181209900000001"/>
    <n v="4.3330000000000002"/>
    <n v="31.13"/>
    <s v=""/>
    <n v="-1.9200632199999994"/>
  </r>
  <r>
    <s v="Romania"/>
    <x v="21"/>
    <x v="3"/>
    <n v="81.594830619999996"/>
    <n v="2.2756400870000002"/>
    <n v="0.21605176500000001"/>
    <n v="27.623526389999999"/>
    <n v="35.855771339999997"/>
    <n v="26.5731231"/>
    <n v="15.27727385"/>
    <n v="8.4890000000000008"/>
    <n v="10.445"/>
    <n v="10.90099931"/>
    <n v="13.927013390000001"/>
    <n v="9.4941097000000002E-2"/>
    <n v="62.216999999999999"/>
    <n v="47.25"/>
    <n v="39.475999999999999"/>
    <n v="2.2325088000000002"/>
    <n v="4.2709999999999999"/>
    <n v="35.512999999999998"/>
    <s v=""/>
    <n v="-3.963000000000001"/>
  </r>
  <r>
    <s v="Romania"/>
    <x v="22"/>
    <x v="3"/>
    <n v="79.146253580000007"/>
    <n v="2.2621522619999999"/>
    <n v="0.20530377599999999"/>
    <n v="27.24322759"/>
    <n v="34.987146930000002"/>
    <n v="25.73799644"/>
    <n v="14.928635509999999"/>
    <n v="8.8759999999999994"/>
    <n v="9.85"/>
    <n v="10.93499413"/>
    <n v="13.53299893"/>
    <n v="9.0755949000000002E-2"/>
    <n v="59.045000000000002"/>
    <n v="46.860999999999997"/>
    <n v="35.761000000000003"/>
    <n v="4.484715048"/>
    <n v="4.0519999999999996"/>
    <n v="33.947000000000003"/>
    <s v=""/>
    <n v="-1.8140000000000001"/>
  </r>
  <r>
    <s v="Romania"/>
    <x v="23"/>
    <x v="3"/>
    <n v="69.56379407"/>
    <n v="2.1767196860000002"/>
    <n v="0.174320486"/>
    <n v="25.975851509999998"/>
    <n v="31.958085610000001"/>
    <n v="34.812437379999999"/>
    <n v="15.078577320000001"/>
    <n v="8.2279999999999998"/>
    <n v="10.122"/>
    <n v="10.853992699999999"/>
    <n v="12.57099477"/>
    <n v="8.0084031E-2"/>
    <n v="58.887"/>
    <n v="44.951999999999998"/>
    <n v="27.285"/>
    <n v="8.3889483249999994"/>
    <n v="4.1959999999999997"/>
    <n v="24.722000000000001"/>
    <s v=""/>
    <n v="-2.5629999999999988"/>
  </r>
  <r>
    <s v="Romania"/>
    <x v="24"/>
    <x v="3"/>
    <n v="69.068689950000007"/>
    <n v="2.182645677"/>
    <n v="0.167371092"/>
    <n v="26.45004458"/>
    <n v="31.64448114"/>
    <n v="42.027529080000001"/>
    <n v="15.62490326"/>
    <n v="8.407"/>
    <n v="11.666"/>
    <n v="11.05600503"/>
    <n v="11.96599777"/>
    <n v="7.6682666999999996E-2"/>
    <n v="65.676000000000002"/>
    <n v="45.808"/>
    <n v="27.263999999999999"/>
    <n v="11.90236921"/>
    <n v="4.141"/>
    <n v="23.567"/>
    <s v=""/>
    <n v="-3.6969999999999992"/>
  </r>
  <r>
    <s v="Romania"/>
    <x v="25"/>
    <x v="3"/>
    <n v="69.435314460000001"/>
    <n v="2.1756652170000002"/>
    <n v="0.16198811099999999"/>
    <n v="26.540511009999999"/>
    <n v="31.91452155"/>
    <n v="40.086883069999999"/>
    <n v="16.210351589999998"/>
    <n v="8.5869999999999997"/>
    <n v="11.53"/>
    <n v="11.091995199999999"/>
    <n v="11.298985350000001"/>
    <n v="7.4454520999999996E-2"/>
    <n v="66.296000000000006"/>
    <n v="46.798000000000002"/>
    <n v="28.411000000000001"/>
    <n v="13.64335707"/>
    <n v="4.1050000000000004"/>
    <n v="25.497"/>
    <s v=""/>
    <n v="-2.9140000000000015"/>
  </r>
  <r>
    <s v="Romania"/>
    <x v="26"/>
    <x v="3"/>
    <n v="67.911433049999999"/>
    <n v="2.131282643"/>
    <n v="0.151175367"/>
    <n v="24.949967560000001"/>
    <n v="31.864113969999998"/>
    <n v="42.205428320000003"/>
    <n v="16.04464072"/>
    <n v="8.9939999999999998"/>
    <n v="12.194000000000001"/>
    <n v="9.8109930700000003"/>
    <n v="11.269984839999999"/>
    <n v="7.0931637000000006E-2"/>
    <n v="65.102999999999994"/>
    <n v="47.142000000000003"/>
    <n v="25.285"/>
    <n v="12.91799149"/>
    <n v="3.9129999999999998"/>
    <n v="22.986999999999998"/>
    <s v=""/>
    <n v="-2.2980000000000018"/>
  </r>
  <r>
    <s v="Romania"/>
    <x v="27"/>
    <x v="3"/>
    <n v="71.084086389999996"/>
    <n v="2.1290687500000001"/>
    <n v="0.14773202899999999"/>
    <n v="25.558106639999998"/>
    <n v="33.387407709999998"/>
    <n v="38.32397306"/>
    <n v="15.971520590000001"/>
    <n v="9.4137710000000006"/>
    <n v="12.462137"/>
    <n v="10.58191605"/>
    <n v="11.878270629999999"/>
    <n v="6.9388096999999996E-2"/>
    <n v="64.296019000000001"/>
    <n v="48.860709"/>
    <n v="27.064689000000001"/>
    <n v="14.40583125"/>
    <n v="3.730807"/>
    <n v="25.759221"/>
    <s v=""/>
    <n v="-1.3054680000000012"/>
  </r>
  <r>
    <s v="Romania"/>
    <x v="28"/>
    <x v="3"/>
    <n v="71.564964680000003"/>
    <n v="2.127693152"/>
    <n v="0.14307452900000001"/>
    <n v="25.118382270000001"/>
    <n v="33.635002589999999"/>
    <n v="41.043670319999997"/>
    <n v="16.05604392"/>
    <n v="9.5586920000000006"/>
    <n v="12.584127000000001"/>
    <n v="10.277685140000001"/>
    <n v="11.7705097"/>
    <n v="6.7243967000000002E-2"/>
    <n v="64.876463999999999"/>
    <n v="49.777628"/>
    <n v="26.168868140000001"/>
    <n v="12.47485683"/>
    <n v="3.6739639999999998"/>
    <n v="23.652908"/>
    <s v=""/>
    <n v="-2.5159601400000007"/>
  </r>
  <r>
    <s v="Romania"/>
    <x v="29"/>
    <x v="3"/>
    <n v="69.089195500000002"/>
    <n v="2.0849104340000002"/>
    <n v="0.13271032599999999"/>
    <n v="24.564303280000001"/>
    <n v="33.13772831"/>
    <n v="41.827141580000003"/>
    <n v="15.78860072"/>
    <n v="9.596063612"/>
    <n v="13.26908499"/>
    <n v="9.9590230099999992"/>
    <n v="10.996623230000001"/>
    <n v="6.3652770999999997E-2"/>
    <n v="59.622805"/>
    <n v="49.75086924"/>
    <n v="23.64040559"/>
    <n v="14.336201730000001"/>
    <n v="3.6650465620000001"/>
    <n v="21.729271260000001"/>
    <s v=""/>
    <n v="-1.9111343299999994"/>
  </r>
  <r>
    <s v="Romania"/>
    <x v="30"/>
    <x v="3"/>
    <n v="63.869606830000002"/>
    <n v="1.9715092190000001"/>
    <n v="0.129141319"/>
    <n v="22.538718459999998"/>
    <n v="32.396301379999997"/>
    <n v="44.169258720000002"/>
    <n v="15.277375749999999"/>
    <n v="9.5820824590000004"/>
    <n v="11.683483430000001"/>
    <n v="8.9882497719999996"/>
    <n v="11.578739860000001"/>
    <n v="6.5503786999999994E-2"/>
    <n v="56.268120519999997"/>
    <n v="48.06571623"/>
    <n v="16.77492732"/>
    <n v="15.50929116"/>
    <n v="3.5530504660000002"/>
    <n v="15.055932390000001"/>
    <s v=""/>
    <n v="-1.7189949299999991"/>
  </r>
  <r>
    <s v="Russia"/>
    <x v="0"/>
    <x v="3"/>
    <n v="2189.0861519999999"/>
    <n v="2.4909406000000001"/>
    <n v="0.72400579399999998"/>
    <n v="1292.768435"/>
    <n v="878.81909020000001"/>
    <n v="15.33814104"/>
    <n v="11.266252830000001"/>
    <n v="213.74"/>
    <n v="267.72300000000001"/>
    <n v="628.89238820000003"/>
    <n v="471.54946380000001"/>
    <n v="0.29065558400000002"/>
    <n v="1082.152"/>
    <n v="917.40899999999999"/>
    <n v="388.19400000000002"/>
    <n v="2.5874370000000002E-3"/>
    <n v="523.67899999999997"/>
    <n v="376.613"/>
    <s v="Above Average"/>
    <n v="-11.581000000000017"/>
  </r>
  <r>
    <s v="Russia"/>
    <x v="1"/>
    <x v="3"/>
    <n v="2189.865781"/>
    <n v="2.5148160869999998"/>
    <n v="0.76275966299999998"/>
    <n v="1217.5747409999999"/>
    <n v="870.78565790000005"/>
    <n v="15.69414031"/>
    <n v="11.238766330000001"/>
    <n v="221.12"/>
    <n v="278.55599999999998"/>
    <n v="631.73709129999997"/>
    <n v="486.01799629999999"/>
    <n v="0.30330634000000001"/>
    <n v="1068.163"/>
    <n v="898.51099999999997"/>
    <n v="365.58"/>
    <n v="2.7149409999999998E-3"/>
    <n v="469.56900000000002"/>
    <n v="337.863"/>
    <s v="Above Average"/>
    <n v="-27.716999999999985"/>
  </r>
  <r>
    <s v="Russia"/>
    <x v="2"/>
    <x v="3"/>
    <n v="2017.2133309999999"/>
    <n v="2.5361843830000002"/>
    <n v="0.82207947000000003"/>
    <n v="1138.50153"/>
    <n v="795.37329539999996"/>
    <n v="17.046556599999999"/>
    <n v="11.40884981"/>
    <n v="196.434"/>
    <n v="247.23599999999999"/>
    <n v="629.49003400000004"/>
    <n v="462.38514259999999"/>
    <n v="0.32414026200000001"/>
    <n v="1008.45"/>
    <n v="838.32299999999998"/>
    <n v="341.7"/>
    <n v="2.8757000000000001E-3"/>
    <n v="397.63299999999998"/>
    <n v="323.54500000000002"/>
    <s v="Above Average"/>
    <n v="-18.154999999999973"/>
  </r>
  <r>
    <s v="Russia"/>
    <x v="3"/>
    <x v="3"/>
    <n v="1848.850021"/>
    <n v="2.4620679289999998"/>
    <n v="0.82497969000000004"/>
    <n v="1057.2498559999999"/>
    <n v="750.93379819999996"/>
    <n v="18.22562924"/>
    <n v="11.031554229999999"/>
    <n v="173.53"/>
    <n v="219.93"/>
    <n v="607.29845669999997"/>
    <n v="447.98932780000001"/>
    <n v="0.33507592600000002"/>
    <n v="956.58699999999999"/>
    <n v="781.57"/>
    <n v="291.70299999999997"/>
    <n v="2.9270730000000001E-3"/>
    <n v="352.887"/>
    <n v="288.613"/>
    <s v="Above Average"/>
    <n v="-3.089999999999975"/>
  </r>
  <r>
    <s v="Russia"/>
    <x v="4"/>
    <x v="3"/>
    <n v="1629.321909"/>
    <n v="2.4811311759999999"/>
    <n v="0.831546962"/>
    <n v="991.18146709999996"/>
    <n v="656.68511369999999"/>
    <n v="20.101516820000001"/>
    <n v="11.63426215"/>
    <n v="134.97200000000001"/>
    <n v="184.303"/>
    <n v="596.49461159999998"/>
    <n v="414.38961549999999"/>
    <n v="0.33514832700000002"/>
    <n v="875.91399999999999"/>
    <n v="706.80799999999999"/>
    <n v="258.71300000000002"/>
    <n v="3.53916E-3"/>
    <n v="317.57600000000002"/>
    <n v="257.31099999999998"/>
    <s v="Above Average"/>
    <n v="-1.4020000000000437"/>
  </r>
  <r>
    <s v="Russia"/>
    <x v="5"/>
    <x v="3"/>
    <n v="1582.822852"/>
    <n v="2.487066424"/>
    <n v="0.84273446699999999"/>
    <n v="967.3837072"/>
    <n v="636.42162370000005"/>
    <n v="20.519239509999998"/>
    <n v="11.52330119"/>
    <n v="133.28200000000001"/>
    <n v="178.148"/>
    <n v="584.75597700000003"/>
    <n v="393.2420874"/>
    <n v="0.33884678699999998"/>
    <n v="860.02700000000004"/>
    <n v="696.98800000000006"/>
    <n v="263.029"/>
    <n v="3.4882630000000001E-3"/>
    <n v="305.10700000000003"/>
    <n v="249.76900000000001"/>
    <s v="Above Average"/>
    <n v="-13.259999999999991"/>
  </r>
  <r>
    <s v="Russia"/>
    <x v="6"/>
    <x v="3"/>
    <n v="1564.7122079999999"/>
    <n v="2.484419586"/>
    <n v="0.86559562499999998"/>
    <n v="964.76384280000002"/>
    <n v="629.80996330000005"/>
    <n v="18.225342099999999"/>
    <n v="12.378370759999999"/>
    <n v="125.423"/>
    <n v="172.68700000000001"/>
    <n v="590.8051792"/>
    <n v="389.07933559999998"/>
    <n v="0.34840959599999999"/>
    <n v="847.18299999999999"/>
    <n v="681.00599999999997"/>
    <n v="263.70800000000003"/>
    <n v="3.3050710000000001E-3"/>
    <n v="305.10700000000003"/>
    <n v="244.03800000000001"/>
    <s v="Above Average"/>
    <n v="-19.670000000000016"/>
  </r>
  <r>
    <s v="Russia"/>
    <x v="7"/>
    <x v="3"/>
    <n v="1471.880144"/>
    <n v="2.446100988"/>
    <n v="0.80299979399999999"/>
    <n v="933.22147210000003"/>
    <n v="601.72501130000001"/>
    <n v="18.893772210000002"/>
    <n v="12.70340844"/>
    <n v="120.336"/>
    <n v="171.51400000000001"/>
    <n v="560.82160610000005"/>
    <n v="374.42359399999998"/>
    <n v="0.32827745000000003"/>
    <n v="834.13199999999995"/>
    <n v="667.92600000000004"/>
    <n v="233.608"/>
    <n v="3.476668E-3"/>
    <n v="303.88600000000002"/>
    <n v="232.45"/>
    <s v="Above Average"/>
    <n v="-1.1580000000000155"/>
  </r>
  <r>
    <s v="Russia"/>
    <x v="8"/>
    <x v="3"/>
    <n v="1454.9104030000001"/>
    <n v="2.4755702570000002"/>
    <n v="0.83816415"/>
    <n v="939.55592000000001"/>
    <n v="587.70717520000005"/>
    <n v="19.285795459999999"/>
    <n v="12.978368720000001"/>
    <n v="116.857"/>
    <n v="162.44900000000001"/>
    <n v="580.62312320000001"/>
    <n v="378.39393150000001"/>
    <n v="0.33857417200000001"/>
    <n v="827.15800000000002"/>
    <n v="649.71699999999998"/>
    <n v="224.625"/>
    <n v="3.6268770000000001E-3"/>
    <n v="301.40499999999997"/>
    <n v="220.29599999999999"/>
    <s v="Above Average"/>
    <n v="-4.3290000000000077"/>
  </r>
  <r>
    <s v="Russia"/>
    <x v="9"/>
    <x v="3"/>
    <n v="1502.131255"/>
    <n v="2.4676546529999999"/>
    <n v="0.81331622299999995"/>
    <n v="961.8852918"/>
    <n v="608.72831369999994"/>
    <n v="19.076582380000001"/>
    <n v="12.66180179"/>
    <n v="121.333"/>
    <n v="167.98599999999999"/>
    <n v="580.71899029999997"/>
    <n v="385.7560555"/>
    <n v="0.32959078000000003"/>
    <n v="846.226"/>
    <n v="669.173"/>
    <n v="230.56700000000001"/>
    <n v="3.5451520000000002E-3"/>
    <n v="303.23899999999998"/>
    <n v="238.4"/>
    <s v="Above Average"/>
    <n v="7.8329999999999984"/>
  </r>
  <r>
    <s v="Russia"/>
    <x v="10"/>
    <x v="3"/>
    <n v="1521.6617429999999"/>
    <n v="2.4582271420000001"/>
    <n v="0.74899121700000004"/>
    <n v="977.77074619999996"/>
    <n v="619.00778679999996"/>
    <n v="18.849784570000001"/>
    <n v="12.592511119999999"/>
    <n v="118.89"/>
    <n v="176.803"/>
    <n v="572.81658379999999"/>
    <n v="391.17080829999998"/>
    <n v="0.304687555"/>
    <n v="877.76599999999996"/>
    <n v="692.86900000000003"/>
    <n v="231.98"/>
    <n v="6.8355350000000002E-3"/>
    <n v="321.69200000000001"/>
    <n v="242.31299999999999"/>
    <s v="Above Average"/>
    <n v="10.332999999999998"/>
  </r>
  <r>
    <s v="Russia"/>
    <x v="11"/>
    <x v="3"/>
    <n v="1528.0989070000001"/>
    <n v="2.44207872"/>
    <n v="0.71566065400000001"/>
    <n v="1007.997309"/>
    <n v="625.73695720000001"/>
    <n v="19.743089739999998"/>
    <n v="12.798055850000001"/>
    <n v="119.845"/>
    <n v="181.82400000000001"/>
    <n v="570.40719330000002"/>
    <n v="395.88163750000001"/>
    <n v="0.29305388399999999"/>
    <n v="891.28399999999999"/>
    <n v="700.08900000000006"/>
    <n v="226.37899999999999"/>
    <n v="1.0546582000000001E-2"/>
    <n v="345.84100000000001"/>
    <n v="250.65"/>
    <s v="Above Average"/>
    <n v="24.271000000000015"/>
  </r>
  <r>
    <s v="Russia"/>
    <x v="12"/>
    <x v="3"/>
    <n v="1511.18849"/>
    <n v="2.4263260610000001"/>
    <n v="0.67597037699999996"/>
    <n v="1046.057824"/>
    <n v="622.82992969999998"/>
    <n v="18.441800319999999"/>
    <n v="13.20308865"/>
    <n v="116.871"/>
    <n v="188.73"/>
    <n v="583.52953179999997"/>
    <n v="396.27402560000002"/>
    <n v="0.27859832499999998"/>
    <n v="891.28499999999997"/>
    <n v="699.31100000000004"/>
    <n v="219.91200000000001"/>
    <n v="1.8176003999999999E-2"/>
    <n v="377.173"/>
    <n v="239.66399999999999"/>
    <s v="Above Average"/>
    <n v="19.751999999999981"/>
  </r>
  <r>
    <s v="Russia"/>
    <x v="13"/>
    <x v="3"/>
    <n v="1551.7223899999999"/>
    <n v="2.4055648330000001"/>
    <n v="0.64687970400000006"/>
    <n v="1119.236087"/>
    <n v="645.05531859999996"/>
    <n v="17.25389234"/>
    <n v="13.190619"/>
    <n v="118.011"/>
    <n v="190.28399999999999"/>
    <n v="608.21634840000002"/>
    <n v="416.89189119999998"/>
    <n v="0.26890969399999998"/>
    <n v="916.28599999999994"/>
    <n v="721.22299999999996"/>
    <n v="222.523"/>
    <n v="3.6342365000000001E-2"/>
    <n v="418.58199999999999"/>
    <n v="258.10599999999999"/>
    <s v="Above Average"/>
    <n v="35.582999999999998"/>
  </r>
  <r>
    <s v="Russia"/>
    <x v="14"/>
    <x v="3"/>
    <n v="1549.918136"/>
    <n v="2.3950507540000001"/>
    <n v="0.60273121600000001"/>
    <n v="1172.1092650000001"/>
    <n v="647.13373360000003"/>
    <n v="19.126697539999999"/>
    <n v="13.472800400000001"/>
    <n v="117.24"/>
    <n v="193.68"/>
    <n v="619.75759870000002"/>
    <n v="421.8327491"/>
    <n v="0.25165696999999998"/>
    <n v="931.86500000000001"/>
    <n v="739.053"/>
    <n v="215.065"/>
    <n v="4.3997789000000002E-2"/>
    <n v="456.25299999999999"/>
    <n v="260.42700000000002"/>
    <s v="Above Average"/>
    <n v="45.362000000000023"/>
  </r>
  <r>
    <s v="Russia"/>
    <x v="15"/>
    <x v="3"/>
    <n v="1547.782117"/>
    <n v="2.3757435849999999"/>
    <n v="0.56569620099999995"/>
    <n v="1203.076147"/>
    <n v="651.49375840000005"/>
    <n v="18.367912230000002"/>
    <n v="13.83559071"/>
    <n v="117.358"/>
    <n v="205.702"/>
    <n v="627.70005230000004"/>
    <n v="425.49343449999998"/>
    <n v="0.23811332299999999"/>
    <n v="953.08600000000001"/>
    <n v="759.86"/>
    <n v="213.46799999999999"/>
    <n v="4.3752609999999997E-2"/>
    <n v="466.44799999999998"/>
    <n v="284.52600000000001"/>
    <s v="Above Average"/>
    <n v="71.058000000000021"/>
  </r>
  <r>
    <s v="Russia"/>
    <x v="16"/>
    <x v="3"/>
    <n v="1609.006212"/>
    <n v="2.3999850130000002"/>
    <n v="0.54350509999999996"/>
    <n v="1226.8021209999999"/>
    <n v="670.42344160000005"/>
    <n v="17.65365126"/>
    <n v="14.04394035"/>
    <n v="120.93"/>
    <n v="216.548"/>
    <n v="639.90724560000001"/>
    <n v="436.49162960000001"/>
    <n v="0.22646187200000001"/>
    <n v="995.79399999999998"/>
    <n v="797.81299999999999"/>
    <n v="219.45500000000001"/>
    <n v="4.6997671999999997E-2"/>
    <n v="475.827"/>
    <n v="285.92200000000003"/>
    <s v="Above Average"/>
    <n v="66.467000000000013"/>
  </r>
  <r>
    <s v="Russia"/>
    <x v="17"/>
    <x v="3"/>
    <n v="1589.0605459999999"/>
    <n v="2.363468637"/>
    <n v="0.49471684500000002"/>
    <n v="1238.9261100000001"/>
    <n v="672.3425565"/>
    <n v="17.677747100000001"/>
    <n v="14.386854230000001"/>
    <n v="122.9"/>
    <n v="223.73099999999999"/>
    <n v="635.19008629999996"/>
    <n v="445.4442846"/>
    <n v="0.20931813399999999"/>
    <n v="1015.333"/>
    <n v="820.69799999999998"/>
    <n v="210.197"/>
    <n v="4.8457009000000002E-2"/>
    <n v="487.68099999999998"/>
    <n v="290.30799999999999"/>
    <s v="Above Average"/>
    <n v="80.11099999999999"/>
  </r>
  <r>
    <s v="Russia"/>
    <x v="18"/>
    <x v="3"/>
    <n v="1604.2941020000001"/>
    <n v="2.3317809559999998"/>
    <n v="0.47477148499999999"/>
    <n v="1253.758503"/>
    <n v="688.01235280000003"/>
    <n v="16.071546999999999"/>
    <n v="14.657348430000001"/>
    <n v="126.836"/>
    <n v="229.92400000000001"/>
    <n v="650.76583830000004"/>
    <n v="445.69887519999997"/>
    <n v="0.20360895600000001"/>
    <n v="1040.3789999999999"/>
    <n v="843.37"/>
    <n v="227.49460769999999"/>
    <n v="4.5175844999999999E-2"/>
    <n v="486.17"/>
    <n v="305.721"/>
    <s v="Above Average"/>
    <n v="78.226392300000015"/>
  </r>
  <r>
    <s v="Russia"/>
    <x v="19"/>
    <x v="3"/>
    <n v="1506.5714350000001"/>
    <n v="2.3293512440000002"/>
    <n v="0.48357007699999999"/>
    <n v="1190.442855"/>
    <n v="646.77726819999998"/>
    <n v="17.80469364"/>
    <n v="14.314576929999999"/>
    <n v="121.023"/>
    <n v="227.92699999999999"/>
    <n v="582.54140729999995"/>
    <n v="426.3761705"/>
    <n v="0.20759860899999999"/>
    <n v="991.98"/>
    <n v="807.93700000000001"/>
    <n v="203.43600000000001"/>
    <n v="4.7178370999999997E-2"/>
    <n v="491.24700000000001"/>
    <n v="276.90100000000001"/>
    <s v="Above Average"/>
    <n v="73.465000000000003"/>
  </r>
  <r>
    <s v="Russia"/>
    <x v="20"/>
    <x v="3"/>
    <n v="1609.705215"/>
    <n v="2.3391269139999999"/>
    <n v="0.49442423600000002"/>
    <n v="1279.188343"/>
    <n v="688.16497509999999"/>
    <n v="16.275252160000001"/>
    <n v="14.15063709"/>
    <n v="126.93600000000001"/>
    <n v="246.084"/>
    <n v="657.29132770000001"/>
    <n v="465.77747840000001"/>
    <n v="0.211371274"/>
    <n v="1038.03"/>
    <n v="850.66099999999994"/>
    <n v="212.39"/>
    <n v="4.9035191999999998E-2"/>
    <n v="504.10199999999998"/>
    <n v="299.76400000000001"/>
    <s v="Above Average"/>
    <n v="87.374000000000024"/>
  </r>
  <r>
    <s v="Russia"/>
    <x v="21"/>
    <x v="3"/>
    <n v="1673.9842610000001"/>
    <n v="2.3543012339999998"/>
    <n v="0.49296983"/>
    <n v="1299.1977870000001"/>
    <n v="711.03231659999994"/>
    <n v="15.943835829999999"/>
    <n v="14.129311769999999"/>
    <n v="126.595"/>
    <n v="249.86"/>
    <n v="672.77598739999996"/>
    <n v="476.18197750000002"/>
    <n v="0.209391144"/>
    <n v="1054.7650000000001"/>
    <n v="856.23900000000003"/>
    <n v="220.94200000000001"/>
    <n v="4.9963736000000002E-2"/>
    <n v="512.38800000000003"/>
    <n v="297.07100000000003"/>
    <s v="Above Average"/>
    <n v="76.129000000000019"/>
  </r>
  <r>
    <s v="Russia"/>
    <x v="22"/>
    <x v="3"/>
    <n v="1653.362185"/>
    <n v="2.2709515969999998"/>
    <n v="0.46952419400000001"/>
    <n v="1315.8076189999999"/>
    <n v="728.04818350000005"/>
    <n v="15.67578876"/>
    <n v="14.422433699999999"/>
    <n v="126.95"/>
    <n v="255.29"/>
    <n v="658.06162700000004"/>
    <n v="471.06364109999998"/>
    <n v="0.20675218000000001"/>
    <n v="1070.7339999999999"/>
    <n v="874.73900000000003"/>
    <n v="231.773"/>
    <n v="4.5015848999999997E-2"/>
    <n v="518.74699999999996"/>
    <n v="330.52300000000002"/>
    <s v="Above Average"/>
    <n v="98.750000000000028"/>
  </r>
  <r>
    <s v="Russia"/>
    <x v="23"/>
    <x v="3"/>
    <n v="1602.9299100000001"/>
    <n v="2.2686088359999999"/>
    <n v="0.44715359700000001"/>
    <n v="1330.982209"/>
    <n v="706.56954370000005"/>
    <n v="17.292171029999999"/>
    <n v="14.876875679999999"/>
    <n v="125.684"/>
    <n v="266.65600000000001"/>
    <n v="674.50400209999998"/>
    <n v="465.91616529999999"/>
    <n v="0.19710475899999999"/>
    <n v="1059.0920000000001"/>
    <n v="871.74"/>
    <n v="207.26068849999999"/>
    <n v="4.2394806E-2"/>
    <n v="521.68799999999999"/>
    <n v="327.50900000000001"/>
    <s v="Above Average"/>
    <n v="120.24831150000003"/>
  </r>
  <r>
    <s v="Russia"/>
    <x v="24"/>
    <x v="3"/>
    <n v="1584.8377190000001"/>
    <n v="2.241607584"/>
    <n v="0.43903347799999998"/>
    <n v="1319.407035"/>
    <n v="707.00943859999995"/>
    <n v="16.71516914"/>
    <n v="14.206987489999999"/>
    <n v="133.56"/>
    <n v="283.32799999999997"/>
    <n v="646.54598480000004"/>
    <n v="464.63601879999999"/>
    <n v="0.195856528"/>
    <n v="1064.2070000000001"/>
    <n v="877.12699999999995"/>
    <n v="199.126"/>
    <n v="6.6810309999999998E-2"/>
    <n v="526.12599999999998"/>
    <n v="334.084"/>
    <s v="Above Average"/>
    <n v="134.958"/>
  </r>
  <r>
    <s v="Russia"/>
    <x v="25"/>
    <x v="3"/>
    <n v="1592.3160170000001"/>
    <n v="2.2993362620000002"/>
    <n v="0.45152499800000001"/>
    <n v="1334.4087589999999"/>
    <n v="692.51115800000002"/>
    <n v="16.007209069999998"/>
    <n v="14.181257370000001"/>
    <n v="132.66499999999999"/>
    <n v="278.11799999999999"/>
    <n v="638.02600050000001"/>
    <n v="445.44627259999999"/>
    <n v="0.196371886"/>
    <n v="1067.5440000000001"/>
    <n v="876.81600000000003"/>
    <n v="221.922"/>
    <n v="8.8052577000000007E-2"/>
    <n v="533.71299999999997"/>
    <n v="352.62900000000002"/>
    <s v="Above Average"/>
    <n v="130.70700000000002"/>
  </r>
  <r>
    <s v="Russia"/>
    <x v="26"/>
    <x v="3"/>
    <n v="1571.7568120000001"/>
    <n v="2.200458019"/>
    <n v="0.44423235700000002"/>
    <n v="1373.6294989999999"/>
    <n v="714.28620679999995"/>
    <n v="17.20739193"/>
    <n v="14.07431081"/>
    <n v="126.087"/>
    <n v="269.88099999999997"/>
    <n v="644.22242570000003"/>
    <n v="444.09964159999998"/>
    <n v="0.20188176899999999"/>
    <n v="1090.973"/>
    <n v="898.48800000000006"/>
    <n v="215.09"/>
    <n v="9.6794328999999998E-2"/>
    <n v="547.73400000000004"/>
    <n v="367.54399999999998"/>
    <s v="Above Average"/>
    <n v="152.45399999999998"/>
  </r>
  <r>
    <s v="Russia"/>
    <x v="27"/>
    <x v="3"/>
    <n v="1614.581582"/>
    <n v="2.2144854650000001"/>
    <n v="0.449016305"/>
    <n v="1429.196541"/>
    <n v="729.10010369999998"/>
    <n v="17.21190756"/>
    <n v="13.668079430000001"/>
    <n v="133.76806400000001"/>
    <n v="280.433313"/>
    <n v="695.13013679999995"/>
    <n v="463.02094549999998"/>
    <n v="0.202763266"/>
    <n v="1094.2886100000001"/>
    <n v="904.87786300000005"/>
    <n v="214.2602"/>
    <n v="0.10349628"/>
    <n v="546.39800000000002"/>
    <n v="388.6001"/>
    <s v="Above Average"/>
    <n v="174.3399"/>
  </r>
  <r>
    <s v="Russia"/>
    <x v="28"/>
    <x v="3"/>
    <n v="1674.260485"/>
    <n v="2.203928248"/>
    <n v="0.45534589199999997"/>
    <n v="1484.0903330000001"/>
    <n v="759.67104949999998"/>
    <n v="17.440514919999998"/>
    <n v="12.942529520000001"/>
    <n v="132.713537"/>
    <n v="277.08409999999998"/>
    <n v="738.15737249999995"/>
    <n v="498.54161720000002"/>
    <n v="0.206606496"/>
    <n v="1115.0931889999999"/>
    <n v="926.17671499999994"/>
    <n v="227.399035"/>
    <n v="0.12359245100000001"/>
    <n v="555.52059999999994"/>
    <n v="420.37612799999999"/>
    <s v="Above Average"/>
    <n v="192.977093"/>
  </r>
  <r>
    <s v="Russia"/>
    <x v="29"/>
    <x v="3"/>
    <n v="1719.2733049999999"/>
    <n v="2.2387460190000001"/>
    <n v="0.46139602099999999"/>
    <n v="1505.350608"/>
    <n v="767.96264069999995"/>
    <n v="17.94045229"/>
    <n v="12.973295759999999"/>
    <n v="134.05865679999999"/>
    <n v="275.24974529999997"/>
    <n v="750.77544720000003"/>
    <n v="501.1458394"/>
    <n v="0.206095741"/>
    <n v="1125.1934819999999"/>
    <n v="929.56126080000001"/>
    <n v="229.09230310000001"/>
    <n v="0.171090521"/>
    <n v="560.71611640000003"/>
    <n v="424.5908278"/>
    <s v="Above Average"/>
    <n v="195.49852469999999"/>
  </r>
  <r>
    <s v="Russia"/>
    <x v="30"/>
    <x v="3"/>
    <n v="1619.084595"/>
    <n v="2.21383902"/>
    <n v="0.450735155"/>
    <n v="1401.5569989999999"/>
    <n v="731.34703139999999"/>
    <n v="20.301107009999999"/>
    <n v="12.99110159"/>
    <n v="129.4406281"/>
    <n v="265.82907940000001"/>
    <n v="705.1813846"/>
    <n v="484.45488719999997"/>
    <n v="0.20359888400000001"/>
    <n v="1091.5351639999999"/>
    <n v="905.59500439999999"/>
    <n v="204.80826200000001"/>
    <n v="0.336201111"/>
    <n v="512.3578483"/>
    <n v="385.56452539999998"/>
    <s v="Above Average"/>
    <n v="180.75626339999997"/>
  </r>
  <r>
    <s v="Saudi Arabia"/>
    <x v="0"/>
    <x v="5"/>
    <n v="155.6998811"/>
    <n v="2.684029819"/>
    <n v="0.23527477799999999"/>
    <n v="368.44259490000002"/>
    <n v="58.00974342"/>
    <n v="0"/>
    <n v="11.96367734"/>
    <n v="34.341999999999999"/>
    <n v="89.817999999999998"/>
    <n v="23.855971790000002"/>
    <n v="23.855971790000002"/>
    <n v="8.7657288999999999E-2"/>
    <n v="69.207999999999998"/>
    <n v="63.633000000000003"/>
    <n v="0"/>
    <n v="0"/>
    <n v="341.81700000000001"/>
    <m/>
    <s v=""/>
    <n v="0"/>
  </r>
  <r>
    <s v="Saudi Arabia"/>
    <x v="1"/>
    <x v="5"/>
    <n v="162.07217030000001"/>
    <n v="2.40013034"/>
    <n v="0.21294524200000001"/>
    <n v="463.65968140000001"/>
    <n v="67.526403720000005"/>
    <n v="0"/>
    <n v="12.27676816"/>
    <n v="35.551000000000002"/>
    <n v="84.816000000000003"/>
    <n v="24.362021550000001"/>
    <n v="24.362021550000001"/>
    <n v="8.8722365999999997E-2"/>
    <n v="74.010999999999996"/>
    <n v="67.436999999999998"/>
    <n v="0"/>
    <n v="0"/>
    <n v="435.05500000000001"/>
    <m/>
    <s v=""/>
    <n v="0"/>
  </r>
  <r>
    <s v="Saudi Arabia"/>
    <x v="2"/>
    <x v="5"/>
    <n v="176.79354649999999"/>
    <n v="2.2980310890000002"/>
    <n v="0.22338015899999999"/>
    <n v="477.20288110000001"/>
    <n v="76.932617390000004"/>
    <n v="0"/>
    <n v="11.87426921"/>
    <n v="39.06"/>
    <n v="88.790999999999997"/>
    <n v="26.99998158"/>
    <n v="26.99998158"/>
    <n v="9.7205020000000003E-2"/>
    <n v="82.19"/>
    <n v="74.111999999999995"/>
    <n v="0"/>
    <n v="0"/>
    <n v="446.14800000000002"/>
    <m/>
    <s v=""/>
    <n v="0"/>
  </r>
  <r>
    <s v="Saudi Arabia"/>
    <x v="3"/>
    <x v="5"/>
    <n v="187.37428059999999"/>
    <n v="2.346140465"/>
    <n v="0.240022291"/>
    <n v="471.76032259999999"/>
    <n v="79.864902979999997"/>
    <n v="0"/>
    <n v="12.72951582"/>
    <n v="41.091999999999999"/>
    <n v="90.28"/>
    <n v="28.09197992"/>
    <n v="28.09197992"/>
    <n v="0.102305166"/>
    <n v="91.04"/>
    <n v="82.197999999999993"/>
    <n v="0"/>
    <n v="0"/>
    <n v="439.82100000000003"/>
    <m/>
    <s v=""/>
    <n v="0"/>
  </r>
  <r>
    <s v="Saudi Arabia"/>
    <x v="4"/>
    <x v="5"/>
    <n v="199.50461530000001"/>
    <n v="2.374052088"/>
    <n v="0.25414104199999998"/>
    <n v="461.85501040000003"/>
    <n v="84.035483600000006"/>
    <n v="0"/>
    <n v="12.37560418"/>
    <n v="42.012999999999998"/>
    <n v="91.518000000000001"/>
    <n v="30.453027509999998"/>
    <n v="30.453027509999998"/>
    <n v="0.10704948"/>
    <n v="93.921999999999997"/>
    <n v="85.909000000000006"/>
    <n v="0"/>
    <n v="0"/>
    <n v="428.10500000000002"/>
    <m/>
    <s v=""/>
    <n v="0"/>
  </r>
  <r>
    <s v="Saudi Arabia"/>
    <x v="5"/>
    <x v="5"/>
    <n v="198.65265779999999"/>
    <n v="2.3505521850000002"/>
    <n v="0.25252019399999998"/>
    <n v="464.24421530000001"/>
    <n v="84.513187590000001"/>
    <n v="0"/>
    <n v="12.984609949999999"/>
    <n v="41.143000000000001"/>
    <n v="89.204999999999998"/>
    <n v="30.330996519999999"/>
    <n v="30.330996519999999"/>
    <n v="0.107430159"/>
    <n v="97.846000000000004"/>
    <n v="89.641999999999996"/>
    <n v="0"/>
    <n v="0"/>
    <n v="430.44"/>
    <m/>
    <s v=""/>
    <n v="0"/>
  </r>
  <r>
    <s v="Saudi Arabia"/>
    <x v="6"/>
    <x v="5"/>
    <n v="211.53218150000001"/>
    <n v="2.3382662440000002"/>
    <n v="0.26198259400000001"/>
    <n v="469.0658487"/>
    <n v="90.465395939999993"/>
    <n v="0"/>
    <n v="12.14047107"/>
    <n v="44.920999999999999"/>
    <n v="99.591999999999999"/>
    <n v="31.471014700000001"/>
    <n v="31.471014700000001"/>
    <n v="0.11204138700000001"/>
    <n v="101.114"/>
    <n v="92.228999999999999"/>
    <n v="0"/>
    <n v="0"/>
    <n v="434.18900000000002"/>
    <m/>
    <s v=""/>
    <n v="0"/>
  </r>
  <r>
    <s v="Saudi Arabia"/>
    <x v="7"/>
    <x v="5"/>
    <n v="214.0115084"/>
    <n v="2.4806762280000001"/>
    <n v="0.26215957000000001"/>
    <n v="464.48402290000001"/>
    <n v="86.271439200000003"/>
    <n v="0"/>
    <n v="12.83247789"/>
    <n v="45.274999999999999"/>
    <n v="96.662000000000006"/>
    <n v="32.509986789999999"/>
    <n v="32.509986789999999"/>
    <n v="0.10568068799999999"/>
    <n v="107.54600000000001"/>
    <n v="97.051000000000002"/>
    <n v="0"/>
    <n v="0"/>
    <n v="428.858"/>
    <m/>
    <s v=""/>
    <n v="0"/>
  </r>
  <r>
    <s v="Saudi Arabia"/>
    <x v="8"/>
    <x v="5"/>
    <n v="228.9147562"/>
    <n v="2.489873862"/>
    <n v="0.27253043999999998"/>
    <n v="478.66129360000002"/>
    <n v="91.938294420000005"/>
    <n v="0"/>
    <n v="13.1775608"/>
    <n v="47.981000000000002"/>
    <n v="97.706999999999994"/>
    <n v="34.191971160000001"/>
    <n v="34.191971160000001"/>
    <n v="0.109455521"/>
    <n v="114.623"/>
    <n v="105.611"/>
    <n v="0"/>
    <n v="0"/>
    <n v="441.47300000000001"/>
    <m/>
    <s v=""/>
    <n v="0"/>
  </r>
  <r>
    <s v="Saudi Arabia"/>
    <x v="9"/>
    <x v="5"/>
    <n v="234.94536880000001"/>
    <n v="2.5101590919999999"/>
    <n v="0.29064799299999999"/>
    <n v="442.37697300000002"/>
    <n v="93.597800050000004"/>
    <n v="0"/>
    <n v="13.52273982"/>
    <n v="50.381999999999998"/>
    <n v="96.176000000000002"/>
    <n v="34.121024720000001"/>
    <n v="34.121024720000001"/>
    <n v="0.11578867399999999"/>
    <n v="119.015"/>
    <n v="110.61199999999999"/>
    <n v="0"/>
    <n v="0"/>
    <n v="405.851"/>
    <m/>
    <s v=""/>
    <n v="0"/>
  </r>
  <r>
    <s v="Saudi Arabia"/>
    <x v="10"/>
    <x v="5"/>
    <n v="244.17253070000001"/>
    <n v="2.4949796769999999"/>
    <n v="0.285975488"/>
    <n v="475.83443979999998"/>
    <n v="97.865538909999998"/>
    <n v="0"/>
    <n v="13.40181194"/>
    <n v="52.343000000000004"/>
    <n v="99.978999999999999"/>
    <n v="37.679959580000002"/>
    <n v="37.679959580000002"/>
    <n v="0.114620368"/>
    <n v="126.191"/>
    <n v="114.161"/>
    <n v="0"/>
    <n v="0"/>
    <n v="435.85599999999999"/>
    <m/>
    <s v=""/>
    <n v="0"/>
  </r>
  <r>
    <s v="Saudi Arabia"/>
    <x v="11"/>
    <x v="5"/>
    <n v="248.17285649999999"/>
    <n v="2.470422777"/>
    <n v="0.294222967"/>
    <n v="464.0135204"/>
    <n v="100.45764579999999"/>
    <n v="0"/>
    <n v="14.12462332"/>
    <n v="55.427"/>
    <n v="99.558999999999997"/>
    <n v="39.107035719999999"/>
    <n v="39.107035719999999"/>
    <n v="0.119098225"/>
    <n v="133.673"/>
    <n v="122.943"/>
    <n v="0"/>
    <n v="0"/>
    <n v="423.089"/>
    <m/>
    <s v=""/>
    <n v="0"/>
  </r>
  <r>
    <s v="Saudi Arabia"/>
    <x v="12"/>
    <x v="5"/>
    <n v="265.67214280000002"/>
    <n v="2.327403554"/>
    <n v="0.32410648800000003"/>
    <n v="434.75048989999999"/>
    <n v="114.149582"/>
    <n v="0"/>
    <n v="13.6223049"/>
    <n v="59.548999999999999"/>
    <n v="99.391999999999996"/>
    <n v="45.694966010000002"/>
    <n v="45.694966010000002"/>
    <n v="0.13925667799999999"/>
    <n v="141.73599999999999"/>
    <n v="128.62799999999999"/>
    <n v="0"/>
    <n v="0"/>
    <n v="388.87099999999998"/>
    <m/>
    <s v=""/>
    <n v="0"/>
  </r>
  <r>
    <s v="Saudi Arabia"/>
    <x v="13"/>
    <x v="5"/>
    <n v="276.57601729999999"/>
    <n v="2.4150033899999999"/>
    <n v="0.30331032699999999"/>
    <n v="506.44477230000001"/>
    <n v="114.52406999999999"/>
    <n v="0"/>
    <n v="14.6367121"/>
    <n v="63.238999999999997"/>
    <n v="107.407"/>
    <n v="47.134030009999996"/>
    <n v="47.134030009999996"/>
    <n v="0.12559416200000001"/>
    <n v="153"/>
    <n v="142.19499999999999"/>
    <n v="0"/>
    <n v="0"/>
    <n v="458.37599999999998"/>
    <m/>
    <s v=""/>
    <n v="0"/>
  </r>
  <r>
    <s v="Saudi Arabia"/>
    <x v="14"/>
    <x v="5"/>
    <n v="293.97012139999998"/>
    <n v="2.5483058500000002"/>
    <n v="0.29862025599999997"/>
    <n v="542.60013509999999"/>
    <n v="115.35904189999999"/>
    <n v="0"/>
    <n v="13.825655640000001"/>
    <n v="68.298000000000002"/>
    <n v="115.104"/>
    <n v="51.205983209999999"/>
    <n v="51.205983209999999"/>
    <n v="0.117183836"/>
    <n v="159.875"/>
    <n v="144.38499999999999"/>
    <n v="0"/>
    <n v="0"/>
    <n v="490.32499999999999"/>
    <m/>
    <s v=""/>
    <n v="0"/>
  </r>
  <r>
    <s v="Saudi Arabia"/>
    <x v="15"/>
    <x v="5"/>
    <n v="310.23810379999998"/>
    <n v="2.5282073810000001"/>
    <n v="0.29850722600000001"/>
    <n v="570.93311519999997"/>
    <n v="122.7107025"/>
    <n v="0"/>
    <n v="13.915850600000001"/>
    <n v="70.483000000000004"/>
    <n v="118.824"/>
    <n v="56.275049539999998"/>
    <n v="56.275049539999998"/>
    <n v="0.118070704"/>
    <n v="176.124"/>
    <n v="153.28399999999999"/>
    <n v="0"/>
    <n v="0"/>
    <n v="514.01499999999999"/>
    <m/>
    <s v=""/>
    <n v="0"/>
  </r>
  <r>
    <s v="Saudi Arabia"/>
    <x v="16"/>
    <x v="5"/>
    <n v="329.09049290000002"/>
    <n v="2.5003222040000002"/>
    <n v="0.30805689400000003"/>
    <n v="565.3022608"/>
    <n v="131.61923379999999"/>
    <n v="0"/>
    <n v="14.068683010000001"/>
    <n v="74.793000000000006"/>
    <n v="118.229"/>
    <n v="59.080021469999998"/>
    <n v="59.080021469999998"/>
    <n v="0.12320687800000001"/>
    <n v="181.434"/>
    <n v="163.15100000000001"/>
    <n v="0"/>
    <n v="0"/>
    <n v="506.24700000000001"/>
    <m/>
    <s v=""/>
    <n v="0"/>
  </r>
  <r>
    <s v="Saudi Arabia"/>
    <x v="17"/>
    <x v="5"/>
    <n v="346.3951323"/>
    <n v="2.5064681790000001"/>
    <n v="0.31837472300000003"/>
    <n v="546.49706509999999"/>
    <n v="138.20049069999999"/>
    <n v="0"/>
    <n v="14.1721877"/>
    <n v="77.819000000000003"/>
    <n v="114.90600000000001"/>
    <n v="60.703024470000003"/>
    <n v="60.703024470000003"/>
    <n v="0.127021251"/>
    <n v="190.535"/>
    <n v="169.78"/>
    <n v="0"/>
    <n v="0"/>
    <n v="486.447"/>
    <m/>
    <s v=""/>
    <n v="0"/>
  </r>
  <r>
    <s v="Saudi Arabia"/>
    <x v="18"/>
    <x v="5"/>
    <n v="378.19369840000002"/>
    <n v="2.4970174119999999"/>
    <n v="0.32715463500000003"/>
    <n v="572.96476419999999"/>
    <n v="151.4581743"/>
    <n v="0"/>
    <n v="14.09039793"/>
    <n v="83.692999999999998"/>
    <n v="119.538"/>
    <n v="66.945937130000004"/>
    <n v="66.945937130000004"/>
    <n v="0.13101816299999999"/>
    <n v="204.2"/>
    <n v="181.09800000000001"/>
    <n v="0"/>
    <n v="0"/>
    <n v="507.43900000000002"/>
    <m/>
    <s v=""/>
    <n v="0"/>
  </r>
  <r>
    <s v="Saudi Arabia"/>
    <x v="19"/>
    <x v="5"/>
    <n v="395.05402049999998"/>
    <n v="2.4849689709999998"/>
    <n v="0.34892487500000002"/>
    <n v="519.28898179999999"/>
    <n v="158.97744599999999"/>
    <n v="0"/>
    <n v="14.550646759999999"/>
    <n v="80.864000000000004"/>
    <n v="115.93300000000001"/>
    <n v="63.977005079999998"/>
    <n v="63.977005079999998"/>
    <n v="0.140414178"/>
    <n v="217.08199999999999"/>
    <n v="193.47200000000001"/>
    <n v="0"/>
    <n v="0"/>
    <n v="456.92599999999999"/>
    <m/>
    <s v=""/>
    <n v="0"/>
  </r>
  <r>
    <s v="Saudi Arabia"/>
    <x v="20"/>
    <x v="5"/>
    <n v="434.81797310000002"/>
    <n v="2.478835261"/>
    <n v="0.36562031"/>
    <n v="531.46106999999995"/>
    <n v="175.4122107"/>
    <n v="1.6661740000000001E-3"/>
    <n v="14.456274219999999"/>
    <n v="84.498999999999995"/>
    <n v="117.526"/>
    <n v="73.330070180000007"/>
    <n v="73.330070180000007"/>
    <n v="0.147496817"/>
    <n v="240.071"/>
    <n v="212.26300000000001"/>
    <n v="0"/>
    <n v="1.6661740000000001E-3"/>
    <n v="461.09899999999999"/>
    <m/>
    <s v=""/>
    <n v="0"/>
  </r>
  <r>
    <s v="Saudi Arabia"/>
    <x v="21"/>
    <x v="5"/>
    <n v="451.10448200000002"/>
    <n v="2.4548902579999998"/>
    <n v="0.34484162899999998"/>
    <n v="592.69698579999999"/>
    <n v="183.7574941"/>
    <n v="1.9993440000000001E-3"/>
    <n v="14.43757868"/>
    <n v="88.924999999999997"/>
    <n v="116.94799999999999"/>
    <n v="74.688040290000004"/>
    <n v="74.688040290000004"/>
    <n v="0.14047130099999999"/>
    <n v="250.08199999999999"/>
    <n v="219.66200000000001"/>
    <n v="0"/>
    <n v="1.9993440000000001E-3"/>
    <n v="520.16800000000001"/>
    <m/>
    <s v=""/>
    <n v="0"/>
  </r>
  <r>
    <s v="Saudi Arabia"/>
    <x v="22"/>
    <x v="5"/>
    <n v="481.72022709999999"/>
    <n v="2.5531775520000002"/>
    <n v="0.349341083"/>
    <n v="625.02075430000002"/>
    <n v="188.67478560000001"/>
    <n v="8.3127819999999995E-3"/>
    <n v="16.46547876"/>
    <n v="96.225999999999999"/>
    <n v="122.446"/>
    <n v="81.092032059999994"/>
    <n v="81.092032059999994"/>
    <n v="0.136826004"/>
    <n v="288.71199999999999"/>
    <n v="262.74599999999998"/>
    <n v="0"/>
    <n v="8.3127819999999995E-3"/>
    <n v="546.68499999999995"/>
    <m/>
    <s v=""/>
    <n v="0"/>
  </r>
  <r>
    <s v="Saudi Arabia"/>
    <x v="23"/>
    <x v="5"/>
    <n v="488.6146766"/>
    <n v="2.6043532030000001"/>
    <n v="0.34502772599999998"/>
    <n v="614.50067300000001"/>
    <n v="187.614597"/>
    <n v="1.2907155E-2"/>
    <n v="17.548404300000001"/>
    <n v="99.033000000000001"/>
    <n v="116.648"/>
    <n v="81.953937080000003"/>
    <n v="81.953937080000003"/>
    <n v="0.13248115699999999"/>
    <n v="302.15800000000002"/>
    <n v="279.36"/>
    <n v="0"/>
    <n v="1.2907155E-2"/>
    <n v="535.81799999999998"/>
    <m/>
    <s v=""/>
    <n v="0"/>
  </r>
  <r>
    <s v="Saudi Arabia"/>
    <x v="24"/>
    <x v="5"/>
    <n v="525.02366300000006"/>
    <n v="2.5403471039999999"/>
    <n v="0.35767341499999999"/>
    <n v="622.44126610000001"/>
    <n v="206.67398650000001"/>
    <n v="1.2482985E-2"/>
    <n v="17.319919899999999"/>
    <n v="107.104"/>
    <n v="133.36199999999999"/>
    <n v="85.125894070000001"/>
    <n v="85.125894070000001"/>
    <n v="0.140797064"/>
    <n v="336.45800000000003"/>
    <n v="303.48099999999999"/>
    <n v="0"/>
    <n v="1.2482985E-2"/>
    <n v="541.00300000000004"/>
    <m/>
    <s v=""/>
    <n v="0"/>
  </r>
  <r>
    <s v="Saudi Arabia"/>
    <x v="25"/>
    <x v="5"/>
    <n v="550.7009736"/>
    <n v="2.54487613"/>
    <n v="0.36036795199999999"/>
    <n v="648.63917819999995"/>
    <n v="216.39598369999999"/>
    <n v="3.5930345000000002E-2"/>
    <n v="17.101763269999999"/>
    <n v="115.166"/>
    <n v="145.39099999999999"/>
    <n v="87.254959240000005"/>
    <n v="87.254959240000005"/>
    <n v="0.14160530199999999"/>
    <n v="359.02800000000002"/>
    <n v="318.947"/>
    <n v="0"/>
    <n v="3.5930345000000002E-2"/>
    <n v="565.06200000000001"/>
    <m/>
    <s v="Above Average"/>
    <n v="0"/>
  </r>
  <r>
    <s v="Saudi Arabia"/>
    <x v="26"/>
    <x v="5"/>
    <n v="546.77614719999997"/>
    <n v="2.5453703719999998"/>
    <n v="0.35192035399999999"/>
    <n v="670.59507819999999"/>
    <n v="214.8120184"/>
    <n v="3.5088386999999999E-2"/>
    <n v="17.712821080000001"/>
    <n v="112.902"/>
    <n v="157.24199999999999"/>
    <n v="90.793918959999999"/>
    <n v="90.793918959999999"/>
    <n v="0.13825899699999999"/>
    <n v="367.64299999999997"/>
    <n v="322.43200000000002"/>
    <n v="0"/>
    <n v="3.5088386999999999E-2"/>
    <n v="583.61400000000003"/>
    <m/>
    <s v=""/>
    <n v="0"/>
  </r>
  <r>
    <s v="Saudi Arabia"/>
    <x v="27"/>
    <x v="5"/>
    <n v="535.94287459999998"/>
    <n v="2.4484832719999998"/>
    <n v="0.34752466300000001"/>
    <n v="646.74900309999998"/>
    <n v="218.88770109999999"/>
    <n v="4.1051405999999999E-2"/>
    <n v="17.916980070000001"/>
    <n v="110.76154099999999"/>
    <n v="158.27030199999999"/>
    <n v="95.49988845"/>
    <n v="95.49988845"/>
    <n v="0.14193466900000001"/>
    <n v="378.29398400000002"/>
    <n v="324.68959699999999"/>
    <n v="0"/>
    <n v="4.1051405999999999E-2"/>
    <n v="556.40472499999998"/>
    <m/>
    <s v=""/>
    <n v="0"/>
  </r>
  <r>
    <s v="Saudi Arabia"/>
    <x v="28"/>
    <x v="5"/>
    <n v="511.43630519999999"/>
    <n v="2.3939171250000002"/>
    <n v="0.32375320899999999"/>
    <n v="665.37432720000004"/>
    <n v="213.6399376"/>
    <n v="4.1066641000000001E-2"/>
    <n v="17.90165721"/>
    <n v="105.54419300000001"/>
    <n v="156.04569699999999"/>
    <n v="96.844957289999996"/>
    <n v="96.844957289999996"/>
    <n v="0.13523994"/>
    <n v="378.15364599999998"/>
    <n v="321.56766800000003"/>
    <n v="0"/>
    <n v="4.1066641000000001E-2"/>
    <n v="573.68058900000005"/>
    <m/>
    <s v=""/>
    <n v="0"/>
  </r>
  <r>
    <s v="Saudi Arabia"/>
    <x v="29"/>
    <x v="5"/>
    <n v="508.28885830000002"/>
    <n v="2.3629539820000001"/>
    <n v="0.32069927399999998"/>
    <n v="637.36911540000006"/>
    <n v="215.1073877"/>
    <n v="0.198613225"/>
    <n v="17.122799789999998"/>
    <n v="106.693021"/>
    <n v="140.36127569999999"/>
    <n v="96.787697859999994"/>
    <n v="96.787697859999994"/>
    <n v="0.135719644"/>
    <n v="366.74672600000002"/>
    <n v="310.11420379999998"/>
    <n v="0"/>
    <n v="0.198613225"/>
    <n v="546.85981990000005"/>
    <m/>
    <s v=""/>
    <n v="0"/>
  </r>
  <r>
    <s v="Saudi Arabia"/>
    <x v="30"/>
    <x v="5"/>
    <n v="491.77638760000002"/>
    <n v="2.3487026129999999"/>
    <n v="0.32320928300000001"/>
    <n v="599.08751240000004"/>
    <n v="209.38214350000001"/>
    <n v="0.20075892200000001"/>
    <n v="17.516536899999998"/>
    <n v="101.8131216"/>
    <n v="123.2612197"/>
    <n v="97.391408159999997"/>
    <n v="97.391408159999997"/>
    <n v="0.13761183799999999"/>
    <n v="362.82696349999998"/>
    <n v="306.79972559999999"/>
    <n v="0"/>
    <n v="0.20075892200000001"/>
    <n v="508.31819639999998"/>
    <m/>
    <s v=""/>
    <n v="0"/>
  </r>
  <r>
    <s v="South Africa"/>
    <x v="0"/>
    <x v="6"/>
    <n v="251.9443354"/>
    <n v="2.8082462879999999"/>
    <n v="0.66530893999999996"/>
    <n v="114.5365078"/>
    <n v="89.715897240000004"/>
    <n v="1.704878428"/>
    <n v="23.034759810000001"/>
    <n v="15.276999999999999"/>
    <n v="13.083"/>
    <n v="1.8419986209999999"/>
    <n v="1.8419986209999999"/>
    <n v="0.236912604"/>
    <n v="167.226"/>
    <n v="140.71100000000001"/>
    <n v="134.17500000000001"/>
    <n v="0"/>
    <n v="4.468"/>
    <n v="174.8"/>
    <s v=""/>
    <n v="40.625"/>
  </r>
  <r>
    <s v="South Africa"/>
    <x v="1"/>
    <x v="6"/>
    <n v="247.85233700000001"/>
    <n v="2.6885074090000001"/>
    <n v="0.67613056999999999"/>
    <n v="116.9323694"/>
    <n v="92.189568140000006"/>
    <n v="2.2481522850000002"/>
    <n v="23.27910954"/>
    <n v="15.227"/>
    <n v="13.223000000000001"/>
    <n v="1.867998295"/>
    <n v="1.867998295"/>
    <n v="0.251489197"/>
    <n v="168.316"/>
    <n v="140.172"/>
    <n v="131.351"/>
    <n v="0"/>
    <n v="4.468"/>
    <n v="178.2"/>
    <s v=""/>
    <n v="46.84899999999999"/>
  </r>
  <r>
    <s v="South Africa"/>
    <x v="2"/>
    <x v="6"/>
    <n v="244.93427829999999"/>
    <n v="2.78738485"/>
    <n v="0.68276122699999997"/>
    <n v="115.0428258"/>
    <n v="87.872429370000006"/>
    <n v="1.240406925"/>
    <n v="22.684626819999998"/>
    <n v="15.022"/>
    <n v="12.292999999999999"/>
    <n v="1.881999921"/>
    <n v="1.881999921"/>
    <n v="0.244946882"/>
    <n v="168.09"/>
    <n v="140.69"/>
    <n v="129.69399999999999"/>
    <n v="0"/>
    <n v="5.5469999999999997"/>
    <n v="174.4"/>
    <s v=""/>
    <n v="44.706000000000017"/>
  </r>
  <r>
    <s v="South Africa"/>
    <x v="3"/>
    <x v="6"/>
    <n v="252.58544989999999"/>
    <n v="2.6960939719999999"/>
    <n v="0.69550983200000005"/>
    <n v="122.9857839"/>
    <n v="93.685699589999999"/>
    <n v="0.85343376900000001"/>
    <n v="23.484934259999999"/>
    <n v="14.313000000000001"/>
    <n v="13.275"/>
    <n v="2.099998158"/>
    <n v="2.099998158"/>
    <n v="0.25796943300000003"/>
    <n v="174.70599999999999"/>
    <n v="146.077"/>
    <n v="133.679"/>
    <n v="0"/>
    <n v="7.1139999999999999"/>
    <n v="188.214"/>
    <s v=""/>
    <n v="54.534999999999997"/>
  </r>
  <r>
    <s v="South Africa"/>
    <x v="4"/>
    <x v="6"/>
    <n v="257.66237180000002"/>
    <n v="2.6246433219999998"/>
    <n v="0.687489774"/>
    <n v="128.2839477"/>
    <n v="98.17043314"/>
    <n v="1.426055369"/>
    <n v="23.861300669999999"/>
    <n v="14.97"/>
    <n v="14.173"/>
    <n v="2.099998158"/>
    <n v="2.099998158"/>
    <n v="0.26193645700000001"/>
    <n v="181.69"/>
    <n v="151.59700000000001"/>
    <n v="135.53700000000001"/>
    <n v="0"/>
    <n v="7.0830000000000002"/>
    <n v="195.80500000000001"/>
    <s v=""/>
    <n v="60.268000000000001"/>
  </r>
  <r>
    <s v="South Africa"/>
    <x v="5"/>
    <x v="6"/>
    <n v="273.73688600000003"/>
    <n v="2.643636452"/>
    <n v="0.70841854100000001"/>
    <n v="134.77961199999999"/>
    <n v="103.5455862"/>
    <n v="0.96595322900000002"/>
    <n v="23.27617863"/>
    <n v="16.373999999999999"/>
    <n v="15.832000000000001"/>
    <n v="2.099998158"/>
    <n v="2.099998158"/>
    <n v="0.26797124100000003"/>
    <n v="186.655"/>
    <n v="157.042"/>
    <n v="144.346"/>
    <n v="0"/>
    <n v="7.524"/>
    <n v="206.21100000000001"/>
    <s v=""/>
    <n v="61.865000000000009"/>
  </r>
  <r>
    <s v="South Africa"/>
    <x v="6"/>
    <x v="6"/>
    <n v="284.07903440000001"/>
    <n v="2.665115015"/>
    <n v="0.70487397399999996"/>
    <n v="134.99464180000001"/>
    <n v="106.5916603"/>
    <n v="1.7841916360000001"/>
    <n v="26.06937409"/>
    <n v="16.331"/>
    <n v="15.266"/>
    <n v="1.890001263"/>
    <n v="1.890001263"/>
    <n v="0.26448163400000002"/>
    <n v="201.71600000000001"/>
    <n v="183.18"/>
    <n v="150.166"/>
    <n v="0"/>
    <n v="7.6440000000000001"/>
    <n v="206.36199999999999"/>
    <s v=""/>
    <n v="56.195999999999998"/>
  </r>
  <r>
    <s v="South Africa"/>
    <x v="7"/>
    <x v="6"/>
    <n v="298.93476179999999"/>
    <n v="2.7508065249999998"/>
    <n v="0.72293848199999999"/>
    <n v="143.36496460000001"/>
    <n v="108.6716783"/>
    <n v="2.3036479970000001"/>
    <n v="26.373237270000001"/>
    <n v="16.835999999999999"/>
    <n v="21.09"/>
    <n v="1.6869999449999999"/>
    <n v="1.6869999449999999"/>
    <n v="0.26280964299999998"/>
    <n v="210.36199999999999"/>
    <n v="190.87100000000001"/>
    <n v="156.18"/>
    <n v="0"/>
    <n v="8.0470000000000006"/>
    <n v="220.07300000000001"/>
    <s v=""/>
    <n v="63.893000000000001"/>
  </r>
  <r>
    <s v="South Africa"/>
    <x v="8"/>
    <x v="6"/>
    <n v="306.60154720000003"/>
    <n v="2.7681465630000002"/>
    <n v="0.73779073799999995"/>
    <n v="144.9931799"/>
    <n v="110.7605903"/>
    <n v="2.067447681"/>
    <n v="25.686230259999999"/>
    <n v="16.699000000000002"/>
    <n v="15.887"/>
    <n v="1.4210016480000001"/>
    <n v="1.4210016480000001"/>
    <n v="0.26652878400000002"/>
    <n v="205.374"/>
    <n v="185.53899999999999"/>
    <n v="159.13200000000001"/>
    <n v="0"/>
    <n v="7.8280000000000003"/>
    <n v="222.977"/>
    <s v=""/>
    <n v="63.844999999999999"/>
  </r>
  <r>
    <s v="South Africa"/>
    <x v="9"/>
    <x v="6"/>
    <n v="289.73932539999998"/>
    <n v="2.6575612039999998"/>
    <n v="0.68087338900000005"/>
    <n v="144.76209750000001"/>
    <n v="109.0245165"/>
    <n v="1.7304395800000001"/>
    <n v="26.174060799999999"/>
    <n v="16.736000000000001"/>
    <n v="17.431000000000001"/>
    <n v="1.858998487"/>
    <n v="1.858998487"/>
    <n v="0.25620233599999997"/>
    <n v="203.012"/>
    <n v="182.93700000000001"/>
    <n v="151.92500000000001"/>
    <n v="0"/>
    <n v="8.1120000000000001"/>
    <n v="223.51400000000001"/>
    <s v=""/>
    <n v="71.588999999999999"/>
  </r>
  <r>
    <s v="South Africa"/>
    <x v="10"/>
    <x v="6"/>
    <n v="296.10569959999998"/>
    <n v="2.7127779109999999"/>
    <n v="0.66778698400000003"/>
    <n v="143.62764250000001"/>
    <n v="109.1522083"/>
    <n v="2.0131010589999998"/>
    <n v="27.651459020000001"/>
    <n v="16.317"/>
    <n v="17.213999999999999"/>
    <n v="1.7110003030000001"/>
    <n v="1.7110003030000001"/>
    <n v="0.24616352899999999"/>
    <n v="210.67"/>
    <n v="190.23099999999999"/>
    <n v="157.27500000000001"/>
    <n v="0"/>
    <n v="8.9120000000000008"/>
    <n v="224.2"/>
    <s v=""/>
    <n v="66.924999999999983"/>
  </r>
  <r>
    <s v="South Africa"/>
    <x v="11"/>
    <x v="6"/>
    <n v="330.700399"/>
    <n v="3.1354541"/>
    <n v="0.72619872299999999"/>
    <n v="142.32040380000001"/>
    <n v="105.4712933"/>
    <n v="2.0080913850000002"/>
    <n v="27.242583280000002"/>
    <n v="16.757999999999999"/>
    <n v="21.131"/>
    <n v="2.2229999629999999"/>
    <n v="2.2229999629999999"/>
    <n v="0.23160878800000001"/>
    <n v="210.1"/>
    <n v="181.286"/>
    <n v="155.685"/>
    <n v="0"/>
    <n v="5.3890000000000002"/>
    <n v="223.56"/>
    <s v=""/>
    <n v="67.875"/>
  </r>
  <r>
    <s v="South Africa"/>
    <x v="12"/>
    <x v="6"/>
    <n v="341.84269899999998"/>
    <n v="3.4162516140000001"/>
    <n v="0.72388022600000002"/>
    <n v="140.37945379999999"/>
    <n v="100.06367729999999"/>
    <n v="2.109486569"/>
    <n v="28.00152684"/>
    <n v="17.183"/>
    <n v="23.974"/>
    <n v="2.2040025889999999"/>
    <n v="2.2040025889999999"/>
    <n v="0.21189312399999999"/>
    <n v="220.57499999999999"/>
    <n v="193.529"/>
    <n v="160.71100000000001"/>
    <n v="0"/>
    <n v="5.7320000000000002"/>
    <n v="220.21299999999999"/>
    <s v=""/>
    <n v="59.501999999999981"/>
  </r>
  <r>
    <s v="South Africa"/>
    <x v="13"/>
    <x v="6"/>
    <n v="363.84839119999998"/>
    <n v="3.2291278409999999"/>
    <n v="0.74840795900000001"/>
    <n v="149.77229550000001"/>
    <n v="112.67698559999999"/>
    <n v="1.68510304"/>
    <n v="27.686613309999998"/>
    <n v="17.971"/>
    <n v="22.096"/>
    <n v="1.321999452"/>
    <n v="1.321999452"/>
    <n v="0.23176783200000001"/>
    <n v="234.22900000000001"/>
    <n v="195.65600000000001"/>
    <n v="170.54900000000001"/>
    <n v="2.5615960000000002E-3"/>
    <n v="5.0529999999999999"/>
    <n v="238.751"/>
    <s v=""/>
    <n v="68.201999999999998"/>
  </r>
  <r>
    <s v="South Africa"/>
    <x v="14"/>
    <x v="6"/>
    <n v="387.07057259999999"/>
    <n v="3.1525547930000002"/>
    <n v="0.76149164800000002"/>
    <n v="153.72839450000001"/>
    <n v="122.7799667"/>
    <n v="2.0065002760000001"/>
    <n v="26.826840870000002"/>
    <n v="18.675000000000001"/>
    <n v="20.05"/>
    <n v="2.0310024480000002"/>
    <n v="3.4040039370000001"/>
    <n v="0.24154747500000001"/>
    <n v="244.60499999999999"/>
    <n v="198.82400000000001"/>
    <n v="181.137"/>
    <n v="4.9058690000000002E-3"/>
    <n v="6.3070000000000004"/>
    <n v="242.821"/>
    <s v=""/>
    <n v="61.683999999999997"/>
  </r>
  <r>
    <s v="South Africa"/>
    <x v="15"/>
    <x v="6"/>
    <n v="379.1693745"/>
    <n v="3.211062552"/>
    <n v="0.70855653699999999"/>
    <n v="152.98258190000001"/>
    <n v="118.0822137"/>
    <n v="1.835686463"/>
    <n v="27.26313056"/>
    <n v="19.552"/>
    <n v="23.795000000000002"/>
    <n v="2.1839985049999999"/>
    <n v="3.3780017629999999"/>
    <n v="0.22066108200000001"/>
    <n v="244.922"/>
    <n v="204.041"/>
    <n v="178.655"/>
    <n v="4.8995189999999997E-3"/>
    <n v="4.508"/>
    <n v="244.98599999999999"/>
    <s v=""/>
    <n v="66.330999999999989"/>
  </r>
  <r>
    <s v="South Africa"/>
    <x v="16"/>
    <x v="6"/>
    <n v="378.8758004"/>
    <n v="3.1467956730000002"/>
    <n v="0.67043794700000003"/>
    <n v="152.06187990000001"/>
    <n v="120.40050890000001"/>
    <n v="2.4263390569999999"/>
    <n v="27.815653699999999"/>
    <n v="19.878"/>
    <n v="19.21"/>
    <n v="1.903"/>
    <n v="3.2770041769999998"/>
    <n v="0.21305417200000001"/>
    <n v="253.798"/>
    <n v="210.47300000000001"/>
    <n v="180.90799999999999"/>
    <n v="4.7281700000000003E-3"/>
    <n v="5.4560000000000004"/>
    <n v="244.774"/>
    <s v=""/>
    <n v="63.866000000000014"/>
  </r>
  <r>
    <s v="South Africa"/>
    <x v="17"/>
    <x v="6"/>
    <n v="400.36119680000002"/>
    <n v="3.0525343079999998"/>
    <n v="0.67241280599999997"/>
    <n v="153.42496539999999"/>
    <n v="131.15698510000001"/>
    <n v="1.584946049"/>
    <n v="27.239528450000002"/>
    <n v="23.507999999999999"/>
    <n v="17.661999999999999"/>
    <n v="1.7819990000000001"/>
    <n v="4.2219988529999997"/>
    <n v="0.22028017999999999"/>
    <n v="263.47899999999998"/>
    <n v="219.15100000000001"/>
    <n v="186.66200000000001"/>
    <n v="4.554443E-3"/>
    <n v="4.5960000000000001"/>
    <n v="247.666"/>
    <s v=""/>
    <n v="61.003999999999991"/>
  </r>
  <r>
    <s v="South Africa"/>
    <x v="18"/>
    <x v="6"/>
    <n v="432.59419789999998"/>
    <n v="3.0436567870000002"/>
    <n v="0.70408107200000003"/>
    <n v="157.4114782"/>
    <n v="142.12975650000001"/>
    <n v="1.6736936250000001"/>
    <n v="25.950267669999999"/>
    <n v="23.402999999999999"/>
    <n v="20.161999999999999"/>
    <n v="1.5840015999999999"/>
    <n v="4.3440026100000004"/>
    <n v="0.23132735400000001"/>
    <n v="258.291"/>
    <n v="213.46299999999999"/>
    <n v="201.733"/>
    <n v="8.1303650000000005E-3"/>
    <n v="4.1429999999999998"/>
    <n v="252.21299999999999"/>
    <s v=""/>
    <n v="50.47999999999999"/>
  </r>
  <r>
    <s v="South Africa"/>
    <x v="19"/>
    <x v="6"/>
    <n v="408.32439970000001"/>
    <n v="2.8352405319999998"/>
    <n v="0.67496157899999998"/>
    <n v="155.6019177"/>
    <n v="144.01755159999999"/>
    <n v="1.800791002"/>
    <n v="23.936167359999999"/>
    <n v="22.844000000000001"/>
    <n v="18.893000000000001"/>
    <n v="1.234998421"/>
    <n v="3.764997224"/>
    <n v="0.23806148799999999"/>
    <n v="249.55699999999999"/>
    <n v="205.315"/>
    <n v="186.958"/>
    <n v="1.2021301999999999E-2"/>
    <n v="4.4320000000000004"/>
    <n v="249.489"/>
    <s v=""/>
    <n v="62.531000000000006"/>
  </r>
  <r>
    <s v="South Africa"/>
    <x v="20"/>
    <x v="6"/>
    <n v="430.18281630000001"/>
    <n v="3.1995631819999999"/>
    <n v="0.69011594700000001"/>
    <n v="158.52847729999999"/>
    <n v="134.4504833"/>
    <n v="2.0928270690000002"/>
    <n v="27.537090589999998"/>
    <n v="22.890999999999998"/>
    <n v="18.696999999999999"/>
    <n v="1.542999534"/>
    <n v="4.7430016610000001"/>
    <n v="0.215690676"/>
    <n v="259.601"/>
    <n v="213.58600000000001"/>
    <n v="193.37200000000001"/>
    <n v="1.3097022E-2"/>
    <n v="4.4960000000000004"/>
    <n v="254.52199999999999"/>
    <s v=""/>
    <n v="61.149999999999977"/>
  </r>
  <r>
    <s v="South Africa"/>
    <x v="21"/>
    <x v="6"/>
    <n v="414.3106712"/>
    <n v="3.025870254"/>
    <n v="0.64351899099999998"/>
    <n v="157.24398830000001"/>
    <n v="136.92281439999999"/>
    <n v="2.0564642069999999"/>
    <n v="27.45911809"/>
    <n v="24.509"/>
    <n v="19.178999999999998"/>
    <n v="1.3620008480000001"/>
    <n v="4.708001726"/>
    <n v="0.212672368"/>
    <n v="262.53800000000001"/>
    <n v="216.43899999999999"/>
    <n v="182.38499999999999"/>
    <n v="1.4093197999999999E-2"/>
    <n v="5.32"/>
    <n v="252.75700000000001"/>
    <s v=""/>
    <n v="70.372000000000014"/>
  </r>
  <r>
    <s v="South Africa"/>
    <x v="22"/>
    <x v="6"/>
    <n v="431.320808"/>
    <n v="3.2929653719999998"/>
    <n v="0.65543256599999999"/>
    <n v="159.3122425"/>
    <n v="130.9824912"/>
    <n v="1.7831179559999999"/>
    <n v="25.934282469999999"/>
    <n v="24.222999999999999"/>
    <n v="19.016999999999999"/>
    <n v="1.1799994739999999"/>
    <n v="4.9500039469999999"/>
    <n v="0.19904022399999999"/>
    <n v="257.91899999999998"/>
    <n v="209.05500000000001"/>
    <n v="190.148"/>
    <n v="1.4345589000000001E-2"/>
    <n v="5.0999999999999996"/>
    <n v="258.57499999999999"/>
    <s v=""/>
    <n v="68.426999999999992"/>
  </r>
  <r>
    <s v="South Africa"/>
    <x v="23"/>
    <x v="6"/>
    <n v="441.02997490000001"/>
    <n v="3.3958210480000002"/>
    <n v="0.65393496399999995"/>
    <n v="158.56705439999999"/>
    <n v="129.87432749999999"/>
    <n v="1.713573864"/>
    <n v="24.697303130000002"/>
    <n v="25.475999999999999"/>
    <n v="19.731999999999999"/>
    <n v="1.265001289"/>
    <n v="5.0199985260000002"/>
    <n v="0.192570502"/>
    <n v="256.07299999999998"/>
    <n v="208.62100000000001"/>
    <n v="192.42"/>
    <n v="1.1324895999999999E-2"/>
    <n v="5.2720000000000002"/>
    <n v="256.28199999999998"/>
    <s v=""/>
    <n v="63.861999999999995"/>
  </r>
  <r>
    <s v="South Africa"/>
    <x v="24"/>
    <x v="6"/>
    <n v="453.17754450000001"/>
    <n v="3.2914040679999998"/>
    <n v="0.65976098100000002"/>
    <n v="160.66986969999999"/>
    <n v="137.6851748"/>
    <n v="2.554458425"/>
    <n v="24.56266042"/>
    <n v="25.067"/>
    <n v="20.164999999999999"/>
    <n v="1.019001319"/>
    <n v="4.7830000000000004"/>
    <n v="0.200449707"/>
    <n v="252.578"/>
    <n v="211.21600000000001"/>
    <n v="199.571"/>
    <n v="0.81756922600000004"/>
    <n v="5.351"/>
    <n v="260.54000000000002"/>
    <s v=""/>
    <n v="60.969000000000023"/>
  </r>
  <r>
    <s v="South Africa"/>
    <x v="25"/>
    <x v="6"/>
    <n v="428.05174160000001"/>
    <n v="3.3229252969999998"/>
    <n v="0.61583007899999997"/>
    <n v="158.2153447"/>
    <n v="128.81774440000001"/>
    <n v="3.4996294890000001"/>
    <n v="24.65965516"/>
    <n v="25.917000000000002"/>
    <n v="20.544"/>
    <n v="1.1799994739999999"/>
    <n v="5.2560040419999998"/>
    <n v="0.18532769299999999"/>
    <n v="249.655"/>
    <n v="206.983"/>
    <n v="185.94"/>
    <n v="1.8569626079999999"/>
    <n v="5.69"/>
    <n v="256.12900000000002"/>
    <s v=""/>
    <n v="70.189000000000021"/>
  </r>
  <r>
    <s v="South Africa"/>
    <x v="26"/>
    <x v="6"/>
    <n v="429.70070320000002"/>
    <n v="3.1811178959999999"/>
    <n v="0.61574504500000005"/>
    <n v="158.78731329999999"/>
    <n v="135.0785218"/>
    <n v="4.3743348089999996"/>
    <n v="26.46432798"/>
    <n v="24.8"/>
    <n v="20.285"/>
    <n v="1.072000716"/>
    <n v="5.3620064889999997"/>
    <n v="0.19356247300000001"/>
    <n v="252.74700000000001"/>
    <n v="220.02"/>
    <n v="188.55099999999999"/>
    <n v="2.6536417839999999"/>
    <n v="5.5590000000000002"/>
    <n v="255.81399999999999"/>
    <s v=""/>
    <n v="67.263000000000005"/>
  </r>
  <r>
    <s v="South Africa"/>
    <x v="27"/>
    <x v="6"/>
    <n v="436.6626784"/>
    <n v="3.2133271529999998"/>
    <n v="0.61699384000000002"/>
    <n v="159.26414059999999"/>
    <n v="135.89113639999999"/>
    <n v="5.7092529140000003"/>
    <n v="25.423760390000002"/>
    <n v="27.492497"/>
    <n v="18.741235"/>
    <n v="0.85793684199999998"/>
    <n v="5.173923684"/>
    <n v="0.19201090000000001"/>
    <n v="255.13432700000001"/>
    <n v="219.08038500000001"/>
    <n v="188.61117100000001"/>
    <n v="3.4726804910000002"/>
    <n v="5.2176309999999999"/>
    <n v="257.12474099999997"/>
    <s v=""/>
    <n v="68.513569999999959"/>
  </r>
  <r>
    <s v="South Africa"/>
    <x v="28"/>
    <x v="6"/>
    <n v="433.7892458"/>
    <n v="3.2314829010000001"/>
    <n v="0.60814729199999995"/>
    <n v="158.1013117"/>
    <n v="134.23844690000001"/>
    <n v="6.578397979"/>
    <n v="25.889297939999999"/>
    <n v="27.401752999999999"/>
    <n v="18.700849999999999"/>
    <n v="1.029524211"/>
    <n v="4.8789423159999998"/>
    <n v="0.18819449499999999"/>
    <n v="256.06422800000001"/>
    <n v="220.74861799999999"/>
    <n v="187.04775699999999"/>
    <n v="4.1817633350000003"/>
    <n v="4.9240449999999996"/>
    <n v="255.64149599999999"/>
    <s v=""/>
    <n v="68.593738999999999"/>
  </r>
  <r>
    <s v="South Africa"/>
    <x v="29"/>
    <x v="6"/>
    <n v="422.11861770000002"/>
    <n v="3.274055894"/>
    <n v="0.59088170100000004"/>
    <n v="158.73939490000001"/>
    <n v="128.928348"/>
    <n v="6.8480624619999997"/>
    <n v="26.13016777"/>
    <n v="27.264545869999999"/>
    <n v="18.624468579999998"/>
    <n v="1.18"/>
    <n v="4.8710000000000004"/>
    <n v="0.18047392000000001"/>
    <n v="252.22326459999999"/>
    <n v="218.5990673"/>
    <n v="176.24123839999999"/>
    <n v="4.3736397389999997"/>
    <n v="4.9164649999999996"/>
    <n v="253.56899899999999"/>
    <s v=""/>
    <n v="77.327760600000005"/>
  </r>
  <r>
    <s v="South Africa"/>
    <x v="30"/>
    <x v="6"/>
    <n v="394.70803869999997"/>
    <n v="3.1812205389999999"/>
    <n v="0.59537970799999995"/>
    <n v="154.66153679999999"/>
    <n v="124.0744029"/>
    <n v="7.5606959539999998"/>
    <n v="27.125212820000002"/>
    <n v="22.856564120000002"/>
    <n v="14.62446858"/>
    <n v="1.2"/>
    <n v="4.8347434390000004"/>
    <n v="0.18715449000000001"/>
    <n v="239.559335"/>
    <n v="208.03425010000001"/>
    <n v="168.88743740000001"/>
    <n v="4.9129494149999999"/>
    <n v="4.8847543389999997"/>
    <n v="247.48334299999999"/>
    <s v=""/>
    <n v="78.59590559999998"/>
  </r>
  <r>
    <s v="South Korea"/>
    <x v="0"/>
    <x v="2"/>
    <n v="243.49721629999999"/>
    <n v="2.5913266589999999"/>
    <n v="0.46666675699999999"/>
    <n v="23.675366100000002"/>
    <n v="93.966237509999999"/>
    <n v="6.037714362"/>
    <n v="11.589677699999999"/>
    <n v="48.314999999999998"/>
    <n v="42.365000000000002"/>
    <n v="0"/>
    <n v="3.0419989009999999"/>
    <n v="0.18008797000000001"/>
    <n v="105.371"/>
    <n v="94.384"/>
    <n v="44.776000000000003"/>
    <n v="9.4902799999999998E-4"/>
    <n v="0"/>
    <n v="17.216999999999999"/>
    <s v=""/>
    <n v="-27.559000000000005"/>
  </r>
  <r>
    <s v="South Korea"/>
    <x v="1"/>
    <x v="2"/>
    <n v="267.57197600000001"/>
    <n v="2.6533691180000001"/>
    <n v="0.46469243500000001"/>
    <n v="23.169934009999999"/>
    <n v="100.8423495"/>
    <n v="4.3999303259999998"/>
    <n v="11.58730854"/>
    <n v="57.652999999999999"/>
    <n v="57.29"/>
    <n v="0"/>
    <n v="3.5190028940000002"/>
    <n v="0.17513297799999999"/>
    <n v="114.82"/>
    <n v="104.374"/>
    <n v="43.256999999999998"/>
    <n v="8.7092799999999998E-4"/>
    <n v="0"/>
    <n v="15.058"/>
    <s v=""/>
    <n v="-28.198999999999998"/>
  </r>
  <r>
    <s v="South Korea"/>
    <x v="2"/>
    <x v="2"/>
    <n v="290.85939239999999"/>
    <n v="2.611010855"/>
    <n v="0.47575540500000002"/>
    <n v="20.917824020000001"/>
    <n v="111.39723600000001"/>
    <n v="3.8559086950000001"/>
    <n v="11.48066315"/>
    <n v="69.323999999999998"/>
    <n v="70.811000000000007"/>
    <n v="0"/>
    <n v="4.6029978549999999"/>
    <n v="0.18221119399999999"/>
    <n v="126.17"/>
    <n v="115.245"/>
    <n v="40.143999999999998"/>
    <n v="1.5851629999999999E-3"/>
    <n v="0"/>
    <n v="11.97"/>
    <s v=""/>
    <n v="-28.173999999999999"/>
  </r>
  <r>
    <s v="South Korea"/>
    <x v="3"/>
    <x v="2"/>
    <n v="317.39700699999997"/>
    <n v="2.5397590559999998"/>
    <n v="0.48589471299999998"/>
    <n v="20.65883444"/>
    <n v="124.97130629999999"/>
    <n v="4.1494606879999996"/>
    <n v="11.606162400000001"/>
    <n v="75.55"/>
    <n v="75.757000000000005"/>
    <n v="0"/>
    <n v="5.7500065989999998"/>
    <n v="0.191315279"/>
    <n v="144.81399999999999"/>
    <n v="127.733"/>
    <n v="42.067999999999998"/>
    <n v="2.0716229999999999E-3"/>
    <n v="0"/>
    <n v="9.4429999999999996"/>
    <s v=""/>
    <n v="-32.625"/>
  </r>
  <r>
    <s v="South Korea"/>
    <x v="4"/>
    <x v="2"/>
    <n v="342.47459930000002"/>
    <n v="2.577346409"/>
    <n v="0.48008777800000002"/>
    <n v="20.077857080000001"/>
    <n v="132.87876170000001"/>
    <n v="2.508011448"/>
    <n v="12.34607407"/>
    <n v="81.149000000000001"/>
    <n v="79.548000000000002"/>
    <n v="0"/>
    <n v="7.6540078520000003"/>
    <n v="0.18627211900000001"/>
    <n v="163.51599999999999"/>
    <n v="146.54"/>
    <n v="42.807000000000002"/>
    <n v="1.8346829999999999E-3"/>
    <n v="0"/>
    <n v="7.4379999999999997"/>
    <s v=""/>
    <n v="-35.369"/>
  </r>
  <r>
    <s v="South Korea"/>
    <x v="5"/>
    <x v="2"/>
    <n v="371.88794419999999"/>
    <n v="2.552432477"/>
    <n v="0.47578454100000001"/>
    <n v="22.09215502"/>
    <n v="145.6994249"/>
    <n v="3.1165525380000001"/>
    <n v="12.702159760000001"/>
    <n v="87.998999999999995"/>
    <n v="89.463999999999999"/>
    <n v="0"/>
    <n v="9.2549893710000006"/>
    <n v="0.18640435899999999"/>
    <n v="183.857"/>
    <n v="163.27000000000001"/>
    <n v="44.406999999999996"/>
    <n v="1.0878019999999999E-3"/>
    <n v="0"/>
    <n v="5.72"/>
    <s v=""/>
    <n v="-38.686999999999998"/>
  </r>
  <r>
    <s v="South Korea"/>
    <x v="6"/>
    <x v="2"/>
    <n v="395.51029629999999"/>
    <n v="2.5007321870000001"/>
    <n v="0.47029018299999997"/>
    <n v="23.3635132"/>
    <n v="158.15779800000001"/>
    <n v="2.730034764"/>
    <n v="13.327257960000001"/>
    <n v="90.76"/>
    <n v="100.163"/>
    <n v="0"/>
    <n v="12.228008000000001"/>
    <n v="0.18806099500000001"/>
    <n v="205.38200000000001"/>
    <n v="182.47"/>
    <n v="50.325000000000003"/>
    <n v="1.4606930000000001E-3"/>
    <n v="0"/>
    <n v="4.9509999999999996"/>
    <s v=""/>
    <n v="-45.374000000000002"/>
  </r>
  <r>
    <s v="South Korea"/>
    <x v="7"/>
    <x v="2"/>
    <n v="418.40879269999999"/>
    <n v="2.4282953960000002"/>
    <n v="0.469701545"/>
    <n v="24.80204316"/>
    <n v="172.3055578"/>
    <n v="2.4409890339999998"/>
    <n v="13.81041467"/>
    <n v="96.762"/>
    <n v="120.97199999999999"/>
    <n v="0"/>
    <n v="14.858987490000001"/>
    <n v="0.193428504"/>
    <n v="224.70400000000001"/>
    <n v="200.78299999999999"/>
    <n v="53.957000000000001"/>
    <n v="1.7801200000000001E-3"/>
    <n v="0.47"/>
    <n v="4.5140000000000002"/>
    <s v=""/>
    <n v="-49.442999999999998"/>
  </r>
  <r>
    <s v="South Korea"/>
    <x v="8"/>
    <x v="2"/>
    <n v="361.09181849999999"/>
    <n v="2.2913461700000002"/>
    <n v="0.42881974899999997"/>
    <n v="28.324764399999999"/>
    <n v="157.58937839999999"/>
    <n v="2.828504422"/>
    <n v="14.69507269"/>
    <n v="79.444999999999993"/>
    <n v="113.96299999999999"/>
    <n v="0"/>
    <n v="13.89998776"/>
    <n v="0.18714751800000001"/>
    <n v="217.88900000000001"/>
    <n v="193.47"/>
    <n v="55.905000000000001"/>
    <n v="2.7536959999999999E-3"/>
    <n v="0.39100000000000001"/>
    <n v="4.3609999999999998"/>
    <s v=""/>
    <n v="-51.544000000000004"/>
  </r>
  <r>
    <s v="South Korea"/>
    <x v="9"/>
    <x v="2"/>
    <n v="394.93746010000001"/>
    <n v="2.2634439710000001"/>
    <n v="0.421363249"/>
    <n v="32.234092019999999"/>
    <n v="174.48519379999999"/>
    <n v="2.5953356379999999"/>
    <n v="14.73773664"/>
    <n v="86.697999999999993"/>
    <n v="120.349"/>
    <n v="0"/>
    <n v="16.926018490000001"/>
    <n v="0.18616023000000001"/>
    <n v="237.50299999999999"/>
    <n v="214.215"/>
    <n v="59.152999999999999"/>
    <n v="4.6315200000000001E-3"/>
    <n v="0.44600000000000001"/>
    <n v="4.1970000000000001"/>
    <s v=""/>
    <n v="-54.955999999999996"/>
  </r>
  <r>
    <s v="South Korea"/>
    <x v="10"/>
    <x v="2"/>
    <n v="446.53011099999998"/>
    <n v="2.3490024530000002"/>
    <n v="0.43737483900000002"/>
    <n v="36.37663165"/>
    <n v="190.09350559999999"/>
    <n v="1.968455085"/>
    <n v="16.811856850000002"/>
    <n v="89.501000000000005"/>
    <n v="122"/>
    <n v="0"/>
    <n v="18.93198864"/>
    <n v="0.18619599100000001"/>
    <n v="290.12599999999998"/>
    <n v="263.12200000000001"/>
    <n v="71.843999999999994"/>
    <n v="7.5829119999999998E-3"/>
    <n v="0.67"/>
    <n v="8.3000000000000007"/>
    <s v=""/>
    <n v="-63.543999999999997"/>
  </r>
  <r>
    <s v="South Korea"/>
    <x v="11"/>
    <x v="2"/>
    <n v="464.09309259999998"/>
    <n v="2.3999786040000002"/>
    <n v="0.43489728799999999"/>
    <n v="37.25559166"/>
    <n v="193.3738458"/>
    <n v="1.9549263889999999"/>
    <n v="17.59564743"/>
    <n v="89.272000000000006"/>
    <n v="119.208"/>
    <n v="0"/>
    <n v="20.879982729999998"/>
    <n v="0.18120881899999999"/>
    <n v="310.95800000000003"/>
    <n v="281.572"/>
    <n v="77.838999999999999"/>
    <n v="6.11015E-3"/>
    <n v="0.57199999999999995"/>
    <n v="7.6340000000000003"/>
    <s v=""/>
    <n v="-70.204999999999998"/>
  </r>
  <r>
    <s v="South Korea"/>
    <x v="12"/>
    <x v="2"/>
    <n v="461.84074579999998"/>
    <n v="2.2923548490000001"/>
    <n v="0.40284541699999998"/>
    <n v="37.661222709999997"/>
    <n v="201.4700062"/>
    <n v="1.6608312590000001"/>
    <n v="17.93299665"/>
    <n v="89.519000000000005"/>
    <n v="111.27"/>
    <n v="0"/>
    <n v="23.32298509"/>
    <n v="0.175734318"/>
    <n v="331.88200000000001"/>
    <n v="300.786"/>
    <n v="74.891968390000002"/>
    <n v="6.6288620000000001E-3"/>
    <n v="0.52800000000000002"/>
    <n v="3.3180000000000001"/>
    <s v=""/>
    <n v="-71.573968390000005"/>
  </r>
  <r>
    <s v="South Korea"/>
    <x v="13"/>
    <x v="2"/>
    <n v="464.85050239999998"/>
    <n v="2.2586121760000002"/>
    <n v="0.39391628499999998"/>
    <n v="41.056479830000001"/>
    <n v="205.8124487"/>
    <n v="2.0637789980000001"/>
    <n v="18.59337524"/>
    <n v="90.006"/>
    <n v="110.59399999999999"/>
    <n v="0"/>
    <n v="24.30198412"/>
    <n v="0.17440634099999999"/>
    <n v="345.19200000000001"/>
    <n v="318.06200000000001"/>
    <n v="79.619031609999993"/>
    <n v="9.5598969999999995E-3"/>
    <n v="0.499"/>
    <n v="3.298"/>
    <s v=""/>
    <n v="-76.321031609999991"/>
  </r>
  <r>
    <s v="South Korea"/>
    <x v="14"/>
    <x v="2"/>
    <n v="487.68005099999999"/>
    <n v="2.2985356609999998"/>
    <n v="0.39395878899999998"/>
    <n v="42.151639490000001"/>
    <n v="212.16988670000001"/>
    <n v="1.6788804930000001"/>
    <n v="19.539873119999999"/>
    <n v="88.338999999999999"/>
    <n v="116.117"/>
    <n v="0"/>
    <n v="28.64999736"/>
    <n v="0.17139555200000001"/>
    <n v="368.16199999999998"/>
    <n v="337.93799999999999"/>
    <n v="80.924968849999999"/>
    <n v="1.5482315E-2"/>
    <n v="0.437"/>
    <n v="3.1909999999999998"/>
    <s v=""/>
    <n v="-77.733968849999997"/>
  </r>
  <r>
    <s v="South Korea"/>
    <x v="15"/>
    <x v="2"/>
    <n v="492.73955569999998"/>
    <n v="2.302957079"/>
    <n v="0.38301759499999999"/>
    <n v="46.63766013"/>
    <n v="213.9595046"/>
    <n v="1.429928863"/>
    <n v="20.435561159999999"/>
    <n v="87.697999999999993"/>
    <n v="120.126"/>
    <n v="0.49200004800000002"/>
    <n v="30.477011919999999"/>
    <n v="0.166315559"/>
    <n v="389.39"/>
    <n v="357.62700000000001"/>
    <n v="82.974031609999997"/>
    <n v="3.7237731000000003E-2"/>
    <n v="0.53300000000000003"/>
    <n v="2.8319999999999999"/>
    <s v=""/>
    <n v="-80.142031610000004"/>
  </r>
  <r>
    <s v="South Korea"/>
    <x v="16"/>
    <x v="2"/>
    <n v="495.85633059999998"/>
    <n v="2.2766009170000001"/>
    <n v="0.36647121999999999"/>
    <n v="47.817582340000001"/>
    <n v="217.80555699999999"/>
    <n v="1.427896075"/>
    <n v="20.922710630000001"/>
    <n v="86.54"/>
    <n v="122.80200000000001"/>
    <n v="0.43800046500000001"/>
    <n v="32.203989569999997"/>
    <n v="0.16097297399999999"/>
    <n v="404.02100000000002"/>
    <n v="371.35399999999998"/>
    <n v="86.015968849999993"/>
    <n v="6.8560792999999995E-2"/>
    <n v="0.56999999999999995"/>
    <n v="2.8239999999999998"/>
    <s v=""/>
    <n v="-83.191968849999995"/>
  </r>
  <r>
    <s v="South Korea"/>
    <x v="17"/>
    <x v="2"/>
    <n v="517.02605430000006"/>
    <n v="2.2802700730000001"/>
    <n v="0.36232198599999998"/>
    <n v="47.104480539999997"/>
    <n v="226.73895540000001"/>
    <n v="1.396624512"/>
    <n v="21.23363535"/>
    <n v="89.435000000000002"/>
    <n v="123.003"/>
    <n v="0.353999693"/>
    <n v="34.851988179999999"/>
    <n v="0.15889433"/>
    <n v="427.31599999999997"/>
    <n v="392.65600000000001"/>
    <n v="93.128"/>
    <n v="0.106244559"/>
    <n v="0.57999999999999996"/>
    <n v="2.8860000000000001"/>
    <s v=""/>
    <n v="-90.242000000000004"/>
  </r>
  <r>
    <s v="South Korea"/>
    <x v="18"/>
    <x v="2"/>
    <n v="530.31917469999996"/>
    <n v="2.286158919"/>
    <n v="0.36141238799999997"/>
    <n v="49.603420640000003"/>
    <n v="231.9695146"/>
    <n v="1.5386545229999999"/>
    <n v="21.595201329999998"/>
    <n v="84.387"/>
    <n v="120.336"/>
    <n v="0.21700018400000001"/>
    <n v="35.830985849999998"/>
    <n v="0.158087167"/>
    <n v="446.42899999999997"/>
    <n v="408.04199999999997"/>
    <n v="103.7160312"/>
    <n v="0.16598384099999999"/>
    <n v="0.53600000000000003"/>
    <n v="2.7730000000000001"/>
    <s v=""/>
    <n v="-100.94303120000001"/>
  </r>
  <r>
    <s v="South Korea"/>
    <x v="19"/>
    <x v="2"/>
    <n v="542.28920540000001"/>
    <n v="2.3142451799999999"/>
    <n v="0.36697358600000002"/>
    <n v="49.390214579999999"/>
    <n v="234.3266003"/>
    <n v="1.6534507949999999"/>
    <n v="21.894015"/>
    <n v="86.69"/>
    <n v="116.72199999999999"/>
    <n v="0.50099988699999998"/>
    <n v="34.412988300000002"/>
    <n v="0.158571611"/>
    <n v="454.50400000000002"/>
    <n v="414.69"/>
    <n v="107.657"/>
    <n v="0.29482688800000001"/>
    <n v="0.69099999999999995"/>
    <n v="2.5190000000000001"/>
    <s v=""/>
    <n v="-105.13799999999999"/>
  </r>
  <r>
    <s v="South Korea"/>
    <x v="20"/>
    <x v="2"/>
    <n v="593.86557479999999"/>
    <n v="2.3234331930000001"/>
    <n v="0.37735965399999999"/>
    <n v="50.521541970000001"/>
    <n v="255.59830020000001"/>
    <n v="1.7969682170000001"/>
    <n v="22.50149498"/>
    <n v="89.320999999999998"/>
    <n v="120.06"/>
    <n v="0.54099967199999999"/>
    <n v="43.165024510000002"/>
    <n v="0.16241467800000001"/>
    <n v="499.50799999999998"/>
    <n v="458.47300000000001"/>
    <n v="120.0550628"/>
    <n v="0.35755183099999999"/>
    <n v="0.69699999999999995"/>
    <n v="2.0840000000000001"/>
    <s v="Above Average"/>
    <n v="-117.9710628"/>
  </r>
  <r>
    <s v="South Korea"/>
    <x v="21"/>
    <x v="2"/>
    <n v="625.59499779999999"/>
    <n v="2.3473321870000001"/>
    <n v="0.38340565999999998"/>
    <n v="53.027181149999997"/>
    <n v="266.51319369999999"/>
    <n v="2.0470641289999998"/>
    <n v="22.790839040000002"/>
    <n v="88.869"/>
    <n v="128.27600000000001"/>
    <n v="0.45300050800000002"/>
    <n v="46.460028579999999"/>
    <n v="0.16333677099999999"/>
    <n v="523.28599999999994"/>
    <n v="480.95800000000003"/>
    <n v="129.62493720000001"/>
    <n v="0.39653268000000003"/>
    <n v="0.70599999999999996"/>
    <n v="2.0840000000000001"/>
    <s v="Above Average"/>
    <n v="-127.5409372"/>
  </r>
  <r>
    <s v="South Korea"/>
    <x v="22"/>
    <x v="2"/>
    <n v="630.84081419999995"/>
    <n v="2.3320085119999998"/>
    <n v="0.37795637700000001"/>
    <n v="53.297158789999997"/>
    <n v="270.51394149999999"/>
    <n v="2.015644816"/>
    <n v="22.64597826"/>
    <n v="92.141999999999996"/>
    <n v="131.89699999999999"/>
    <n v="0.436"/>
    <n v="50.222038159999997"/>
    <n v="0.16207332599999999"/>
    <n v="534.61800000000005"/>
    <n v="492.56799999999998"/>
    <n v="128.03224449999999"/>
    <n v="0.45078916200000002"/>
    <n v="0.71699999999999997"/>
    <n v="2.0939999999999999"/>
    <s v="Above Average"/>
    <n v="-125.9382445"/>
  </r>
  <r>
    <s v="South Korea"/>
    <x v="23"/>
    <x v="2"/>
    <n v="628.15813879999996"/>
    <n v="2.3136346460000001"/>
    <n v="0.36575605700000002"/>
    <n v="51.275222120000002"/>
    <n v="271.50273700000002"/>
    <n v="2.3778773279999998"/>
    <n v="22.566035580000001"/>
    <n v="92.335999999999999"/>
    <n v="127.09399999999999"/>
    <n v="0.46300044800000001"/>
    <n v="52.558960740000003"/>
    <n v="0.158087215"/>
    <n v="541.99599999999998"/>
    <n v="498.16199999999998"/>
    <n v="126.044065"/>
    <n v="0.70424874000000004"/>
    <n v="0.60399999999999998"/>
    <n v="1.8149999999999999"/>
    <s v="Above Average"/>
    <n v="-124.22906500000001"/>
  </r>
  <r>
    <s v="South Korea"/>
    <x v="24"/>
    <x v="2"/>
    <n v="624.28740300000004"/>
    <n v="2.2551900890000001"/>
    <n v="0.35174875300000003"/>
    <n v="57.526130080000001"/>
    <n v="276.82251980000001"/>
    <n v="2.4723469599999999"/>
    <n v="22.28504423"/>
    <n v="92.944000000000003"/>
    <n v="129.26"/>
    <n v="0.32200035999999999"/>
    <n v="47.396966040000002"/>
    <n v="0.155972995"/>
    <n v="550.93399999999997"/>
    <n v="499.04599999999999"/>
    <n v="130.8947201"/>
    <n v="0.93259809699999996"/>
    <n v="0.78200000000000003"/>
    <n v="1.748"/>
    <s v="Above Average"/>
    <n v="-129.14672010000001"/>
  </r>
  <r>
    <s v="South Korea"/>
    <x v="25"/>
    <x v="2"/>
    <n v="638.43309239999996"/>
    <n v="2.2558917859999998"/>
    <n v="0.34995444999999997"/>
    <n v="61.735653970000001"/>
    <n v="283.00696699999997"/>
    <n v="2.5858653110000001"/>
    <n v="21.99253813"/>
    <n v="97.742999999999995"/>
    <n v="140.34800000000001"/>
    <n v="0.18799998100000001"/>
    <n v="44.321973759999999"/>
    <n v="0.15512909499999999"/>
    <n v="552.697"/>
    <n v="506.64499999999998"/>
    <n v="135.01205859999999"/>
    <n v="1.2491473630000001"/>
    <n v="0.65800000000000003"/>
    <n v="1.764"/>
    <s v="Above Average"/>
    <n v="-133.24805859999998"/>
  </r>
  <r>
    <s v="South Korea"/>
    <x v="26"/>
    <x v="2"/>
    <n v="655.90029890000005"/>
    <n v="2.2359054359999999"/>
    <n v="0.349297052"/>
    <n v="62.376744260000002"/>
    <n v="293.3488547"/>
    <n v="3.4964264319999998"/>
    <n v="22.28010016"/>
    <n v="102.239"/>
    <n v="146.37700000000001"/>
    <n v="0.15399990899999999"/>
    <n v="47.024044689999997"/>
    <n v="0.15622174599999999"/>
    <n v="562.60299999999995"/>
    <n v="530.14200000000005"/>
    <n v="134.95803119999999"/>
    <n v="1.5012362180000001"/>
    <n v="0.68899999999999995"/>
    <n v="1.726"/>
    <s v="Above Average"/>
    <n v="-133.23203119999999"/>
  </r>
  <r>
    <s v="South Korea"/>
    <x v="27"/>
    <x v="2"/>
    <n v="665.3422564"/>
    <n v="2.2550458199999999"/>
    <n v="0.34379566299999997"/>
    <n v="61.898581980000003"/>
    <n v="295.0460033"/>
    <n v="4.0233007369999996"/>
    <n v="21.84219998"/>
    <n v="102.942633"/>
    <n v="153.46199999999999"/>
    <n v="0.34048788899999999"/>
    <n v="48.75451383"/>
    <n v="0.152456176"/>
    <n v="566.87957200000005"/>
    <n v="538.38446099999999"/>
    <n v="138.46640830000001"/>
    <n v="1.972903691"/>
    <n v="0.71799999999999997"/>
    <n v="1.486"/>
    <s v="Above Average"/>
    <n v="-136.98040830000002"/>
  </r>
  <r>
    <s v="South Korea"/>
    <x v="28"/>
    <x v="2"/>
    <n v="667.37589620000006"/>
    <n v="2.2561038070000001"/>
    <n v="0.33588405300000002"/>
    <n v="58.801914979999999"/>
    <n v="295.80903769999998"/>
    <n v="4.5647314449999996"/>
    <n v="22.20875938"/>
    <n v="99.990797999999998"/>
    <n v="158.50700000000001"/>
    <n v="0.29119700799999998"/>
    <n v="54.111919380000003"/>
    <n v="0.14887792499999999"/>
    <n v="590.11116700000002"/>
    <n v="545.48393799999997"/>
    <n v="139.01012499999999"/>
    <n v="2.359433235"/>
    <n v="0.77400000000000002"/>
    <n v="1.1399999999999999"/>
    <s v="Above Average"/>
    <n v="-137.870125"/>
  </r>
  <r>
    <s v="South Korea"/>
    <x v="29"/>
    <x v="2"/>
    <n v="608.42142479999995"/>
    <n v="2.0797284559999998"/>
    <n v="0.300093903"/>
    <n v="62.123976689999999"/>
    <n v="292.54849259999997"/>
    <n v="5.3431683889999997"/>
    <n v="22.26020647"/>
    <n v="99.685346999999993"/>
    <n v="157.47901429999999"/>
    <n v="0.24639746800000001"/>
    <n v="52.455993550000002"/>
    <n v="0.144294753"/>
    <n v="582.24470029999998"/>
    <n v="538.37059050000005"/>
    <n v="131.0825141"/>
    <n v="3.1614248090000001"/>
    <n v="0.63476190499999996"/>
    <n v="1.0298"/>
    <s v="Above Average"/>
    <n v="-130.0527141"/>
  </r>
  <r>
    <s v="South Korea"/>
    <x v="30"/>
    <x v="2"/>
    <n v="569.76794829999994"/>
    <n v="2.015087861"/>
    <n v="0.28386738299999997"/>
    <n v="67.116437540000007"/>
    <n v="282.75092080000002"/>
    <n v="7.0737981630000002"/>
    <n v="22.684857010000002"/>
    <n v="93.926855549999999"/>
    <n v="145.9620898"/>
    <n v="0.17670929599999999"/>
    <n v="53.030576779999997"/>
    <n v="0.14087097100000001"/>
    <n v="570.99876549999999"/>
    <n v="525.53026550000004"/>
    <n v="114.85771819999999"/>
    <n v="5.1593227600000002"/>
    <n v="0.42180952399999999"/>
    <n v="0.96804999999999997"/>
    <s v="Above Average"/>
    <n v="-113.88966819999999"/>
  </r>
  <r>
    <s v="Spain"/>
    <x v="0"/>
    <x v="3"/>
    <n v="205.4938372"/>
    <n v="2.280856011"/>
    <n v="0.20550056799999999"/>
    <n v="34.61267101"/>
    <n v="90.095050369999996"/>
    <n v="17.606945620000001"/>
    <n v="17.554089300000001"/>
    <n v="43.5"/>
    <n v="53.084000000000003"/>
    <n v="1.4709987630000001"/>
    <n v="5.7419997220000001"/>
    <n v="9.0098000999999997E-2"/>
    <n v="151.923"/>
    <n v="129.161"/>
    <n v="47.563000000000002"/>
    <n v="1.5139247999999999E-2"/>
    <n v="1.1439999999999999"/>
    <n v="0"/>
    <s v=""/>
    <n v="-47.563000000000002"/>
  </r>
  <r>
    <s v="Spain"/>
    <x v="1"/>
    <x v="3"/>
    <n v="214.2438472"/>
    <n v="2.2925660290000001"/>
    <n v="0.20893146800000001"/>
    <n v="34.358193030000002"/>
    <n v="93.451549270000001"/>
    <n v="18.524271349999999"/>
    <n v="17.248067949999999"/>
    <n v="45.838000000000001"/>
    <n v="55.079000000000001"/>
    <n v="1.376001391"/>
    <n v="6.4440030290000001"/>
    <n v="9.113433E-2"/>
    <n v="155.80099999999999"/>
    <n v="132.07499999999999"/>
    <n v="47.72"/>
    <n v="1.6687955000000001E-2"/>
    <n v="1.4219999999999999"/>
    <n v="0"/>
    <s v=""/>
    <n v="-47.72"/>
  </r>
  <r>
    <s v="Spain"/>
    <x v="2"/>
    <x v="3"/>
    <n v="224.57176620000001"/>
    <n v="2.3591909680000001"/>
    <n v="0.21698702"/>
    <n v="33.733952109999997"/>
    <n v="95.190160219999996"/>
    <n v="13.62382026"/>
    <n v="17.362467819999999"/>
    <n v="47.661999999999999"/>
    <n v="56.978999999999999"/>
    <n v="1.2589987949999999"/>
    <n v="6.8089922820000002"/>
    <n v="9.1975182000000003E-2"/>
    <n v="158.72200000000001"/>
    <n v="134.25200000000001"/>
    <n v="47.222000000000001"/>
    <n v="7.2453723999999997E-2"/>
    <n v="1.4019999999999999"/>
    <n v="35.682000000000002"/>
    <s v=""/>
    <n v="-11.54"/>
  </r>
  <r>
    <s v="Spain"/>
    <x v="3"/>
    <x v="3"/>
    <n v="210.7366926"/>
    <n v="2.3081692110000001"/>
    <n v="0.20574142100000001"/>
    <n v="32.945116489999997"/>
    <n v="91.300365510000006"/>
    <n v="16.892003930000001"/>
    <n v="17.739630080000001"/>
    <n v="45.308999999999997"/>
    <n v="54.491999999999997"/>
    <n v="0.678000088"/>
    <n v="6.7039975810000003"/>
    <n v="8.9136195000000001E-2"/>
    <n v="156.80199999999999"/>
    <n v="134.101"/>
    <n v="44.527000000000001"/>
    <n v="8.2269359E-2"/>
    <n v="1.1020000000000001"/>
    <n v="33.561999999999998"/>
    <s v=""/>
    <n v="-10.965000000000003"/>
  </r>
  <r>
    <s v="Spain"/>
    <x v="4"/>
    <x v="3"/>
    <n v="218.9457567"/>
    <n v="2.272610845"/>
    <n v="0.208780258"/>
    <n v="32.251580199999999"/>
    <n v="96.341068309999997"/>
    <n v="18.54213391"/>
    <n v="17.700979910000001"/>
    <n v="48.558"/>
    <n v="55.564"/>
    <n v="0.205999765"/>
    <n v="7.1460080389999998"/>
    <n v="9.1868019999999995E-2"/>
    <n v="161.85300000000001"/>
    <n v="139.99799999999999"/>
    <n v="43.195999999999998"/>
    <n v="0.117390472"/>
    <n v="0.94799999999999995"/>
    <n v="33.470999999999997"/>
    <s v=""/>
    <n v="-9.7250000000000014"/>
  </r>
  <r>
    <s v="Spain"/>
    <x v="5"/>
    <x v="3"/>
    <n v="231.53086949999999"/>
    <n v="2.2973364350000001"/>
    <n v="0.2148564"/>
    <n v="31.511081409999999"/>
    <n v="100.78230859999999"/>
    <n v="15.48267401"/>
    <n v="17.416459029999999"/>
    <n v="51.957000000000001"/>
    <n v="55.781999999999996"/>
    <n v="0.43800003999999998"/>
    <n v="8.9189934009999998"/>
    <n v="9.3524133999999995E-2"/>
    <n v="167.09"/>
    <n v="145.53700000000001"/>
    <n v="43.395000000000003"/>
    <n v="0.17355915999999999"/>
    <n v="0.78300000000000003"/>
    <n v="31.582999999999998"/>
    <s v=""/>
    <n v="-11.812000000000005"/>
  </r>
  <r>
    <s v="Spain"/>
    <x v="6"/>
    <x v="3"/>
    <n v="221.5907297"/>
    <n v="2.2315457680000002"/>
    <n v="0.200303022"/>
    <n v="32.696556770000001"/>
    <n v="99.299209050000002"/>
    <n v="24.268739360000001"/>
    <n v="18.10024679"/>
    <n v="50.752000000000002"/>
    <n v="53.774999999999999"/>
    <n v="0.49199991100000001"/>
    <n v="9.9819992499999994"/>
    <n v="8.9759764000000006E-2"/>
    <n v="174.459"/>
    <n v="151.51599999999999"/>
    <n v="37.045999999999999"/>
    <n v="0.218962622"/>
    <n v="0.51200000000000001"/>
    <n v="29.632999999999999"/>
    <s v=""/>
    <n v="-7.4130000000000003"/>
  </r>
  <r>
    <s v="Spain"/>
    <x v="7"/>
    <x v="3"/>
    <n v="240.8269296"/>
    <n v="2.2818184829999999"/>
    <n v="0.209918831"/>
    <n v="31.69868262"/>
    <n v="105.54166840000001"/>
    <n v="20.07646978"/>
    <n v="18.496499150000002"/>
    <n v="53.116"/>
    <n v="56.68"/>
    <n v="0.187999891"/>
    <n v="13.06101016"/>
    <n v="9.1996287999999996E-2"/>
    <n v="190.40199999999999"/>
    <n v="163.44"/>
    <n v="40.966999999999999"/>
    <n v="0.39968067600000001"/>
    <n v="0.371"/>
    <n v="28.305"/>
    <s v=""/>
    <n v="-12.661999999999999"/>
  </r>
  <r>
    <s v="Spain"/>
    <x v="8"/>
    <x v="3"/>
    <n v="249.19842969999999"/>
    <n v="2.2476926009999998"/>
    <n v="0.20807510300000001"/>
    <n v="32.336817289999999"/>
    <n v="110.8685545"/>
    <n v="19.829829520000001"/>
    <n v="18.06265806"/>
    <n v="57.084000000000003"/>
    <n v="61.576999999999998"/>
    <n v="0.118000094"/>
    <n v="13.40901247"/>
    <n v="9.2572758000000005E-2"/>
    <n v="195.21600000000001"/>
    <n v="169.673"/>
    <n v="39.518999999999998"/>
    <n v="0.70383575099999995"/>
    <n v="0.52900000000000003"/>
    <n v="26.99"/>
    <s v=""/>
    <n v="-12.529"/>
  </r>
  <r>
    <s v="Spain"/>
    <x v="9"/>
    <x v="3"/>
    <n v="270.35971369999999"/>
    <n v="2.3259497740000001"/>
    <n v="0.216042913"/>
    <n v="30.6601116"/>
    <n v="116.23626470000001"/>
    <n v="14.321454810000001"/>
    <n v="18.869223139999999"/>
    <n v="59.152000000000001"/>
    <n v="60.703000000000003"/>
    <n v="0.15099996500000001"/>
    <n v="15.349016199999999"/>
    <n v="9.2883739000000007E-2"/>
    <n v="208.24700000000001"/>
    <n v="181.65199999999999"/>
    <n v="43.398000000000003"/>
    <n v="1.329671016"/>
    <n v="0.29899999999999999"/>
    <n v="26.49"/>
    <s v=""/>
    <n v="-16.908000000000005"/>
  </r>
  <r>
    <s v="Spain"/>
    <x v="10"/>
    <x v="3"/>
    <n v="286.47534389999998"/>
    <n v="2.3604929110000001"/>
    <n v="0.21751024499999999"/>
    <n v="31.48743867"/>
    <n v="121.3625097"/>
    <n v="16.947181780000001"/>
    <n v="18.79992257"/>
    <n v="60.816000000000003"/>
    <n v="59.682000000000002"/>
    <n v="0.17099983899999999"/>
    <n v="17.577984570000002"/>
    <n v="9.2146112000000002E-2"/>
    <n v="224.46799999999999"/>
    <n v="194.709"/>
    <n v="45.735999999999997"/>
    <n v="2.1121050659999998"/>
    <n v="0.22700000000000001"/>
    <n v="26.138000000000002"/>
    <s v=""/>
    <n v="-19.597999999999995"/>
  </r>
  <r>
    <s v="Spain"/>
    <x v="11"/>
    <x v="3"/>
    <n v="286.74312509999999"/>
    <n v="2.3022184970000001"/>
    <n v="0.20947501700000001"/>
    <n v="33.406657760000002"/>
    <n v="124.5507868"/>
    <n v="22.145350709999999"/>
    <n v="19.132646260000001"/>
    <n v="63.003999999999998"/>
    <n v="57.652000000000001"/>
    <n v="0.54400007900000003"/>
    <n v="18.94202121"/>
    <n v="9.0988330000000006E-2"/>
    <n v="236.036"/>
    <n v="207.297"/>
    <n v="41.613"/>
    <n v="2.8707485300000002"/>
    <n v="0.33800000000000002"/>
    <n v="24.298999999999999"/>
    <s v=""/>
    <n v="-17.314"/>
  </r>
  <r>
    <s v="Spain"/>
    <x v="12"/>
    <x v="3"/>
    <n v="303.94270360000002"/>
    <n v="2.3694175670000002"/>
    <n v="0.216137106"/>
    <n v="31.60586648"/>
    <n v="128.2773909"/>
    <n v="15.60148764"/>
    <n v="19.294748899999998"/>
    <n v="63.573999999999998"/>
    <n v="57.802999999999997"/>
    <n v="0.53900047399999995"/>
    <n v="21.65700056"/>
    <n v="9.1219509000000004E-2"/>
    <n v="244.95099999999999"/>
    <n v="211.86600000000001"/>
    <n v="45.908000000000001"/>
    <n v="3.8211723979999999"/>
    <n v="0.316"/>
    <n v="23.471"/>
    <s v=""/>
    <n v="-22.437000000000001"/>
  </r>
  <r>
    <s v="Spain"/>
    <x v="13"/>
    <x v="3"/>
    <n v="310.3074355"/>
    <n v="2.3383215329999998"/>
    <n v="0.214273722"/>
    <n v="32.93417281"/>
    <n v="132.70520379999999"/>
    <n v="22.698365209999999"/>
    <n v="19.414106480000001"/>
    <n v="65.319000000000003"/>
    <n v="57.854999999999997"/>
    <n v="0.226999802"/>
    <n v="24.548995850000001"/>
    <n v="9.1635696000000003E-2"/>
    <n v="260.70600000000002"/>
    <n v="224.26599999999999"/>
    <n v="42.486632319999998"/>
    <n v="4.6393255240000002"/>
    <n v="0.32200000000000001"/>
    <n v="22.678000000000001"/>
    <s v=""/>
    <n v="-19.808632319999997"/>
  </r>
  <r>
    <s v="Spain"/>
    <x v="14"/>
    <x v="3"/>
    <n v="325.80972359999998"/>
    <n v="2.3483095390000002"/>
    <n v="0.21816551100000001"/>
    <n v="32.790006200000001"/>
    <n v="138.74223910000001"/>
    <n v="19.106348780000001"/>
    <n v="19.86135372"/>
    <n v="66.796000000000006"/>
    <n v="59.898000000000003"/>
    <n v="0.35799979599999998"/>
    <n v="28.493965880000001"/>
    <n v="9.2903216999999996E-2"/>
    <n v="279.97500000000002"/>
    <n v="237.03800000000001"/>
    <n v="44.673999999999999"/>
    <n v="6.6745245110000004"/>
    <n v="0.255"/>
    <n v="22.033999999999999"/>
    <s v=""/>
    <n v="-22.64"/>
  </r>
  <r>
    <s v="Spain"/>
    <x v="15"/>
    <x v="3"/>
    <n v="339.7152706"/>
    <n v="2.3948010900000001"/>
    <n v="0.219461984"/>
    <n v="30.591524769999999"/>
    <n v="141.8553182"/>
    <n v="15.948504509999999"/>
    <n v="20.309785380000001"/>
    <n v="67.549000000000007"/>
    <n v="60.720999999999997"/>
    <n v="0.16700013499999999"/>
    <n v="33.634011719999997"/>
    <n v="9.1641006999999997E-2"/>
    <n v="294.084"/>
    <n v="248.46899999999999"/>
    <n v="43.898000000000003"/>
    <n v="8.9151398919999991"/>
    <n v="0.16600000000000001"/>
    <n v="20.562000000000001"/>
    <s v=""/>
    <n v="-23.336000000000002"/>
  </r>
  <r>
    <s v="Spain"/>
    <x v="16"/>
    <x v="3"/>
    <n v="330.738338"/>
    <n v="2.340311142"/>
    <n v="0.20524220200000001"/>
    <n v="31.36877853"/>
    <n v="141.32237889999999"/>
    <n v="18.709343480000001"/>
    <n v="21.199603809999999"/>
    <n v="66.248999999999995"/>
    <n v="61.261000000000003"/>
    <n v="7.2999974999999995E-2"/>
    <n v="36.088012280000001"/>
    <n v="8.7698682E-2"/>
    <n v="299.45999999999998"/>
    <n v="254.04"/>
    <n v="38.816000000000003"/>
    <n v="7.9312762970000001"/>
    <n v="0.13900000000000001"/>
    <n v="20.486999999999998"/>
    <s v=""/>
    <n v="-18.329000000000004"/>
  </r>
  <r>
    <s v="Spain"/>
    <x v="17"/>
    <x v="3"/>
    <n v="344.45818350000002"/>
    <n v="2.4027016589999999"/>
    <n v="0.206319"/>
    <n v="30.319957899999999"/>
    <n v="143.36286079999999"/>
    <n v="20.161018030000001"/>
    <n v="21.07703613"/>
    <n v="66.662999999999997"/>
    <n v="59.723999999999997"/>
    <n v="1.7999995000000001E-2"/>
    <n v="36.78696901"/>
    <n v="8.5869587999999997E-2"/>
    <n v="305.05900000000003"/>
    <n v="257.64299999999997"/>
    <n v="41.488999999999997"/>
    <n v="9.3119691600000003"/>
    <n v="0.14199999999999999"/>
    <n v="19.481000000000002"/>
    <s v=""/>
    <n v="-22.007999999999996"/>
  </r>
  <r>
    <s v="Spain"/>
    <x v="18"/>
    <x v="3"/>
    <n v="315.7315117"/>
    <n v="2.2780450299999999"/>
    <n v="0.18744972800000001"/>
    <n v="30.377901009999999"/>
    <n v="138.5975727"/>
    <n v="20.69206204"/>
    <n v="22.25931508"/>
    <n v="63.372"/>
    <n v="60.405999999999999"/>
    <n v="1.7000017999999999E-2"/>
    <n v="40.319001010000001"/>
    <n v="8.2285347999999994E-2"/>
    <n v="313.75799999999998"/>
    <n v="260.95999999999998"/>
    <n v="25.613"/>
    <n v="11.419947860000001"/>
    <n v="0.127"/>
    <n v="18.446999999999999"/>
    <s v=""/>
    <n v="-7.1660000000000004"/>
  </r>
  <r>
    <s v="Spain"/>
    <x v="19"/>
    <x v="3"/>
    <n v="280.51737370000001"/>
    <n v="2.2017709110000001"/>
    <n v="0.17305558500000001"/>
    <n v="30.389552519999999"/>
    <n v="127.40534100000001"/>
    <n v="26.077998780000001"/>
    <n v="22.542697260000001"/>
    <n v="58.976999999999997"/>
    <n v="57.021999999999998"/>
    <n v="1.400001E-2"/>
    <n v="36.032033460000001"/>
    <n v="7.8598361000000005E-2"/>
    <n v="294.62"/>
    <n v="247.161"/>
    <n v="18.731000000000002"/>
    <n v="15.11166927"/>
    <n v="0.105"/>
    <n v="17.181999999999999"/>
    <s v=""/>
    <n v="-1.549000000000003"/>
  </r>
  <r>
    <s v="Spain"/>
    <x v="20"/>
    <x v="3"/>
    <n v="266.98901690000002"/>
    <n v="2.1006777570000001"/>
    <n v="0.16444167200000001"/>
    <n v="34.266920030000001"/>
    <n v="127.0966078"/>
    <n v="33.490533190000001"/>
    <n v="22.688224009999999"/>
    <n v="57.481999999999999"/>
    <n v="57.432000000000002"/>
    <n v="5.0999957999999998E-2"/>
    <n v="35.824030610000001"/>
    <n v="7.8280294E-2"/>
    <n v="301.52699999999999"/>
    <n v="250.16900000000001"/>
    <n v="14.510999999999999"/>
    <n v="17.118201689999999"/>
    <n v="0.123"/>
    <n v="10.186999999999999"/>
    <s v=""/>
    <n v="-4.3239999999999998"/>
  </r>
  <r>
    <s v="Spain"/>
    <x v="21"/>
    <x v="3"/>
    <n v="270.34359990000002"/>
    <n v="2.160608587"/>
    <n v="0.16787492800000001"/>
    <n v="31.784998219999999"/>
    <n v="125.12381999999999"/>
    <n v="30.572713010000001"/>
    <n v="23.38601375"/>
    <n v="53.664000000000001"/>
    <n v="56.512"/>
    <n v="5.199997E-2"/>
    <n v="33.250024089999997"/>
    <n v="7.7697981999999999E-2"/>
    <n v="293.84699999999998"/>
    <n v="248.83500000000001"/>
    <n v="24.693999999999999"/>
    <n v="17.862356940000002"/>
    <n v="0.1"/>
    <n v="9.4450000000000003"/>
    <s v=""/>
    <n v="-15.248999999999999"/>
  </r>
  <r>
    <s v="Spain"/>
    <x v="22"/>
    <x v="3"/>
    <n v="265.48769670000001"/>
    <n v="2.1344234059999998"/>
    <n v="0.169887278"/>
    <n v="32.798166389999999"/>
    <n v="124.38380119999999"/>
    <n v="30.44068571"/>
    <n v="24.21304014"/>
    <n v="49.451000000000001"/>
    <n v="61.234999999999999"/>
    <n v="6.1000005000000003E-2"/>
    <n v="32.397026230000002"/>
    <n v="7.9593991000000003E-2"/>
    <n v="297.55900000000003"/>
    <n v="245.50299999999999"/>
    <n v="28.449000000000002"/>
    <n v="20.70681781"/>
    <n v="0.14199999999999999"/>
    <n v="8.43"/>
    <s v=""/>
    <n v="-20.019000000000002"/>
  </r>
  <r>
    <s v="Spain"/>
    <x v="23"/>
    <x v="3"/>
    <n v="238.27931950000001"/>
    <n v="2.0568097029999999"/>
    <n v="0.15469697499999999"/>
    <n v="33.898170630000003"/>
    <n v="115.8489865"/>
    <n v="40.468996709999999"/>
    <n v="24.189932930000001"/>
    <n v="46.750999999999998"/>
    <n v="60.322000000000003"/>
    <n v="5.6999952999999999E-2"/>
    <n v="29.627995240000001"/>
    <n v="7.5212099000000004E-2"/>
    <n v="285.63099999999997"/>
    <n v="235.18100000000001"/>
    <n v="21.149000000000001"/>
    <n v="24.06671545"/>
    <n v="0.36799999999999999"/>
    <n v="6.6210000000000004"/>
    <s v=""/>
    <n v="-14.528"/>
  </r>
  <r>
    <s v="Spain"/>
    <x v="24"/>
    <x v="3"/>
    <n v="236.0035556"/>
    <n v="2.0848391949999998"/>
    <n v="0.151128018"/>
    <n v="34.227792129999997"/>
    <n v="113.19988429999999"/>
    <n v="40.921973090000002"/>
    <n v="24.566008700000001"/>
    <n v="45.417000000000002"/>
    <n v="60.201000000000001"/>
    <n v="2.400002E-2"/>
    <n v="27.23100414"/>
    <n v="7.2489052999999998E-2"/>
    <n v="278.75"/>
    <n v="233.30600000000001"/>
    <n v="23.077999999999999"/>
    <n v="23.5644843"/>
    <n v="0.30499999999999999"/>
    <n v="6.181"/>
    <s v=""/>
    <n v="-16.896999999999998"/>
  </r>
  <r>
    <s v="Spain"/>
    <x v="25"/>
    <x v="3"/>
    <n v="251.6995005"/>
    <n v="2.1425136839999999"/>
    <n v="0.15522594300000001"/>
    <n v="32.701470149999999"/>
    <n v="117.47859649999999"/>
    <n v="35.710954719999997"/>
    <n v="24.755931560000001"/>
    <n v="47.863"/>
    <n v="64.739999999999995"/>
    <n v="6.2000068999999998E-2"/>
    <n v="28.203010339999999"/>
    <n v="7.2450386000000006E-2"/>
    <n v="280.911"/>
    <n v="238.54499999999999"/>
    <n v="26.058"/>
    <n v="22.569425899999999"/>
    <n v="0.23200000000000001"/>
    <n v="4.3680000000000003"/>
    <s v=""/>
    <n v="-21.689999999999998"/>
  </r>
  <r>
    <s v="Spain"/>
    <x v="26"/>
    <x v="3"/>
    <n v="242.84586379999999"/>
    <n v="2.0497661260000002"/>
    <n v="0.14535951899999999"/>
    <n v="33.289187630000001"/>
    <n v="118.4749132"/>
    <n v="39.342436640000003"/>
    <n v="24.121621609999998"/>
    <n v="49.491"/>
    <n v="64.77"/>
    <n v="5.4000019000000003E-2"/>
    <n v="28.76099176"/>
    <n v="7.0915172999999998E-2"/>
    <n v="274.77199999999999"/>
    <n v="239.821"/>
    <n v="19.821999999999999"/>
    <n v="22.802905679999999"/>
    <n v="0.14099999999999999"/>
    <n v="3.899"/>
    <s v=""/>
    <n v="-15.922999999999998"/>
  </r>
  <r>
    <s v="Spain"/>
    <x v="27"/>
    <x v="3"/>
    <n v="258.2111175"/>
    <n v="2.0714252399999999"/>
    <n v="0.15021284600000001"/>
    <n v="32.695783159999998"/>
    <n v="124.6538434"/>
    <n v="32.884820439999999"/>
    <n v="24.245501220000001"/>
    <n v="49.866999999999997"/>
    <n v="65.819000000000003"/>
    <n v="2.7000024000000001E-2"/>
    <n v="31.128963710000001"/>
    <n v="7.2516662999999995E-2"/>
    <n v="275.726"/>
    <n v="246.542"/>
    <n v="24.062999999999999"/>
    <n v="23.071817670000001"/>
    <n v="0.12"/>
    <n v="3.0640000000000001"/>
    <s v=""/>
    <n v="-20.998999999999999"/>
  </r>
  <r>
    <s v="Spain"/>
    <x v="28"/>
    <x v="3"/>
    <n v="253.42788909999999"/>
    <n v="2.0398523819999999"/>
    <n v="0.14404375"/>
    <n v="33.172502989999998"/>
    <n v="124.2383476"/>
    <n v="38.751402800000001"/>
    <n v="23.606584080000001"/>
    <n v="50.515999999999998"/>
    <n v="68.111999999999995"/>
    <n v="8.7000035000000003E-2"/>
    <n v="30.957002339999999"/>
    <n v="7.0614790999999996E-2"/>
    <n v="274.452"/>
    <n v="245.76900000000001"/>
    <n v="20.88"/>
    <n v="23.222275660000001"/>
    <n v="8.6999999999999994E-2"/>
    <n v="1.8"/>
    <s v=""/>
    <n v="-19.079999999999998"/>
  </r>
  <r>
    <s v="Spain"/>
    <x v="29"/>
    <x v="3"/>
    <n v="237.12690549999999"/>
    <n v="1.965245932"/>
    <n v="0.13216565499999999"/>
    <n v="33.140067819999999"/>
    <n v="120.66016860000001"/>
    <n v="37.633634479999998"/>
    <n v="23.538746"/>
    <n v="50.414697779999997"/>
    <n v="65.746895420000001"/>
    <n v="0.13030608900000001"/>
    <n v="35.317510370000001"/>
    <n v="6.7251459E-2"/>
    <n v="274.29097610000002"/>
    <n v="241.8438621"/>
    <n v="8.7908627209999999"/>
    <n v="25.8282673"/>
    <n v="4.0249163999999997E-2"/>
    <n v="2.9769999999999999"/>
    <s v=""/>
    <n v="-5.8138627209999996"/>
  </r>
  <r>
    <s v="Spain"/>
    <x v="30"/>
    <x v="3"/>
    <n v="191.1271663"/>
    <n v="1.788191723"/>
    <n v="0.11969339700000001"/>
    <n v="33.74636091"/>
    <n v="106.88292749999999"/>
    <n v="43.915442609999999"/>
    <n v="25.310210980000001"/>
    <n v="41.060944120000002"/>
    <n v="56.0058887"/>
    <n v="5.2246389999999997E-2"/>
    <n v="31.82116585"/>
    <n v="6.6935438999999999E-2"/>
    <n v="264.12264540000001"/>
    <n v="227.84930539999999"/>
    <n v="3.8268589290000001"/>
    <n v="29.115080209999999"/>
    <n v="2.7538849000000001E-2"/>
    <n v="2.4009999999999998"/>
    <s v=""/>
    <n v="-1.4258589290000003"/>
  </r>
  <r>
    <s v="Sweden"/>
    <x v="0"/>
    <x v="3"/>
    <n v="52.579040130000003"/>
    <n v="1.113978441"/>
    <n v="0.18792020500000001"/>
    <n v="29.685656030000001"/>
    <n v="47.199333639999999"/>
    <n v="51.17736189"/>
    <n v="31.718374600000001"/>
    <n v="14.669"/>
    <n v="18.044"/>
    <m/>
    <n v="0.61599935400000005"/>
    <n v="0.168692856"/>
    <n v="146.51400000000001"/>
    <n v="130.73699999999999"/>
    <n v="4.8780000000000001"/>
    <n v="4.0951720000000002E-3"/>
    <n v="0"/>
    <n v="0.59199999999999997"/>
    <s v=""/>
    <n v="-4.2860000000000005"/>
  </r>
  <r>
    <s v="Sweden"/>
    <x v="1"/>
    <x v="3"/>
    <n v="52.79683326"/>
    <n v="1.08431251"/>
    <n v="0.19088611599999999"/>
    <n v="31.428772760000001"/>
    <n v="48.691528290000001"/>
    <n v="44.461857850000001"/>
    <n v="32.037442300000002"/>
    <n v="14.643000000000001"/>
    <n v="17.96"/>
    <m/>
    <n v="0.63899943999999997"/>
    <n v="0.17604345099999999"/>
    <n v="147.39599999999999"/>
    <n v="132.33500000000001"/>
    <n v="4.9059999999999997"/>
    <n v="8.8197780000000003E-3"/>
    <n v="0"/>
    <n v="0.746"/>
    <s v=""/>
    <n v="-4.16"/>
  </r>
  <r>
    <s v="Sweden"/>
    <x v="2"/>
    <x v="3"/>
    <n v="53.298563569999999"/>
    <n v="1.14562137"/>
    <n v="0.19495889299999999"/>
    <n v="29.458867210000001"/>
    <n v="46.523716280000002"/>
    <n v="52.50537671"/>
    <n v="29.835033339999999"/>
    <n v="15.843999999999999"/>
    <n v="20.702999999999999"/>
    <m/>
    <n v="0.72300074999999997"/>
    <n v="0.17017742399999999"/>
    <n v="146.465"/>
    <n v="130.053"/>
    <n v="4.577"/>
    <n v="2.1165466000000001E-2"/>
    <n v="0"/>
    <n v="0.746"/>
    <s v=""/>
    <n v="-3.831"/>
  </r>
  <r>
    <s v="Sweden"/>
    <x v="3"/>
    <x v="3"/>
    <n v="52.518561720000001"/>
    <n v="1.1299198029999999"/>
    <n v="0.19615761700000001"/>
    <n v="29.30133837"/>
    <n v="46.479902000000003"/>
    <n v="53.106740189999996"/>
    <n v="30.051042379999998"/>
    <n v="15.523999999999999"/>
    <n v="21.431000000000001"/>
    <m/>
    <n v="0.80499980400000004"/>
    <n v="0.17360313199999999"/>
    <n v="145.81200000000001"/>
    <n v="130.59800000000001"/>
    <n v="4.6539999999999999"/>
    <n v="3.3604915999999999E-2"/>
    <n v="0"/>
    <n v="0.71799999999999997"/>
    <s v=""/>
    <n v="-3.9359999999999999"/>
  </r>
  <r>
    <s v="Sweden"/>
    <x v="4"/>
    <x v="3"/>
    <n v="55.322824079999997"/>
    <n v="1.1130778189999999"/>
    <n v="0.198737687"/>
    <n v="31.24240043"/>
    <n v="49.702566310000002"/>
    <n v="43.169314870000001"/>
    <n v="29.606838440000001"/>
    <n v="16.555"/>
    <n v="20.440999999999999"/>
    <m/>
    <n v="0.80700013000000004"/>
    <n v="0.17854788199999999"/>
    <n v="143.053"/>
    <n v="129.613"/>
    <n v="4.694"/>
    <n v="5.1030038E-2"/>
    <n v="0"/>
    <n v="0.68600000000000005"/>
    <s v=""/>
    <n v="-4.008"/>
  </r>
  <r>
    <s v="Sweden"/>
    <x v="5"/>
    <x v="3"/>
    <n v="55.066838480000001"/>
    <n v="1.0945435750000001"/>
    <n v="0.19021258899999999"/>
    <n v="31.82271549"/>
    <n v="50.310320910000002"/>
    <n v="47.599274690000001"/>
    <n v="29.473151680000001"/>
    <n v="16.448"/>
    <n v="20.504000000000001"/>
    <m/>
    <n v="0.79599923800000005"/>
    <n v="0.173782564"/>
    <n v="148.351"/>
    <n v="132.38900000000001"/>
    <n v="4.734"/>
    <n v="6.7407702E-2"/>
    <n v="0"/>
    <n v="0.752"/>
    <s v=""/>
    <n v="-3.9820000000000002"/>
  </r>
  <r>
    <s v="Sweden"/>
    <x v="6"/>
    <x v="3"/>
    <n v="60.497867110000001"/>
    <n v="1.1752660850000001"/>
    <n v="0.20565149699999999"/>
    <n v="31.957377879999999"/>
    <n v="51.47588949"/>
    <n v="38.416914310000003"/>
    <n v="28.967890199999999"/>
    <n v="17.763000000000002"/>
    <n v="21.7"/>
    <m/>
    <n v="0.81600078200000004"/>
    <n v="0.17498292500000001"/>
    <n v="140.66200000000001"/>
    <n v="132.29900000000001"/>
    <n v="5.173"/>
    <n v="0.103083989"/>
    <n v="0"/>
    <n v="0.71799999999999997"/>
    <s v=""/>
    <n v="-4.4550000000000001"/>
  </r>
  <r>
    <s v="Sweden"/>
    <x v="7"/>
    <x v="3"/>
    <n v="55.068340730000003"/>
    <n v="1.097311266"/>
    <n v="0.18156778900000001"/>
    <n v="32.451661059999999"/>
    <n v="50.184794799999999"/>
    <n v="48.292450870000003"/>
    <n v="29.328631850000001"/>
    <n v="16.462"/>
    <n v="22.718"/>
    <m/>
    <n v="0.85499905899999995"/>
    <n v="0.16546607599999999"/>
    <n v="149.249"/>
    <n v="132.04"/>
    <n v="4.4119999999999999"/>
    <n v="0.13668433299999999"/>
    <n v="0"/>
    <n v="0.64500000000000002"/>
    <s v=""/>
    <n v="-3.7669999999999999"/>
  </r>
  <r>
    <s v="Sweden"/>
    <x v="8"/>
    <x v="3"/>
    <n v="55.874337609999998"/>
    <n v="1.094595768"/>
    <n v="0.17669621099999999"/>
    <n v="33.961672389999997"/>
    <n v="51.04563641"/>
    <n v="49.19568598"/>
    <n v="29.48178119"/>
    <n v="16.574999999999999"/>
    <n v="22.462"/>
    <m/>
    <n v="0.88899912800000003"/>
    <n v="0.16142599499999999"/>
    <n v="158.83099999999999"/>
    <n v="132.88300000000001"/>
    <n v="4.4619999999999997"/>
    <n v="0.20021280499999999"/>
    <n v="0"/>
    <n v="0.625"/>
    <s v=""/>
    <n v="-3.8369999999999997"/>
  </r>
  <r>
    <s v="Sweden"/>
    <x v="9"/>
    <x v="3"/>
    <n v="54.453192090000002"/>
    <n v="1.086532533"/>
    <n v="0.165084815"/>
    <n v="33.209035350000001"/>
    <n v="50.11648563"/>
    <n v="48.281673769999998"/>
    <n v="29.94905842"/>
    <n v="16.279"/>
    <n v="22.773"/>
    <m/>
    <n v="0.87600040099999998"/>
    <n v="0.151937296"/>
    <n v="154.86000000000001"/>
    <n v="132.68600000000001"/>
    <n v="4.1870000000000003"/>
    <n v="0.23182229100000001"/>
    <n v="0"/>
    <n v="0.58499999999999996"/>
    <s v=""/>
    <n v="-3.6020000000000003"/>
  </r>
  <r>
    <s v="Sweden"/>
    <x v="10"/>
    <x v="3"/>
    <n v="50.977408390000001"/>
    <n v="1.0725701889999999"/>
    <n v="0.147364044"/>
    <n v="30.487064610000001"/>
    <n v="47.528272659999999"/>
    <n v="57.257031929999997"/>
    <n v="30.809065279999999"/>
    <n v="14.843"/>
    <n v="22.707999999999998"/>
    <m/>
    <n v="0.80499963299999999"/>
    <n v="0.13739338000000001"/>
    <n v="145.26599999999999"/>
    <n v="135.40799999999999"/>
    <n v="4.1660000000000004"/>
    <n v="0.31528368600000001"/>
    <n v="0"/>
    <n v="0.54100000000000004"/>
    <s v=""/>
    <n v="-3.6250000000000004"/>
  </r>
  <r>
    <s v="Sweden"/>
    <x v="11"/>
    <x v="3"/>
    <n v="51.856064570000001"/>
    <n v="1.0268674959999999"/>
    <n v="0.14773540399999999"/>
    <n v="33.865131140000003"/>
    <n v="50.499275480000001"/>
    <n v="51.568213739999997"/>
    <n v="31.741514500000001"/>
    <n v="14.827999999999999"/>
    <n v="21.492999999999999"/>
    <m/>
    <n v="0.88199951899999995"/>
    <n v="0.14386997800000001"/>
    <n v="161.61699999999999"/>
    <n v="138.51"/>
    <n v="4.5549999999999997"/>
    <n v="0.29947344599999998"/>
    <n v="0"/>
    <n v="0.63700000000000001"/>
    <s v=""/>
    <n v="-3.9179999999999997"/>
  </r>
  <r>
    <s v="Sweden"/>
    <x v="12"/>
    <x v="3"/>
    <n v="53.309104359999999"/>
    <n v="1.0303565690000001"/>
    <n v="0.14861144800000001"/>
    <n v="31.783620490000001"/>
    <n v="51.738500989999999"/>
    <n v="48.509217300000003"/>
    <n v="31.078078250000001"/>
    <n v="15.215"/>
    <n v="19.516999999999999"/>
    <m/>
    <n v="0.88799958199999995"/>
    <n v="0.14423302800000001"/>
    <n v="146.73500000000001"/>
    <n v="136.655"/>
    <n v="5.0090000000000003"/>
    <n v="0.41571540499999998"/>
    <n v="0"/>
    <n v="0.80400000000000005"/>
    <s v=""/>
    <n v="-4.2050000000000001"/>
  </r>
  <r>
    <s v="Sweden"/>
    <x v="13"/>
    <x v="3"/>
    <n v="54.668420849999997"/>
    <n v="1.0806047400000001"/>
    <n v="0.14905515499999999"/>
    <n v="30.89651521"/>
    <n v="50.590580289999998"/>
    <n v="43.406897669999999"/>
    <n v="31.28176191"/>
    <n v="14.913"/>
    <n v="19.385000000000002"/>
    <m/>
    <n v="0.92600077999999997"/>
    <n v="0.137936796"/>
    <n v="135.43700000000001"/>
    <n v="134.61699999999999"/>
    <n v="4.9219999999999997"/>
    <n v="0.50281680799999995"/>
    <n v="0"/>
    <n v="0.80600000000000005"/>
    <s v=""/>
    <n v="-4.1159999999999997"/>
  </r>
  <r>
    <s v="Sweden"/>
    <x v="14"/>
    <x v="3"/>
    <n v="53.095402030000002"/>
    <n v="1.0102775939999999"/>
    <n v="0.13876319200000001"/>
    <n v="34.299601350000003"/>
    <n v="52.555260390000001"/>
    <n v="44.972913839999997"/>
    <n v="31.602145889999999"/>
    <n v="14.378"/>
    <n v="20.308"/>
    <m/>
    <n v="0.89099939699999997"/>
    <n v="0.13735154899999999"/>
    <n v="151.738"/>
    <n v="135.41399999999999"/>
    <n v="5.0970000000000004"/>
    <n v="0.56808446099999999"/>
    <n v="0"/>
    <n v="0.89300000000000002"/>
    <s v=""/>
    <n v="-4.2040000000000006"/>
  </r>
  <r>
    <s v="Sweden"/>
    <x v="15"/>
    <x v="3"/>
    <n v="50.397140899999997"/>
    <n v="0.97723122200000001"/>
    <n v="0.128004496"/>
    <n v="34.543492780000001"/>
    <n v="51.571357679999998"/>
    <n v="51.315681509999997"/>
    <n v="31.888978340000001"/>
    <n v="13.766999999999999"/>
    <n v="19.8"/>
    <m/>
    <n v="0.83899967900000005"/>
    <n v="0.13098690800000001"/>
    <n v="158.435"/>
    <n v="135.41800000000001"/>
    <n v="4.5629999999999997"/>
    <n v="0.59140972599999997"/>
    <n v="0"/>
    <n v="0.70799999999999996"/>
    <s v=""/>
    <n v="-3.8549999999999995"/>
  </r>
  <r>
    <s v="Sweden"/>
    <x v="16"/>
    <x v="3"/>
    <n v="51.37801846"/>
    <n v="1.023430139"/>
    <n v="0.124754052"/>
    <n v="32.64124399"/>
    <n v="50.201783689999999"/>
    <n v="49.64648296"/>
    <n v="32.05024324"/>
    <n v="13.526999999999999"/>
    <n v="20.123000000000001"/>
    <m/>
    <n v="0.85800040899999996"/>
    <n v="0.121897965"/>
    <n v="143.416"/>
    <n v="135.357"/>
    <n v="4.899"/>
    <n v="0.68751045899999996"/>
    <n v="0"/>
    <n v="0.621"/>
    <s v=""/>
    <n v="-4.2780000000000005"/>
  </r>
  <r>
    <s v="Sweden"/>
    <x v="17"/>
    <x v="3"/>
    <n v="48.916371400000003"/>
    <n v="0.979630165"/>
    <n v="0.114836859"/>
    <n v="33.310924720000003"/>
    <n v="49.933508750000001"/>
    <n v="52.058795879999998"/>
    <n v="31.959922129999999"/>
    <n v="13.143000000000001"/>
    <n v="17.952999999999999"/>
    <m/>
    <n v="0.93000068999999996"/>
    <n v="0.117224707"/>
    <n v="148.922"/>
    <n v="135.64099999999999"/>
    <n v="4.610585757"/>
    <n v="0.95956272399999998"/>
    <n v="0"/>
    <n v="0.52"/>
    <s v=""/>
    <n v="-4.0905857569999995"/>
  </r>
  <r>
    <s v="Sweden"/>
    <x v="18"/>
    <x v="3"/>
    <n v="47.993213089999998"/>
    <n v="0.96852052600000005"/>
    <n v="0.112943292"/>
    <n v="32.981569290000003"/>
    <n v="49.553119219999999"/>
    <n v="54.35289727"/>
    <n v="32.109920199999998"/>
    <n v="12.791"/>
    <n v="20.879000000000001"/>
    <m/>
    <n v="0.79700048999999995"/>
    <n v="0.116614247"/>
    <n v="150.03800000000001"/>
    <n v="133.256"/>
    <n v="4.7758008329999999"/>
    <n v="1.334328637"/>
    <n v="0"/>
    <n v="0.83699999999999997"/>
    <s v=""/>
    <n v="-3.9388008330000002"/>
  </r>
  <r>
    <s v="Sweden"/>
    <x v="19"/>
    <x v="3"/>
    <n v="44.117896569999999"/>
    <n v="0.97204990199999997"/>
    <n v="0.108416415"/>
    <n v="30.09645038"/>
    <n v="45.386452349999999"/>
    <n v="58.45979449"/>
    <n v="32.507247079999999"/>
    <n v="11.701000000000001"/>
    <n v="20.248000000000001"/>
    <m/>
    <n v="1.2389989029999999"/>
    <n v="0.111533796"/>
    <n v="136.73500000000001"/>
    <n v="127.944"/>
    <n v="3.5135100769999998"/>
    <n v="1.826891432"/>
    <n v="0"/>
    <n v="0.70199999999999996"/>
    <s v=""/>
    <n v="-2.8115100769999999"/>
  </r>
  <r>
    <s v="Sweden"/>
    <x v="20"/>
    <x v="3"/>
    <n v="49.207215239999996"/>
    <n v="0.96722822600000002"/>
    <n v="0.11387526000000001"/>
    <n v="32.81382953"/>
    <n v="50.874461599999997"/>
    <n v="55.328244069999997"/>
    <n v="31.696061709999999"/>
    <n v="12.492000000000001"/>
    <n v="20.768999999999998"/>
    <m/>
    <n v="1.571999769"/>
    <n v="0.11773359899999999"/>
    <n v="148.548"/>
    <n v="136.63399999999999"/>
    <n v="4.637985359"/>
    <n v="2.3534480439999999"/>
    <n v="0"/>
    <n v="0.79700000000000004"/>
    <s v=""/>
    <n v="-3.8409853589999998"/>
  </r>
  <r>
    <s v="Sweden"/>
    <x v="21"/>
    <x v="3"/>
    <n v="44.81784253"/>
    <n v="0.90403160800000004"/>
    <n v="0.100645359"/>
    <n v="32.67778191"/>
    <n v="49.575526050000001"/>
    <n v="55.988830159999999"/>
    <n v="31.766514699999998"/>
    <n v="11.515000000000001"/>
    <n v="19.62"/>
    <m/>
    <n v="1.3149998549999999"/>
    <n v="0.111329469"/>
    <n v="150.405"/>
    <n v="128.96100000000001"/>
    <n v="4.1832783190000002"/>
    <n v="4.0676839200000003"/>
    <n v="0"/>
    <n v="0.73599999999999999"/>
    <s v=""/>
    <n v="-3.4472783190000005"/>
  </r>
  <r>
    <s v="Sweden"/>
    <x v="22"/>
    <x v="3"/>
    <n v="42.021559490000001"/>
    <n v="0.83908307400000004"/>
    <n v="9.4965079999999993E-2"/>
    <n v="35.5853915"/>
    <n v="50.080332650000003"/>
    <n v="59.098468429999997"/>
    <n v="32.387583990000003"/>
    <n v="11.048"/>
    <n v="21.408999999999999"/>
    <m/>
    <n v="1.178001246"/>
    <n v="0.113177209"/>
    <n v="166.56100000000001"/>
    <n v="132.11600000000001"/>
    <n v="3.5306784219999998"/>
    <n v="4.312534147"/>
    <n v="0"/>
    <n v="0.47199999999999998"/>
    <s v=""/>
    <n v="-3.0586784219999998"/>
  </r>
  <r>
    <s v="Sweden"/>
    <x v="23"/>
    <x v="3"/>
    <n v="40.56261585"/>
    <n v="0.82326835300000001"/>
    <n v="9.0681531999999995E-2"/>
    <n v="34.590130520000002"/>
    <n v="49.270223610000002"/>
    <n v="54.074011200000001"/>
    <n v="32.318602519999999"/>
    <n v="10.701000000000001"/>
    <n v="17.584"/>
    <m/>
    <n v="1.077000602"/>
    <n v="0.110148206"/>
    <n v="153.166"/>
    <n v="129.34100000000001"/>
    <n v="3.5656974090000002"/>
    <n v="6.4485590799999999"/>
    <n v="0"/>
    <n v="0.624"/>
    <s v=""/>
    <n v="-2.9416974090000001"/>
  </r>
  <r>
    <s v="Sweden"/>
    <x v="24"/>
    <x v="3"/>
    <n v="39.24044525"/>
    <n v="0.81653615499999999"/>
    <n v="8.5380059999999994E-2"/>
    <n v="34.279829530000001"/>
    <n v="48.057204810000002"/>
    <n v="55.869012060000003"/>
    <n v="32.359903379999999"/>
    <n v="10.465"/>
    <n v="19.798999999999999"/>
    <m/>
    <n v="0.91999913200000005"/>
    <n v="0.104563722"/>
    <n v="153.66300000000001"/>
    <n v="126.845"/>
    <n v="3.2482844150000001"/>
    <n v="7.342040699"/>
    <n v="0"/>
    <n v="0.45"/>
    <s v=""/>
    <n v="-2.7982844149999999"/>
  </r>
  <r>
    <s v="Sweden"/>
    <x v="25"/>
    <x v="3"/>
    <n v="38.958300209999997"/>
    <n v="0.87818745399999998"/>
    <n v="8.1177470000000002E-2"/>
    <n v="33.807814409999999"/>
    <n v="44.362168969999999"/>
    <n v="63.303765300000002"/>
    <n v="32.691853000000002"/>
    <n v="10.189"/>
    <n v="21.367000000000001"/>
    <m/>
    <n v="0.96400030800000003"/>
    <n v="9.2437519999999995E-2"/>
    <n v="162.11199999999999"/>
    <n v="129.27500000000001"/>
    <n v="3.176323945"/>
    <n v="10.12818298"/>
    <n v="0"/>
    <n v="0.36899999999999999"/>
    <s v=""/>
    <n v="-2.8073239450000003"/>
  </r>
  <r>
    <s v="Sweden"/>
    <x v="26"/>
    <x v="3"/>
    <n v="39.030626490000003"/>
    <n v="0.81750344399999997"/>
    <n v="7.9411936000000002E-2"/>
    <n v="34.757095040000003"/>
    <n v="47.743684500000001"/>
    <n v="57.205307349999998"/>
    <n v="32.609381900000002"/>
    <n v="10.348000000000001"/>
    <n v="21.210999999999999"/>
    <m/>
    <n v="0.92100065499999995"/>
    <n v="9.7139574000000006E-2"/>
    <n v="156.01"/>
    <n v="132.05699999999999"/>
    <n v="3.1400624709999998"/>
    <n v="10.01346068"/>
    <n v="3.0000000000000001E-3"/>
    <n v="0.42399999999999999"/>
    <s v=""/>
    <n v="-2.7160624709999999"/>
  </r>
  <r>
    <s v="Sweden"/>
    <x v="27"/>
    <x v="3"/>
    <n v="39.056413059999997"/>
    <n v="0.79623512100000005"/>
    <n v="7.7592974999999995E-2"/>
    <n v="35.997792060000002"/>
    <n v="49.051356830000003"/>
    <n v="57.889193300000002"/>
    <n v="32.190727180000003"/>
    <n v="10.209637000000001"/>
    <n v="21.132000000000001"/>
    <m/>
    <n v="1.1410004309999999"/>
    <n v="9.7449827000000003E-2"/>
    <n v="164.25"/>
    <n v="132.00299999999999"/>
    <n v="3.1194793760000001"/>
    <n v="10.860882800000001"/>
    <n v="2E-3"/>
    <n v="0.377"/>
    <s v=""/>
    <n v="-2.7424793760000004"/>
  </r>
  <r>
    <s v="Sweden"/>
    <x v="28"/>
    <x v="3"/>
    <n v="36.586451760000003"/>
    <n v="0.73561192500000006"/>
    <n v="7.1103701000000005E-2"/>
    <n v="36.300874120000003"/>
    <n v="49.736077590000001"/>
    <n v="55.80966952"/>
    <n v="32.870999699999999"/>
    <n v="9.1316319999999997"/>
    <n v="21.649000000000001"/>
    <m/>
    <n v="1.223001359"/>
    <n v="9.6659254999999999E-2"/>
    <n v="163.4"/>
    <n v="131.85900000000001"/>
    <n v="3.225051895"/>
    <n v="10.42227662"/>
    <n v="1E-3"/>
    <n v="0.53500000000000003"/>
    <s v=""/>
    <n v="-2.6900518949999999"/>
  </r>
  <r>
    <s v="Sweden"/>
    <x v="29"/>
    <x v="3"/>
    <n v="36.072824369999999"/>
    <n v="0.73846548499999998"/>
    <n v="6.9232474000000002E-2"/>
    <n v="36.804453170000002"/>
    <n v="48.84835528"/>
    <n v="58.511529000000003"/>
    <n v="32.601676329999997"/>
    <n v="8.8268917810000005"/>
    <n v="16.755361409999999"/>
    <m/>
    <n v="1.2150678619999999"/>
    <n v="9.3751807000000006E-2"/>
    <n v="169.10776079999999"/>
    <n v="128.31681259999999"/>
    <n v="3.0622106050000002"/>
    <n v="12.14440445"/>
    <n v="5.0000000000000001E-3"/>
    <n v="0.53500000000000003"/>
    <s v=""/>
    <n v="-2.5272106050000001"/>
  </r>
  <r>
    <s v="Sweden"/>
    <x v="30"/>
    <x v="3"/>
    <n v="32.202288799999998"/>
    <n v="0.68789304299999998"/>
    <n v="6.3649824999999993E-2"/>
    <n v="32.866519080000003"/>
    <n v="46.8129299"/>
    <n v="68.402780710000002"/>
    <n v="32.741916510000003"/>
    <n v="7.9306070860000002"/>
    <n v="18.43099921"/>
    <m/>
    <n v="1.2535233429999999"/>
    <n v="9.2528664999999996E-2"/>
    <n v="163.68373539999999"/>
    <n v="123.4699071"/>
    <n v="2.6886578050000001"/>
    <n v="17.300287409999999"/>
    <n v="4.0000000000000001E-3"/>
    <n v="0.53500000000000003"/>
    <s v=""/>
    <n v="-2.1536578049999999"/>
  </r>
  <r>
    <s v="Taiwan"/>
    <x v="0"/>
    <x v="2"/>
    <n v="112.395763"/>
    <n v="2.3611966529999999"/>
    <n v="0.67150719800000003"/>
    <n v="10.63247112"/>
    <n v="47.601186810000002"/>
    <n v="9.0804279139999995"/>
    <n v="21.513242859999998"/>
    <n v="24.734000000000002"/>
    <n v="21.46"/>
    <n v="1.2899989380000001"/>
    <n v="1.7239982060000001"/>
    <n v="0.284392745"/>
    <n v="90.204999999999998"/>
    <n v="78.81"/>
    <n v="17.36476944"/>
    <n v="0"/>
    <n v="0.17499999999999999"/>
    <n v="0"/>
    <s v=""/>
    <n v="-17.36476944"/>
  </r>
  <r>
    <s v="Taiwan"/>
    <x v="1"/>
    <x v="2"/>
    <n v="121.59026919999999"/>
    <n v="2.3601690560000002"/>
    <n v="0.67541854800000001"/>
    <n v="10.688049729999999"/>
    <n v="51.517610099999999"/>
    <n v="5.555611571"/>
    <n v="22.4025912"/>
    <n v="25.788"/>
    <n v="23.042999999999999"/>
    <n v="0.98700001599999998"/>
    <n v="2.7550006950000001"/>
    <n v="0.28617379999999998"/>
    <n v="99.179000000000002"/>
    <n v="87.078000000000003"/>
    <n v="19.035773850000002"/>
    <n v="0"/>
    <n v="0.108"/>
    <n v="0"/>
    <s v=""/>
    <n v="-19.035773850000002"/>
  </r>
  <r>
    <s v="Taiwan"/>
    <x v="2"/>
    <x v="2"/>
    <n v="128.9307949"/>
    <n v="2.399333006"/>
    <n v="0.66630496900000002"/>
    <n v="10.36262945"/>
    <n v="53.736098570000003"/>
    <n v="7.9152847529999999"/>
    <n v="22.54146197"/>
    <n v="26.149000000000001"/>
    <n v="23.138999999999999"/>
    <n v="0.85499893999999999"/>
    <n v="2.9130007340000001"/>
    <n v="0.27770424799999999"/>
    <n v="105.53"/>
    <n v="93.025000000000006"/>
    <n v="21.924819800000002"/>
    <n v="0"/>
    <n v="6.5000000000000002E-2"/>
    <n v="0"/>
    <s v=""/>
    <n v="-21.924819800000002"/>
  </r>
  <r>
    <s v="Taiwan"/>
    <x v="3"/>
    <x v="2"/>
    <n v="138.09916569999999"/>
    <n v="2.400037668"/>
    <n v="0.66691071300000004"/>
    <n v="10.257913820000001"/>
    <n v="57.540415950000003"/>
    <n v="5.8330801609999998"/>
    <n v="23.3068028"/>
    <n v="28.026"/>
    <n v="25.45"/>
    <n v="0.82799999999999996"/>
    <n v="2.8080030589999998"/>
    <n v="0.27787510199999998"/>
    <n v="115.205"/>
    <n v="101.38500000000001"/>
    <n v="23.904374579999999"/>
    <n v="0"/>
    <n v="5.8999999999999997E-2"/>
    <n v="0"/>
    <s v=""/>
    <n v="-23.904374579999999"/>
  </r>
  <r>
    <s v="Taiwan"/>
    <x v="4"/>
    <x v="2"/>
    <n v="146.32575439999999"/>
    <n v="2.4246368490000001"/>
    <n v="0.65974379699999997"/>
    <n v="10.52251152"/>
    <n v="60.349554789999999"/>
    <n v="7.1303636189999997"/>
    <n v="23.55644139"/>
    <n v="29.57"/>
    <n v="24.928999999999998"/>
    <n v="0.90799983900000003"/>
    <n v="3.712997675"/>
    <n v="0.27210004599999998"/>
    <n v="124.636"/>
    <n v="108.65"/>
    <n v="25.092768159999999"/>
    <n v="0"/>
    <n v="6.2E-2"/>
    <n v="0"/>
    <s v=""/>
    <n v="-25.092768159999999"/>
  </r>
  <r>
    <s v="Taiwan"/>
    <x v="5"/>
    <x v="2"/>
    <n v="155.15737720000001"/>
    <n v="2.445258795"/>
    <n v="0.65733578599999998"/>
    <n v="10.61858031"/>
    <n v="63.452333779999996"/>
    <n v="6.6701724069999999"/>
    <n v="23.866783359999999"/>
    <n v="32.014000000000003"/>
    <n v="30.141999999999999"/>
    <n v="0.94200019300000004"/>
    <n v="3.9570002689999999"/>
    <n v="0.26882053900000002"/>
    <n v="133.11500000000001"/>
    <n v="115.837"/>
    <n v="25.925031149999999"/>
    <n v="0"/>
    <n v="5.6000000000000001E-2"/>
    <n v="0"/>
    <s v=""/>
    <n v="-25.925031149999999"/>
  </r>
  <r>
    <s v="Taiwan"/>
    <x v="6"/>
    <x v="2"/>
    <n v="162.8436178"/>
    <n v="2.4401596909999999"/>
    <n v="0.65022113400000003"/>
    <n v="11.173467280000001"/>
    <n v="66.734820020000001"/>
    <n v="6.3706740489999998"/>
    <n v="24.371413789999998"/>
    <n v="31.928999999999998"/>
    <n v="32.033000000000001"/>
    <n v="0.90100099300000003"/>
    <n v="4.120997912"/>
    <n v="0.26646663199999998"/>
    <n v="141.96299999999999"/>
    <n v="123.146"/>
    <n v="29.64703115"/>
    <n v="3.3257579999999998E-3"/>
    <n v="5.3999999999999999E-2"/>
    <n v="0"/>
    <s v=""/>
    <n v="-29.64703115"/>
  </r>
  <r>
    <s v="Taiwan"/>
    <x v="7"/>
    <x v="2"/>
    <n v="175.597936"/>
    <n v="2.4885281789999998"/>
    <n v="0.65773740599999997"/>
    <n v="10.982760799999999"/>
    <n v="70.562968699999999"/>
    <n v="6.6617049980000003"/>
    <n v="25.089354610000001"/>
    <n v="32.426000000000002"/>
    <n v="32.622999999999998"/>
    <n v="0.85999914099999997"/>
    <n v="4.6890014190000002"/>
    <n v="0.26430779900000001"/>
    <n v="150.48699999999999"/>
    <n v="131.76599999999999"/>
    <n v="33.911999999999999"/>
    <n v="2.0165560000000001E-3"/>
    <n v="4.5999999999999999E-2"/>
    <n v="0"/>
    <s v=""/>
    <n v="-33.911999999999999"/>
  </r>
  <r>
    <s v="Taiwan"/>
    <x v="8"/>
    <x v="2"/>
    <n v="186.05055659999999"/>
    <n v="2.4669616429999999"/>
    <n v="0.66688019099999996"/>
    <n v="11.313888329999999"/>
    <n v="75.416882619999996"/>
    <n v="6.8572058880000002"/>
    <n v="25.77019044"/>
    <n v="33.409999999999997"/>
    <n v="33.901000000000003"/>
    <n v="0.87899907899999996"/>
    <n v="5.8480019409999997"/>
    <n v="0.27032450800000002"/>
    <n v="163.18600000000001"/>
    <n v="142.54400000000001"/>
    <n v="36.912031149999997"/>
    <n v="1.895196E-3"/>
    <n v="4.9000000000000002E-2"/>
    <n v="0"/>
    <s v=""/>
    <n v="-36.912031149999997"/>
  </r>
  <r>
    <s v="Taiwan"/>
    <x v="9"/>
    <x v="2"/>
    <n v="194.58669620000001"/>
    <n v="2.4773697659999998"/>
    <n v="0.65986485900000003"/>
    <n v="11.700903759999999"/>
    <n v="78.545681329999994"/>
    <n v="5.7023832700000003"/>
    <n v="26.087748510000001"/>
    <n v="35.094000000000001"/>
    <n v="35.911000000000001"/>
    <n v="0.85599989300000001"/>
    <n v="5.7299977279999998"/>
    <n v="0.26635703300000002"/>
    <n v="169.47300000000001"/>
    <n v="149.18600000000001"/>
    <n v="38.828000000000003"/>
    <n v="8.6801800000000002E-4"/>
    <n v="4.2000000000000003E-2"/>
    <n v="0"/>
    <s v=""/>
    <n v="-38.828000000000003"/>
  </r>
  <r>
    <s v="Taiwan"/>
    <x v="10"/>
    <x v="2"/>
    <n v="212.3211972"/>
    <n v="2.5003046389999999"/>
    <n v="0.68840273900000004"/>
    <n v="11.79012393"/>
    <n v="84.918131149999994"/>
    <n v="5.354060585"/>
    <n v="27.071696639999999"/>
    <n v="36.088999999999999"/>
    <n v="36.816000000000003"/>
    <n v="0.74699901199999996"/>
    <n v="6.2300017719999996"/>
    <n v="0.27532754500000001"/>
    <n v="185.392"/>
    <n v="163.75899999999999"/>
    <n v="45.883968850000002"/>
    <n v="5.3939799999999996E-4"/>
    <n v="3.3000000000000002E-2"/>
    <n v="0"/>
    <s v=""/>
    <n v="-45.883968850000002"/>
  </r>
  <r>
    <s v="Taiwan"/>
    <x v="11"/>
    <x v="2"/>
    <n v="220.73310720000001"/>
    <n v="2.5520257220000002"/>
    <n v="0.72480842199999995"/>
    <n v="11.23559586"/>
    <n v="86.493292460000006"/>
    <n v="5.4972521670000001"/>
    <n v="25.28542508"/>
    <n v="38.259"/>
    <n v="38.478000000000002"/>
    <n v="0.84900066299999999"/>
    <n v="6.8919968919999999"/>
    <n v="0.284012977"/>
    <n v="189.24"/>
    <n v="166.52600000000001"/>
    <n v="49.445"/>
    <n v="6.3411539999999999E-3"/>
    <n v="3.6999999999999998E-2"/>
    <n v="0"/>
    <s v=""/>
    <n v="-49.445"/>
  </r>
  <r>
    <s v="Taiwan"/>
    <x v="12"/>
    <x v="2"/>
    <n v="228.70027189999999"/>
    <n v="2.527816675"/>
    <n v="0.71131687099999996"/>
    <n v="12.15429159"/>
    <n v="90.473440670000002"/>
    <n v="3.823479281"/>
    <n v="25.599745299999999"/>
    <n v="38.168999999999997"/>
    <n v="39.393999999999998"/>
    <n v="0.88699979600000001"/>
    <n v="7.8639972800000004"/>
    <n v="0.28139575100000003"/>
    <n v="199.47800000000001"/>
    <n v="175.90700000000001"/>
    <n v="52.482968849999999"/>
    <n v="8.0209349999999999E-3"/>
    <n v="4.5999999999999999E-2"/>
    <n v="0"/>
    <s v=""/>
    <n v="-52.482968849999999"/>
  </r>
  <r>
    <s v="Taiwan"/>
    <x v="13"/>
    <x v="2"/>
    <n v="239.30239230000001"/>
    <n v="2.539542097"/>
    <n v="0.71483670899999996"/>
    <n v="12.143416800000001"/>
    <n v="94.230527850000001"/>
    <n v="4.022679342"/>
    <n v="25.926188419999999"/>
    <n v="39.527000000000001"/>
    <n v="45.024000000000001"/>
    <n v="0.83100046999999999"/>
    <n v="7.9400088860000002"/>
    <n v="0.28148252000000001"/>
    <n v="210.059"/>
    <n v="185.255"/>
    <n v="56.622031149999998"/>
    <n v="1.1425361E-2"/>
    <n v="4.1000000000000002E-2"/>
    <n v="0"/>
    <s v=""/>
    <n v="-56.622031149999998"/>
  </r>
  <r>
    <s v="Taiwan"/>
    <x v="14"/>
    <x v="2"/>
    <n v="247.25317509999999"/>
    <n v="2.5884676689999999"/>
    <n v="0.693469856"/>
    <n v="12.48472325"/>
    <n v="95.521059829999999"/>
    <n v="3.8439260220000002"/>
    <n v="26.297219139999999"/>
    <n v="40.686999999999998"/>
    <n v="49.73"/>
    <n v="0.79500096600000003"/>
    <n v="9.4239921140000007"/>
    <n v="0.26790748199999997"/>
    <n v="219.255"/>
    <n v="195.126"/>
    <n v="58.256031149999998"/>
    <n v="1.1858338E-2"/>
    <n v="0.04"/>
    <n v="0"/>
    <s v=""/>
    <n v="-58.256031149999998"/>
  </r>
  <r>
    <s v="Taiwan"/>
    <x v="15"/>
    <x v="2"/>
    <n v="250.79066510000001"/>
    <n v="2.5694599789999999"/>
    <n v="0.66725384700000001"/>
    <n v="12.715769209999999"/>
    <n v="97.604425489999997"/>
    <n v="4.33554788"/>
    <n v="26.345444650000001"/>
    <n v="40.703000000000003"/>
    <n v="52.252000000000002"/>
    <n v="0.49200033300000001"/>
    <n v="9.1529963090000006"/>
    <n v="0.25968641399999998"/>
    <n v="226.98400000000001"/>
    <n v="203.202"/>
    <n v="59.911968850000001"/>
    <n v="4.0531491000000003E-2"/>
    <n v="2.9000000000000001E-2"/>
    <n v="0"/>
    <s v=""/>
    <n v="-59.911968850000001"/>
  </r>
  <r>
    <s v="Taiwan"/>
    <x v="16"/>
    <x v="2"/>
    <n v="258.38393880000001"/>
    <n v="2.5745044300000002"/>
    <n v="0.65085589899999996"/>
    <n v="12.67999184"/>
    <n v="100.3625924"/>
    <n v="4.3195095439999998"/>
    <n v="26.837150269999999"/>
    <n v="41.008000000000003"/>
    <n v="51.442"/>
    <n v="0.41600047200000001"/>
    <n v="9.3539920559999992"/>
    <n v="0.252808227"/>
    <n v="235.536"/>
    <n v="209.977"/>
    <n v="62.651999539999998"/>
    <n v="0.117604103"/>
    <n v="2.1000000000000001E-2"/>
    <n v="0"/>
    <s v=""/>
    <n v="-62.651999539999998"/>
  </r>
  <r>
    <s v="Taiwan"/>
    <x v="17"/>
    <x v="2"/>
    <n v="263.17509039999999"/>
    <n v="2.5101656530000001"/>
    <n v="0.62236544800000004"/>
    <n v="12.91622415"/>
    <n v="104.84371419999999"/>
    <n v="4.4139761530000001"/>
    <n v="26.126271540000001"/>
    <n v="42.899000000000001"/>
    <n v="50.808"/>
    <n v="0.375"/>
    <n v="10.22599967"/>
    <n v="0.24793799799999999"/>
    <n v="243.386"/>
    <n v="217.089"/>
    <n v="65.227000000000004"/>
    <n v="0.18119365900000001"/>
    <n v="1.6E-2"/>
    <n v="0"/>
    <s v=""/>
    <n v="-65.227000000000004"/>
  </r>
  <r>
    <s v="Taiwan"/>
    <x v="18"/>
    <x v="2"/>
    <n v="250.7384586"/>
    <n v="2.489056723"/>
    <n v="0.58880880800000002"/>
    <n v="13.007611710000001"/>
    <n v="100.73633770000001"/>
    <n v="4.2875088979999996"/>
    <n v="26.80259671"/>
    <n v="40.680999999999997"/>
    <n v="47.311"/>
    <n v="0.32100003799999999"/>
    <n v="11.097996269999999"/>
    <n v="0.23655901500000001"/>
    <n v="238.81"/>
    <n v="214.345"/>
    <n v="62.634030699999997"/>
    <n v="0.24789581699999999"/>
    <n v="1.4E-2"/>
    <n v="0"/>
    <s v=""/>
    <n v="-62.634030699999997"/>
  </r>
  <r>
    <s v="Taiwan"/>
    <x v="19"/>
    <x v="2"/>
    <n v="237.17516430000001"/>
    <n v="2.363934204"/>
    <n v="0.56582238299999998"/>
    <n v="13.10206941"/>
    <n v="100.3306961"/>
    <n v="4.1641329459999996"/>
    <n v="25.913271770000001"/>
    <n v="40.085999999999999"/>
    <n v="48.792000000000002"/>
    <n v="0.31500012100000002"/>
    <n v="10.70800414"/>
    <n v="0.239356232"/>
    <n v="230.22800000000001"/>
    <n v="205.50399999999999"/>
    <n v="60.200031610000003"/>
    <n v="0.34530986699999999"/>
    <n v="1.4E-2"/>
    <n v="0"/>
    <s v=""/>
    <n v="-60.200031610000003"/>
  </r>
  <r>
    <s v="Taiwan"/>
    <x v="20"/>
    <x v="2"/>
    <n v="254.10151200000001"/>
    <n v="2.3995533010000001"/>
    <n v="0.54795048499999999"/>
    <n v="13.215733459999999"/>
    <n v="105.89533969999999"/>
    <n v="4.0909827429999996"/>
    <n v="26.13039998"/>
    <n v="41.866999999999997"/>
    <n v="45.994999999999997"/>
    <n v="0.26599994599999999"/>
    <n v="13.418996419999999"/>
    <n v="0.22835520400000001"/>
    <n v="246.86"/>
    <n v="222.215"/>
    <n v="63.267937230000001"/>
    <n v="0.42615247499999998"/>
    <n v="1.2999999999999999E-2"/>
    <n v="0.47199999999999998"/>
    <s v=""/>
    <n v="-62.79593723"/>
  </r>
  <r>
    <s v="Taiwan"/>
    <x v="21"/>
    <x v="2"/>
    <n v="259.93241719999997"/>
    <n v="2.46484697"/>
    <n v="0.53998054600000001"/>
    <n v="13.42629035"/>
    <n v="105.4558033"/>
    <n v="4.0936554090000001"/>
    <n v="27.339482870000001"/>
    <n v="38.49"/>
    <n v="42.463000000000001"/>
    <n v="0.29700018500000003"/>
    <n v="14.634989089999999"/>
    <n v="0.21907264500000001"/>
    <n v="252.07300000000001"/>
    <n v="226.92"/>
    <n v="66.798968389999999"/>
    <n v="0.620058475"/>
    <n v="0.01"/>
    <n v="0.40200000000000002"/>
    <s v=""/>
    <n v="-66.396968389999998"/>
  </r>
  <r>
    <s v="Taiwan"/>
    <x v="22"/>
    <x v="2"/>
    <n v="255.5317057"/>
    <n v="2.4328497160000002"/>
    <n v="0.52010486"/>
    <n v="13.271265789999999"/>
    <n v="105.0339049"/>
    <n v="4.8128256829999998"/>
    <n v="27.349271689999998"/>
    <n v="38.200000000000003"/>
    <n v="46.527000000000001"/>
    <n v="0.39700011000000002"/>
    <n v="15.25401177"/>
    <n v="0.213784212"/>
    <n v="250.435"/>
    <n v="226.38200000000001"/>
    <n v="66.361999999999995"/>
    <n v="0.63369736700000001"/>
    <n v="0.01"/>
    <n v="0.33500000000000002"/>
    <s v=""/>
    <n v="-66.027000000000001"/>
  </r>
  <r>
    <s v="Taiwan"/>
    <x v="23"/>
    <x v="2"/>
    <n v="257.39870239999999"/>
    <n v="2.4082560690000001"/>
    <n v="0.512614876"/>
    <n v="13.56893927"/>
    <n v="106.8817829"/>
    <n v="4.9334690759999997"/>
    <n v="26.840806690000001"/>
    <n v="39.06"/>
    <n v="44.04"/>
    <n v="0.343000258"/>
    <n v="15.587016220000001"/>
    <n v="0.212857296"/>
    <n v="252.43899999999999"/>
    <n v="230.48599999999999"/>
    <n v="67.399999539999996"/>
    <n v="0.78355563100000003"/>
    <n v="8.9999999999999993E-3"/>
    <n v="0.32800000000000001"/>
    <s v=""/>
    <n v="-67.071999539999993"/>
  </r>
  <r>
    <s v="Taiwan"/>
    <x v="24"/>
    <x v="2"/>
    <n v="264.51690239999999"/>
    <n v="2.4250275239999999"/>
    <n v="0.50642723700000003"/>
    <n v="13.588974609999999"/>
    <n v="109.07789699999999"/>
    <n v="4.3987401410000002"/>
    <n v="27.070596259999999"/>
    <n v="40.679000000000002"/>
    <n v="44.631"/>
    <n v="0.34099997300000001"/>
    <n v="16.380984059999999"/>
    <n v="0.20883360400000001"/>
    <n v="260.029"/>
    <n v="235.99"/>
    <n v="67.88106277"/>
    <n v="0.78914274900000003"/>
    <n v="8.0000000000000002E-3"/>
    <n v="0.28499999999999998"/>
    <s v=""/>
    <n v="-67.596062770000003"/>
  </r>
  <r>
    <s v="Taiwan"/>
    <x v="25"/>
    <x v="2"/>
    <n v="265.07760330000002"/>
    <n v="2.4807205830000001"/>
    <n v="0.50344102700000004"/>
    <n v="12.069058869999999"/>
    <n v="106.85508280000001"/>
    <n v="4.5957555589999997"/>
    <n v="27.028108029999999"/>
    <n v="41.796999999999997"/>
    <n v="44.771000000000001"/>
    <n v="0.336000258"/>
    <n v="17.599989319999999"/>
    <n v="0.202941448"/>
    <n v="258.173"/>
    <n v="234.75899999999999"/>
    <n v="65.040000000000006"/>
    <n v="0.92999655299999995"/>
    <n v="8.0000000000000002E-3"/>
    <n v="0.23499999999999999"/>
    <s v=""/>
    <n v="-64.805000000000007"/>
  </r>
  <r>
    <s v="Taiwan"/>
    <x v="26"/>
    <x v="2"/>
    <n v="268.47857269999997"/>
    <n v="2.4714537499999998"/>
    <n v="0.50280847500000003"/>
    <n v="10.902184159999999"/>
    <n v="108.6318418"/>
    <n v="5.4358155049999999"/>
    <n v="27.382564500000001"/>
    <n v="41.634999999999998"/>
    <n v="45.045000000000002"/>
    <n v="0.28899965399999999"/>
    <n v="18.444989960000001"/>
    <n v="0.203446443"/>
    <n v="264.137"/>
    <n v="240.119"/>
    <n v="66.170968389999999"/>
    <n v="0.98017316799999998"/>
    <n v="8.0000000000000002E-3"/>
    <n v="0.14699999999999999"/>
    <s v=""/>
    <n v="-66.023968389999993"/>
  </r>
  <r>
    <s v="Taiwan"/>
    <x v="27"/>
    <x v="2"/>
    <n v="275.82574699999998"/>
    <n v="2.5681004120000002"/>
    <n v="0.50203695599999998"/>
    <n v="8.3727193979999992"/>
    <n v="107.4045804"/>
    <n v="5.201509733"/>
    <n v="28.202531950000001"/>
    <n v="41.103555999999998"/>
    <n v="44.273440999999998"/>
    <n v="0.238829294"/>
    <n v="20.260848200000002"/>
    <n v="0.19548961300000001"/>
    <n v="270.28679599999998"/>
    <n v="245.41027800000001"/>
    <n v="67.637953999999993"/>
    <n v="1.2631227460000001"/>
    <n v="4.8669999999999998E-3"/>
    <n v="9.9000000000000005E-2"/>
    <s v=""/>
    <n v="-67.53895399999999"/>
  </r>
  <r>
    <s v="Taiwan"/>
    <x v="28"/>
    <x v="2"/>
    <n v="271.71470970000001"/>
    <n v="2.4638948319999998"/>
    <n v="0.48134153499999999"/>
    <n v="9.7309690450000002"/>
    <n v="110.2785339"/>
    <n v="5.1611671350000003"/>
    <n v="28.43067856"/>
    <n v="40.783217"/>
    <n v="46.245505000000001"/>
    <n v="0.17782921300000001"/>
    <n v="20.206267660000002"/>
    <n v="0.19535798700000001"/>
    <n v="275.57795800000002"/>
    <n v="250.211614"/>
    <n v="67.416485969999997"/>
    <n v="1.60589549"/>
    <n v="4.2090000000000001E-3"/>
    <n v="7.9000000000000001E-2"/>
    <s v=""/>
    <n v="-67.337485970000003"/>
  </r>
  <r>
    <s v="Taiwan"/>
    <x v="29"/>
    <x v="2"/>
    <n v="261.16953210000003"/>
    <n v="2.4282383219999999"/>
    <n v="0.45045789000000003"/>
    <n v="11.142540690000001"/>
    <n v="107.555148"/>
    <n v="6.0703394560000001"/>
    <n v="29.243514340000001"/>
    <n v="37.846815300000003"/>
    <n v="45.822945349999998"/>
    <n v="0.15050149600000001"/>
    <n v="19.837760530000001"/>
    <n v="0.18550810500000001"/>
    <n v="274.219426"/>
    <n v="248.5104418"/>
    <n v="64.525328900000005"/>
    <n v="2.1604141719999999"/>
    <n v="3.4651220000000002E-3"/>
    <n v="9.1999999999999998E-2"/>
    <s v=""/>
    <n v="-64.433328900000006"/>
  </r>
  <r>
    <s v="Taiwan"/>
    <x v="30"/>
    <x v="2"/>
    <n v="257.13884580000001"/>
    <n v="2.4383437130000001"/>
    <n v="0.443293094"/>
    <n v="10.865002580000001"/>
    <n v="105.45635729999999"/>
    <n v="5.9582897109999999"/>
    <n v="29.687137660000001"/>
    <n v="37.400046400000001"/>
    <n v="38.549101299999997"/>
    <n v="9.4806574000000005E-2"/>
    <n v="21.533326989999999"/>
    <n v="0.18180090500000001"/>
    <n v="280.16907980000002"/>
    <n v="254.16252309999999"/>
    <n v="63.237244709999999"/>
    <n v="3.0557717790000001"/>
    <n v="1.952753E-3"/>
    <n v="8.3000000000000004E-2"/>
    <s v=""/>
    <n v="-63.15424471"/>
  </r>
  <r>
    <s v="Thailand"/>
    <x v="0"/>
    <x v="2"/>
    <n v="80.922698560000001"/>
    <n v="1.918573418"/>
    <n v="0.20736036099999999"/>
    <n v="26.81036061"/>
    <n v="42.178578000000002"/>
    <n v="11.26403477"/>
    <n v="11.38580799"/>
    <n v="17.207000000000001"/>
    <n v="11.86"/>
    <n v="6.3840064620000003"/>
    <n v="6.386996087"/>
    <n v="0.108080493"/>
    <n v="44.176000000000002"/>
    <n v="38.344000000000001"/>
    <n v="12.78"/>
    <n v="2.2636729999999999E-3"/>
    <n v="2.7509999999999999"/>
    <n v="12.420999999999999"/>
    <s v=""/>
    <n v="-0.35899999999999999"/>
  </r>
  <r>
    <s v="Thailand"/>
    <x v="1"/>
    <x v="2"/>
    <n v="90.075396339999998"/>
    <n v="1.966895091"/>
    <n v="0.21261734400000001"/>
    <n v="29.8686723"/>
    <n v="45.795729899999998"/>
    <n v="9.1401813290000007"/>
    <n v="12.14117669"/>
    <n v="18.341999999999999"/>
    <n v="12.526999999999999"/>
    <n v="7.8990056629999996"/>
    <n v="7.9030055580000003"/>
    <n v="0.10809795899999999"/>
    <n v="50.185000000000002"/>
    <n v="43.399000000000001"/>
    <n v="15.063000000000001"/>
    <n v="1.9926269999999999E-3"/>
    <n v="3.18"/>
    <n v="14.689"/>
    <s v=""/>
    <n v="-0.37400000000000055"/>
  </r>
  <r>
    <s v="Thailand"/>
    <x v="2"/>
    <x v="2"/>
    <n v="98.351734969999995"/>
    <n v="2.0168130620000002"/>
    <n v="0.214790754"/>
    <n v="31.091806210000001"/>
    <n v="48.765915309999997"/>
    <n v="7.4240779010000004"/>
    <n v="12.7109624"/>
    <n v="20.271000000000001"/>
    <n v="15.432"/>
    <n v="8.4630052449999997"/>
    <n v="8.4670080890000001"/>
    <n v="0.106500081"/>
    <n v="57.097999999999999"/>
    <n v="49.305"/>
    <n v="16.079000000000001"/>
    <n v="1.7513749999999999E-3"/>
    <n v="3.5670000000000002"/>
    <n v="15.356999999999999"/>
    <s v=""/>
    <n v="-0.72200000000000131"/>
  </r>
  <r>
    <s v="Thailand"/>
    <x v="3"/>
    <x v="2"/>
    <n v="111.1457149"/>
    <n v="2.1612938900000001"/>
    <n v="0.22423024499999999"/>
    <n v="30.430794590000001"/>
    <n v="51.425544389999999"/>
    <n v="5.8400492059999998"/>
    <n v="13.404803149999999"/>
    <n v="23.414000000000001"/>
    <n v="18.332999999999998"/>
    <n v="9.4949872380000002"/>
    <n v="9.5000041209999999"/>
    <n v="0.103748151"/>
    <n v="63.406999999999996"/>
    <n v="56.279000000000003"/>
    <n v="16.821999999999999"/>
    <n v="1.577113E-3"/>
    <n v="3.677"/>
    <n v="15.545999999999999"/>
    <s v=""/>
    <n v="-1.2759999999999998"/>
  </r>
  <r>
    <s v="Thailand"/>
    <x v="4"/>
    <x v="2"/>
    <n v="125.04813420000001"/>
    <n v="2.200385936"/>
    <n v="0.23359706099999999"/>
    <n v="31.89666407"/>
    <n v="56.83009157"/>
    <n v="6.3433412479999998"/>
    <n v="13.413144580000001"/>
    <n v="26.844000000000001"/>
    <n v="21.741"/>
    <n v="10.570007690000001"/>
    <n v="10.575012020000001"/>
    <n v="0.106161859"/>
    <n v="71.177000000000007"/>
    <n v="62.51"/>
    <n v="18.606999999999999"/>
    <n v="1.404948E-3"/>
    <n v="4.2389999999999999"/>
    <n v="17.094999999999999"/>
    <s v=""/>
    <n v="-1.5120000000000005"/>
  </r>
  <r>
    <s v="Thailand"/>
    <x v="5"/>
    <x v="2"/>
    <n v="141.06440689999999"/>
    <n v="2.2778366600000002"/>
    <n v="0.24372524600000001"/>
    <n v="33.198323510000002"/>
    <n v="61.929114310000003"/>
    <n v="8.7421799880000002"/>
    <n v="13.783418230000001"/>
    <n v="29.946999999999999"/>
    <n v="24.242999999999999"/>
    <n v="11.1379947"/>
    <n v="11.14398525"/>
    <n v="0.10699856100000001"/>
    <n v="80.082999999999998"/>
    <n v="71.224999999999994"/>
    <n v="20.901"/>
    <n v="1.248704E-3"/>
    <n v="4.1050000000000004"/>
    <n v="18.420999999999999"/>
    <s v=""/>
    <n v="-2.4800000000000004"/>
  </r>
  <r>
    <s v="Thailand"/>
    <x v="6"/>
    <x v="2"/>
    <n v="159.2839865"/>
    <n v="2.3002311990000002"/>
    <n v="0.260480926"/>
    <n v="37.156716469999999"/>
    <n v="69.246946370000003"/>
    <n v="9.1293604330000004"/>
    <n v="13.44684312"/>
    <n v="33.567"/>
    <n v="32.588000000000001"/>
    <n v="13.07701395"/>
    <n v="13.08399275"/>
    <n v="0.113241193"/>
    <n v="89.841999999999999"/>
    <n v="77.353999999999999"/>
    <n v="24.942"/>
    <n v="2.2261300000000002E-3"/>
    <n v="5.117"/>
    <n v="21.48"/>
    <s v=""/>
    <n v="-3.4619999999999997"/>
  </r>
  <r>
    <s v="Thailand"/>
    <x v="7"/>
    <x v="2"/>
    <n v="163.2843475"/>
    <n v="2.3148529999999998"/>
    <n v="0.27458372399999997"/>
    <n v="40.040776440000002"/>
    <n v="70.537674539999998"/>
    <n v="8.0932357929999998"/>
    <n v="14.12706874"/>
    <n v="33.250999999999998"/>
    <n v="37.92"/>
    <n v="15.990021069999999"/>
    <n v="15.999010849999999"/>
    <n v="0.118618212"/>
    <n v="93.225999999999999"/>
    <n v="82.429000000000002"/>
    <n v="25.896000000000001"/>
    <n v="2.1453240000000001E-3"/>
    <n v="5.5750000000000002"/>
    <n v="23.393000000000001"/>
    <s v=""/>
    <n v="-2.5030000000000001"/>
  </r>
  <r>
    <s v="Thailand"/>
    <x v="8"/>
    <x v="2"/>
    <n v="148.52323190000001"/>
    <n v="2.2456473190000001"/>
    <n v="0.27040283300000001"/>
    <n v="39.699010649999998"/>
    <n v="66.138271399999994"/>
    <n v="6.1053613469999997"/>
    <n v="15.148760640000001"/>
    <n v="29.704999999999998"/>
    <n v="35.067"/>
    <n v="17.444979310000001"/>
    <n v="17.47599945"/>
    <n v="0.120411977"/>
    <n v="90.052000000000007"/>
    <n v="80.433999999999997"/>
    <n v="22.204999999999998"/>
    <n v="2.2209389999999999E-3"/>
    <n v="5.8380000000000001"/>
    <n v="20.163"/>
    <s v=""/>
    <n v="-2.041999999999998"/>
  </r>
  <r>
    <s v="Thailand"/>
    <x v="9"/>
    <x v="2"/>
    <n v="154.7184427"/>
    <n v="2.1911944050000001"/>
    <n v="0.26936568999999999"/>
    <n v="41.548640220000003"/>
    <n v="70.609181129999996"/>
    <n v="4.888992548"/>
    <n v="14.19689764"/>
    <n v="31.457999999999998"/>
    <n v="37.527000000000001"/>
    <n v="18.987015199999998"/>
    <n v="19.027000439999998"/>
    <n v="0.12293098700000001"/>
    <n v="90.039000000000001"/>
    <n v="81.45"/>
    <n v="21.968"/>
    <n v="2.2212600000000001E-3"/>
    <n v="6.194"/>
    <n v="18.265999999999998"/>
    <s v=""/>
    <n v="-3.7020000000000017"/>
  </r>
  <r>
    <s v="Thailand"/>
    <x v="10"/>
    <x v="2"/>
    <n v="155.45578929999999"/>
    <n v="2.1503644030000002"/>
    <n v="0.25910455599999999"/>
    <n v="43.955063109999998"/>
    <n v="72.29276539"/>
    <n v="6.8110068039999998"/>
    <n v="14.94406218"/>
    <n v="30.513999999999999"/>
    <n v="37.594999999999999"/>
    <n v="19.99002613"/>
    <n v="22.210997150000001"/>
    <n v="0.120493324"/>
    <n v="95.977000000000004"/>
    <n v="87.932000000000002"/>
    <n v="21.765000000000001"/>
    <n v="2.0838330000000002E-3"/>
    <n v="7.6840000000000002"/>
    <n v="17.707999999999998"/>
    <s v=""/>
    <n v="-4.0570000000000022"/>
  </r>
  <r>
    <s v="Thailand"/>
    <x v="11"/>
    <x v="2"/>
    <n v="163.72478150000001"/>
    <n v="2.200716565"/>
    <n v="0.26380088000000002"/>
    <n v="43.128466279999998"/>
    <n v="74.396123590000002"/>
    <n v="6.6363991410000001"/>
    <n v="15.1496066"/>
    <n v="30.013999999999999"/>
    <n v="38.613"/>
    <n v="19.422016459999998"/>
    <n v="25.938016019999999"/>
    <n v="0.119870448"/>
    <n v="102.42"/>
    <n v="92.29"/>
    <n v="24.869"/>
    <n v="1.952744E-3"/>
    <n v="8.0719999999999992"/>
    <n v="19.617000000000001"/>
    <s v=""/>
    <n v="-5.2519999999999989"/>
  </r>
  <r>
    <s v="Thailand"/>
    <x v="12"/>
    <x v="2"/>
    <n v="175.3260636"/>
    <n v="2.1310700699999998"/>
    <n v="0.26612941899999998"/>
    <n v="45.981185789999998"/>
    <n v="82.271374420000001"/>
    <n v="7.4844284630000004"/>
    <n v="14.6648818"/>
    <n v="33.959000000000003"/>
    <n v="41.902999999999999"/>
    <n v="20.55600433"/>
    <n v="28.019013340000001"/>
    <n v="0.12488065199999999"/>
    <n v="109.01300000000001"/>
    <n v="100.173"/>
    <n v="25.135999999999999"/>
    <n v="1.8346440000000001E-3"/>
    <n v="9.1920000000000002"/>
    <n v="19.602"/>
    <s v=""/>
    <n v="-5.5339999999999989"/>
  </r>
  <r>
    <s v="Thailand"/>
    <x v="13"/>
    <x v="2"/>
    <n v="184.66257669999999"/>
    <n v="2.071996999"/>
    <n v="0.26150123199999997"/>
    <n v="49.328461599999997"/>
    <n v="89.12299428"/>
    <n v="7.2249814079999997"/>
    <n v="14.41650001"/>
    <n v="37.198"/>
    <n v="45.063000000000002"/>
    <n v="21.664006109999999"/>
    <n v="29.75101386"/>
    <n v="0.126207341"/>
    <n v="116.983"/>
    <n v="106.959"/>
    <n v="25.071000000000002"/>
    <n v="1.7096500000000001E-3"/>
    <n v="10.706"/>
    <n v="18.843"/>
    <s v=""/>
    <n v="-6.2280000000000015"/>
  </r>
  <r>
    <s v="Thailand"/>
    <x v="14"/>
    <x v="2"/>
    <n v="201.5301747"/>
    <n v="2.0925621799999998"/>
    <n v="0.26850070399999998"/>
    <n v="51.274949309999997"/>
    <n v="96.307854840000005"/>
    <n v="5.823729191"/>
    <n v="14.30460164"/>
    <n v="41.136000000000003"/>
    <n v="49.433999999999997"/>
    <n v="22.399018550000001"/>
    <n v="31.178025359999999"/>
    <n v="0.12831193599999999"/>
    <n v="125.727"/>
    <n v="115.044"/>
    <n v="28.084"/>
    <n v="1.5907479999999999E-3"/>
    <n v="10.532"/>
    <n v="20.059999999999999"/>
    <s v=""/>
    <n v="-8.0240000000000009"/>
  </r>
  <r>
    <s v="Thailand"/>
    <x v="15"/>
    <x v="2"/>
    <n v="207.77139159999999"/>
    <n v="2.0948199949999999"/>
    <n v="0.26568931099999998"/>
    <n v="55.197424789999999"/>
    <n v="99.183410539999997"/>
    <n v="5.5447551759999998"/>
    <n v="14.91201691"/>
    <n v="40.514000000000003"/>
    <n v="48.552999999999997"/>
    <n v="23.651982539999999"/>
    <n v="33.156959120000003"/>
    <n v="0.126831571"/>
    <n v="132.197"/>
    <n v="121.229"/>
    <n v="29.614000000000001"/>
    <n v="1.5128940000000001E-3"/>
    <n v="12.502000000000001"/>
    <n v="20.878"/>
    <s v=""/>
    <n v="-8.7360000000000007"/>
  </r>
  <r>
    <s v="Thailand"/>
    <x v="16"/>
    <x v="2"/>
    <n v="209.78661059999999"/>
    <n v="2.0758582030000001"/>
    <n v="0.25556979400000002"/>
    <n v="57.351073880000001"/>
    <n v="101.06018330000001"/>
    <n v="6.9171555839999996"/>
    <n v="15.346154390000001"/>
    <n v="40.448999999999998"/>
    <n v="50.009"/>
    <n v="24.339013510000001"/>
    <n v="34.131026110000001"/>
    <n v="0.123115246"/>
    <n v="138.74199999999999"/>
    <n v="127.81100000000001"/>
    <n v="30.007999999999999"/>
    <n v="2.1622870000000001E-3"/>
    <n v="14.053000000000001"/>
    <n v="19.001000000000001"/>
    <s v=""/>
    <n v="-11.006999999999998"/>
  </r>
  <r>
    <s v="Thailand"/>
    <x v="17"/>
    <x v="2"/>
    <n v="217.5831858"/>
    <n v="2.0654544170000002"/>
    <n v="0.25140383799999999"/>
    <n v="60.497471599999997"/>
    <n v="105.3439786"/>
    <n v="6.91389195"/>
    <n v="15.72031481"/>
    <n v="39.908999999999999"/>
    <n v="49.915999999999997"/>
    <n v="25.975981340000001"/>
    <n v="36.213996629999997"/>
    <n v="0.121718415"/>
    <n v="143.37799999999999"/>
    <n v="133.178"/>
    <n v="32.164999999999999"/>
    <n v="2.092371E-3"/>
    <n v="14.769"/>
    <n v="18.239000000000001"/>
    <s v=""/>
    <n v="-13.925999999999998"/>
  </r>
  <r>
    <s v="Thailand"/>
    <x v="18"/>
    <x v="2"/>
    <n v="223.505281"/>
    <n v="2.0671279450000002"/>
    <n v="0.25386557399999998"/>
    <n v="65.512613250000001"/>
    <n v="108.1235835"/>
    <n v="6.5978863969999999"/>
    <n v="15.67695458"/>
    <n v="37.661000000000001"/>
    <n v="50.451000000000001"/>
    <n v="29.439024060000001"/>
    <n v="39.58195611"/>
    <n v="0.12281077"/>
    <n v="147.42599999999999"/>
    <n v="135.44999999999999"/>
    <n v="34.427999999999997"/>
    <n v="2.713226E-3"/>
    <n v="15.824999999999999"/>
    <n v="17.981999999999999"/>
    <s v=""/>
    <n v="-16.445999999999998"/>
  </r>
  <r>
    <s v="Thailand"/>
    <x v="19"/>
    <x v="2"/>
    <n v="218.20779279999999"/>
    <n v="2.0256381069999998"/>
    <n v="0.24957237099999999"/>
    <n v="64.633675550000007"/>
    <n v="107.72298960000001"/>
    <n v="6.8971791309999997"/>
    <n v="14.81417334"/>
    <n v="39.658999999999999"/>
    <n v="52.912999999999997"/>
    <n v="27.424979260000001"/>
    <n v="36.984044990000001"/>
    <n v="0.123206791"/>
    <n v="148.39400000000001"/>
    <n v="135.209"/>
    <n v="33.354999999999997"/>
    <n v="7.412699E-3"/>
    <n v="16.137"/>
    <n v="17.786000000000001"/>
    <s v=""/>
    <n v="-15.568999999999996"/>
  </r>
  <r>
    <s v="Thailand"/>
    <x v="20"/>
    <x v="2"/>
    <n v="235.42528250000001"/>
    <n v="1.997452673"/>
    <n v="0.25044708500000001"/>
    <n v="70.59220139"/>
    <n v="117.8627587"/>
    <n v="5.6098845300000004"/>
    <n v="15.122553679999999"/>
    <n v="42.201000000000001"/>
    <n v="54.468000000000004"/>
    <n v="31.606962299999999"/>
    <n v="42.13494815"/>
    <n v="0.12538323900000001"/>
    <n v="159.52199999999999"/>
    <n v="149.32"/>
    <n v="35.689"/>
    <n v="1.3791200999999999E-2"/>
    <n v="16.858000000000001"/>
    <n v="18.344000000000001"/>
    <s v=""/>
    <n v="-17.344999999999999"/>
  </r>
  <r>
    <s v="Thailand"/>
    <x v="21"/>
    <x v="2"/>
    <n v="235.0371274"/>
    <n v="1.9978478"/>
    <n v="0.24795147100000001"/>
    <n v="68.687252209999997"/>
    <n v="117.64516159999999"/>
    <n v="8.0479001990000008"/>
    <n v="14.92026682"/>
    <n v="43.585999999999999"/>
    <n v="54.18"/>
    <n v="28.12703664"/>
    <n v="39.372980550000001"/>
    <n v="0.12410929"/>
    <n v="155.99100000000001"/>
    <n v="148.69999999999999"/>
    <n v="36.883000000000003"/>
    <n v="6.4747324999999994E-2"/>
    <n v="17.216999999999999"/>
    <n v="21.327000000000002"/>
    <s v=""/>
    <n v="-15.556000000000001"/>
  </r>
  <r>
    <s v="Thailand"/>
    <x v="22"/>
    <x v="2"/>
    <n v="252.0441677"/>
    <n v="1.9963715689999999"/>
    <n v="0.24793553800000001"/>
    <n v="75.463383399999998"/>
    <n v="126.2511306"/>
    <n v="8.2776250890000007"/>
    <n v="15.142991159999999"/>
    <n v="46.375999999999998"/>
    <n v="57.448"/>
    <n v="33.497024379999999"/>
    <n v="44.986949260000003"/>
    <n v="0.124193082"/>
    <n v="166.642"/>
    <n v="161.749"/>
    <n v="36.216000000000001"/>
    <n v="0.38105639600000002"/>
    <n v="18.824999999999999"/>
    <n v="18.068999999999999"/>
    <s v=""/>
    <n v="-18.147000000000002"/>
  </r>
  <r>
    <s v="Thailand"/>
    <x v="23"/>
    <x v="2"/>
    <n v="263.86947670000001"/>
    <n v="1.936538111"/>
    <n v="0.252775054"/>
    <n v="78.757911960000001"/>
    <n v="136.2583443"/>
    <n v="8.1329195760000008"/>
    <n v="14.73198816"/>
    <n v="49.911999999999999"/>
    <n v="61.173000000000002"/>
    <n v="36.283005180000004"/>
    <n v="48.380967030000001"/>
    <n v="0.13052934599999999"/>
    <n v="170.148"/>
    <n v="164.322"/>
    <n v="37.673000000000002"/>
    <n v="0.81458494999999997"/>
    <n v="19.175999999999998"/>
    <n v="17.591000000000001"/>
    <s v=""/>
    <n v="-20.082000000000001"/>
  </r>
  <r>
    <s v="Thailand"/>
    <x v="24"/>
    <x v="2"/>
    <n v="259.61034649999999"/>
    <n v="1.914615848"/>
    <n v="0.24627067599999999"/>
    <n v="79.4183527"/>
    <n v="135.59396100000001"/>
    <n v="8.3589246429999999"/>
    <n v="15.02356644"/>
    <n v="49.905000000000001"/>
    <n v="58.677999999999997"/>
    <n v="37.049030790000003"/>
    <n v="48.35399494"/>
    <n v="0.12862667799999999"/>
    <n v="172.25899999999999"/>
    <n v="168.78800000000001"/>
    <n v="36.122"/>
    <n v="0.98166133600000005"/>
    <n v="18.695"/>
    <n v="18.042000000000002"/>
    <s v=""/>
    <n v="-18.079999999999998"/>
  </r>
  <r>
    <s v="Thailand"/>
    <x v="25"/>
    <x v="2"/>
    <n v="263.57665400000002"/>
    <n v="1.9347871430000001"/>
    <n v="0.242435502"/>
    <n v="75.76956835"/>
    <n v="136.23031090000001"/>
    <n v="7.8792892429999997"/>
    <n v="15.26908412"/>
    <n v="49.655999999999999"/>
    <n v="63.110999999999997"/>
    <n v="32.969015740000003"/>
    <n v="48.097989599999998"/>
    <n v="0.12530344900000001"/>
    <n v="176.488"/>
    <n v="174.053"/>
    <n v="35.929000000000002"/>
    <n v="1.5343819409999999"/>
    <n v="19.469000000000001"/>
    <n v="15.151"/>
    <s v=""/>
    <n v="-20.778000000000002"/>
  </r>
  <r>
    <s v="Thailand"/>
    <x v="26"/>
    <x v="2"/>
    <n v="259.92288589999998"/>
    <n v="1.8651285909999999"/>
    <n v="0.231310875"/>
    <n v="79.188691669999997"/>
    <n v="139.3592309"/>
    <n v="13.49158109"/>
    <n v="16.376820819999999"/>
    <n v="51.137"/>
    <n v="62.654000000000003"/>
    <n v="32.333032940000002"/>
    <n v="47.168986529999998"/>
    <n v="0.12401872799999999"/>
    <n v="187.554"/>
    <n v="184.96"/>
    <n v="34.582000000000001"/>
    <n v="1.9850283120000001"/>
    <n v="19.946000000000002"/>
    <n v="16.978999999999999"/>
    <s v=""/>
    <n v="-17.603000000000002"/>
  </r>
  <r>
    <s v="Thailand"/>
    <x v="27"/>
    <x v="2"/>
    <n v="259.78432240000001"/>
    <n v="1.874164173"/>
    <n v="0.222244264"/>
    <n v="75.234349640000005"/>
    <n v="138.6134289"/>
    <n v="14.192308110000001"/>
    <n v="16.129256550000001"/>
    <n v="51.315517"/>
    <n v="64.091937999999999"/>
    <n v="30.19464996"/>
    <n v="44.520560750000001"/>
    <n v="0.11858313600000001"/>
    <n v="181.71390299999999"/>
    <n v="185.368999"/>
    <n v="35.759000999999998"/>
    <n v="3.1109342249999998"/>
    <n v="19.403894000000001"/>
    <n v="16.259"/>
    <s v=""/>
    <n v="-19.500000999999997"/>
  </r>
  <r>
    <s v="Thailand"/>
    <x v="28"/>
    <x v="2"/>
    <n v="258.28063789999999"/>
    <n v="1.9017755329999999"/>
    <n v="0.21219582400000001"/>
    <n v="73.295425050000006"/>
    <n v="135.81026439999999"/>
    <n v="16.49585218"/>
    <n v="16.142075080000001"/>
    <n v="52.035584999999998"/>
    <n v="65.259439"/>
    <n v="29.227856190000001"/>
    <n v="45.659496480000001"/>
    <n v="0.11157774400000001"/>
    <n v="182.29786899999999"/>
    <n v="188.048"/>
    <n v="33.854998999999999"/>
    <n v="3.3897269529999998"/>
    <n v="18.939819"/>
    <n v="14.852"/>
    <s v=""/>
    <n v="-19.002998999999999"/>
  </r>
  <r>
    <s v="Thailand"/>
    <x v="29"/>
    <x v="2"/>
    <n v="259.49334649999997"/>
    <n v="1.9006462580000001"/>
    <n v="0.208286991"/>
    <n v="74.175479469999999"/>
    <n v="136.5290071"/>
    <n v="16.437318680000001"/>
    <n v="16.349638410000001"/>
    <n v="52.807598779999999"/>
    <n v="58.561261889999997"/>
    <n v="29.785953339999999"/>
    <n v="46.426826869999999"/>
    <n v="0.109587458"/>
    <n v="191.9310533"/>
    <n v="194.2458967"/>
    <n v="33.700778069999998"/>
    <n v="4.5942752540000003"/>
    <n v="18.683933450000001"/>
    <n v="14.077999999999999"/>
    <s v=""/>
    <n v="-19.622778069999999"/>
  </r>
  <r>
    <s v="Thailand"/>
    <x v="30"/>
    <x v="2"/>
    <n v="257.7943411"/>
    <n v="2.0559854469999999"/>
    <n v="0.22154524"/>
    <n v="64.385012369999998"/>
    <n v="125.38724019999999"/>
    <n v="15.449487789999999"/>
    <n v="17.855026850000002"/>
    <n v="45.776784139999997"/>
    <n v="54.56456712"/>
    <n v="25.550205980000001"/>
    <n v="42.481254190000001"/>
    <n v="0.10775622999999999"/>
    <n v="181.14394949999999"/>
    <n v="187.6866149"/>
    <n v="34.756172999999997"/>
    <n v="4.4226246810000003"/>
    <n v="16.776942850000001"/>
    <n v="13.01"/>
    <s v=""/>
    <n v="-21.746172999999999"/>
  </r>
  <r>
    <s v="Turkey"/>
    <x v="0"/>
    <x v="3"/>
    <n v="132.52911080000001"/>
    <n v="2.5761207100000001"/>
    <n v="0.19612622099999999"/>
    <n v="24.834297020000001"/>
    <n v="51.445225479999998"/>
    <n v="40.366334739999999"/>
    <n v="9.3000181699999995"/>
    <n v="22.431999999999999"/>
    <n v="22.884"/>
    <n v="0.211999927"/>
    <n v="3.467999227"/>
    <n v="7.6132387999999995E-2"/>
    <n v="57.542999999999999"/>
    <n v="46.82"/>
    <n v="54.451000000000001"/>
    <n v="0.13902646699999999"/>
    <n v="3.7120000000000002"/>
    <n v="47.427999999999997"/>
    <s v=""/>
    <n v="-7.0230000000000032"/>
  </r>
  <r>
    <s v="Turkey"/>
    <x v="1"/>
    <x v="3"/>
    <n v="134.16698790000001"/>
    <n v="2.6526677859999999"/>
    <n v="0.19713018299999999"/>
    <n v="24.623791709999999"/>
    <n v="50.57813445"/>
    <n v="37.848155890000001"/>
    <n v="9.5700046959999998"/>
    <n v="21.806999999999999"/>
    <n v="22.49"/>
    <n v="0.20299996100000001"/>
    <n v="4.237001373"/>
    <n v="7.4313935999999997E-2"/>
    <n v="60.246000000000002"/>
    <n v="49.283000000000001"/>
    <n v="57.877000000000002"/>
    <n v="0.13444876"/>
    <n v="4.3639999999999999"/>
    <n v="46.107999999999997"/>
    <s v=""/>
    <n v="-11.769000000000005"/>
  </r>
  <r>
    <s v="Turkey"/>
    <x v="2"/>
    <x v="3"/>
    <n v="140.0982759"/>
    <n v="2.6510196179999999"/>
    <n v="0.19597631200000001"/>
    <n v="25.722898900000001"/>
    <n v="52.846940459999999"/>
    <n v="39.626087730000002"/>
    <n v="10.22393565"/>
    <n v="23.09"/>
    <n v="23.117999999999999"/>
    <n v="0.19799989600000001"/>
    <n v="4.6339947779999999"/>
    <n v="7.3924881999999997E-2"/>
    <n v="67.341999999999999"/>
    <n v="53.984999999999999"/>
    <n v="59.828000000000003"/>
    <n v="0.103947017"/>
    <n v="4.2759999999999998"/>
    <n v="51.430999999999997"/>
    <s v=""/>
    <n v="-8.3970000000000056"/>
  </r>
  <r>
    <s v="Turkey"/>
    <x v="3"/>
    <x v="3"/>
    <n v="145.61677560000001"/>
    <n v="2.5841489640000002"/>
    <n v="0.189218268"/>
    <n v="25.711967609999999"/>
    <n v="56.349992829999998"/>
    <n v="46.180630829999998"/>
    <n v="10.436973589999999"/>
    <n v="26.49"/>
    <n v="25.568000000000001"/>
    <n v="0.2"/>
    <n v="5.15"/>
    <n v="7.3222662999999993E-2"/>
    <n v="73.808000000000007"/>
    <n v="59.237000000000002"/>
    <n v="54.862000000000002"/>
    <n v="0.105679601"/>
    <n v="3.8919999999999999"/>
    <n v="48.56"/>
    <s v=""/>
    <n v="-6.3019999999999996"/>
  </r>
  <r>
    <s v="Turkey"/>
    <x v="4"/>
    <x v="3"/>
    <n v="143.99962830000001"/>
    <n v="2.5870141900000001"/>
    <n v="0.19627952100000001"/>
    <n v="25.851578920000001"/>
    <n v="55.662481020000001"/>
    <n v="39.218089659999997"/>
    <n v="11.41706303"/>
    <n v="25.256"/>
    <n v="24.849"/>
    <n v="0.19900003899999999"/>
    <n v="5.4929974770000003"/>
    <n v="7.5871065000000001E-2"/>
    <n v="78.320999999999998"/>
    <n v="61.401000000000003"/>
    <n v="59.493000000000002"/>
    <n v="0.100866945"/>
    <n v="3.6960000000000002"/>
    <n v="54.371000000000002"/>
    <s v=""/>
    <n v="-5.1219999999999999"/>
  </r>
  <r>
    <s v="Turkey"/>
    <x v="5"/>
    <x v="3"/>
    <n v="157.8635511"/>
    <n v="2.5921451580000001"/>
    <n v="0.19946262300000001"/>
    <n v="26.066249169999999"/>
    <n v="60.900737210000003"/>
    <n v="41.565503730000003"/>
    <n v="11.40795612"/>
    <n v="28.289000000000001"/>
    <n v="27.14"/>
    <n v="0.18199999"/>
    <n v="7.0290078329999996"/>
    <n v="7.6948863000000006E-2"/>
    <n v="86.247"/>
    <n v="67.394000000000005"/>
    <n v="61.088999999999999"/>
    <n v="9.9713613000000006E-2"/>
    <n v="3.516"/>
    <n v="55.073"/>
    <s v=""/>
    <n v="-6.0159999999999982"/>
  </r>
  <r>
    <s v="Turkey"/>
    <x v="6"/>
    <x v="3"/>
    <n v="173.63929569999999"/>
    <n v="2.6117854999999999"/>
    <n v="0.204317531"/>
    <n v="26.930275259999998"/>
    <n v="66.482984799999997"/>
    <n v="42.941325290000002"/>
    <n v="11.531390249999999"/>
    <n v="29.597999999999999"/>
    <n v="26.248999999999999"/>
    <n v="0.20599984299999999"/>
    <n v="8.2140022950000002"/>
    <n v="7.8229062000000002E-2"/>
    <n v="94.861999999999995"/>
    <n v="74.156999999999996"/>
    <n v="66.478999999999999"/>
    <n v="8.8549683000000004E-2"/>
    <n v="3.5"/>
    <n v="56.363"/>
    <s v=""/>
    <n v="-10.116"/>
  </r>
  <r>
    <s v="Turkey"/>
    <x v="7"/>
    <x v="3"/>
    <n v="182.61252239999999"/>
    <n v="2.6178421310000002"/>
    <n v="0.199740468"/>
    <n v="27.668026690000001"/>
    <n v="69.756888779999997"/>
    <n v="38.910509599999997"/>
    <n v="12.453023"/>
    <n v="29.02"/>
    <n v="26.501999999999999"/>
    <n v="0.25299975699999999"/>
    <n v="9.7999969690000004"/>
    <n v="7.6299661000000005E-2"/>
    <n v="103.29600000000001"/>
    <n v="81.885000000000005"/>
    <n v="72.661000000000001"/>
    <n v="8.0351611000000003E-2"/>
    <n v="3.4489999999999998"/>
    <n v="59.929000000000002"/>
    <s v=""/>
    <n v="-12.731999999999999"/>
  </r>
  <r>
    <s v="Turkey"/>
    <x v="8"/>
    <x v="3"/>
    <n v="183.540041"/>
    <n v="2.5918670609999999"/>
    <n v="0.19622567499999999"/>
    <n v="28.570283620000001"/>
    <n v="70.813832910000002"/>
    <n v="38.334744469999997"/>
    <n v="13.45011412"/>
    <n v="28.687000000000001"/>
    <n v="27.346"/>
    <n v="0.56500066599999998"/>
    <n v="10.351007559999999"/>
    <n v="7.5708233E-2"/>
    <n v="111.02200000000001"/>
    <n v="87.703999999999994"/>
    <n v="78.256"/>
    <n v="8.1065014000000005E-2"/>
    <n v="3.2229999999999999"/>
    <n v="67.382999999999996"/>
    <s v=""/>
    <n v="-10.873000000000005"/>
  </r>
  <r>
    <s v="Turkey"/>
    <x v="9"/>
    <x v="3"/>
    <n v="181.96281010000001"/>
    <n v="2.608583823"/>
    <n v="0.20136428100000001"/>
    <n v="27.144288299999999"/>
    <n v="69.755400809999998"/>
    <n v="29.98282377"/>
    <n v="14.4491937"/>
    <n v="28.353999999999999"/>
    <n v="25.652999999999999"/>
    <n v="0.73099980200000003"/>
    <n v="12.527984569999999"/>
    <n v="7.7192949999999996E-2"/>
    <n v="116.44"/>
    <n v="91.201999999999998"/>
    <n v="75.897999999999996"/>
    <n v="8.7598762999999996E-2"/>
    <n v="2.9409999999999998"/>
    <n v="67.037999999999997"/>
    <s v=""/>
    <n v="-8.86"/>
  </r>
  <r>
    <s v="Turkey"/>
    <x v="10"/>
    <x v="3"/>
    <n v="202.84717910000001"/>
    <n v="2.659462869"/>
    <n v="0.2104982"/>
    <n v="26.387771919999999"/>
    <n v="76.273739879999994"/>
    <n v="24.938761790000001"/>
    <n v="13.956461190000001"/>
    <n v="29.736999999999998"/>
    <n v="23.745000000000001"/>
    <n v="0.63899949099999998"/>
    <n v="14.83499926"/>
    <n v="7.9150645000000006E-2"/>
    <n v="124.922"/>
    <n v="98.296000000000006"/>
    <n v="80.555000000000007"/>
    <n v="0.12407742400000001"/>
    <n v="2.762"/>
    <n v="63.268000000000001"/>
    <s v=""/>
    <n v="-17.287000000000006"/>
  </r>
  <r>
    <s v="Turkey"/>
    <x v="11"/>
    <x v="3"/>
    <n v="183.58298360000001"/>
    <n v="2.6134682059999998"/>
    <n v="0.20258621499999999"/>
    <n v="24.54725487"/>
    <n v="70.244965329999999"/>
    <n v="19.83784885"/>
    <n v="15.37798096"/>
    <n v="27.84"/>
    <n v="25.373999999999999"/>
    <n v="0.31199985400000002"/>
    <n v="15.94400701"/>
    <n v="7.7516235000000003E-2"/>
    <n v="122.72499999999999"/>
    <n v="97.067999999999998"/>
    <n v="72.808999999999997"/>
    <n v="0.15807700099999999"/>
    <n v="2.52"/>
    <n v="62.097000000000001"/>
    <s v=""/>
    <n v="-10.711999999999996"/>
  </r>
  <r>
    <s v="Turkey"/>
    <x v="12"/>
    <x v="3"/>
    <n v="193.67641320000001"/>
    <n v="2.6090936880000002"/>
    <n v="0.20081169400000001"/>
    <n v="24.287722030000001"/>
    <n v="74.231298800000005"/>
    <n v="26.2488408"/>
    <n v="14.982120419999999"/>
    <n v="29.268000000000001"/>
    <n v="26.036999999999999"/>
    <n v="0.37800041299999998"/>
    <n v="17.5879923"/>
    <n v="7.6966072999999996E-2"/>
    <n v="129.4"/>
    <n v="102.94799999999999"/>
    <n v="66.426000000000002"/>
    <n v="0.14914992299999999"/>
    <n v="2.42"/>
    <n v="53.984000000000002"/>
    <s v=""/>
    <n v="-12.442"/>
  </r>
  <r>
    <s v="Turkey"/>
    <x v="13"/>
    <x v="3"/>
    <n v="205.111073"/>
    <n v="2.6070198549999999"/>
    <n v="0.201374051"/>
    <n v="24.375639110000002"/>
    <n v="78.6764522"/>
    <n v="25.294314310000001"/>
    <n v="15.327733609999999"/>
    <n v="28.649000000000001"/>
    <n v="26.460999999999999"/>
    <n v="0.56000000000000005"/>
    <n v="21.180980569999999"/>
    <n v="7.7243006000000003E-2"/>
    <n v="140.58099999999999"/>
    <n v="111.76600000000001"/>
    <n v="64.450999999999993"/>
    <n v="0.12875139599999999"/>
    <n v="2.351"/>
    <n v="48.563000000000002"/>
    <s v=""/>
    <n v="-15.887999999999991"/>
  </r>
  <r>
    <s v="Turkey"/>
    <x v="14"/>
    <x v="3"/>
    <n v="211.56192050000001"/>
    <n v="2.6212012979999999"/>
    <n v="0.189437412"/>
    <n v="24.085807339999999"/>
    <n v="80.711817409999995"/>
    <n v="30.730998419999999"/>
    <n v="15.93956017"/>
    <n v="28.832000000000001"/>
    <n v="26.001999999999999"/>
    <n v="0.68800033400000005"/>
    <n v="22.443000439999999"/>
    <n v="7.2271218999999998E-2"/>
    <n v="150.69800000000001"/>
    <n v="121.142"/>
    <n v="64.787000000000006"/>
    <n v="0.114135556"/>
    <n v="2.2509999999999999"/>
    <n v="46.377000000000002"/>
    <s v=""/>
    <n v="-18.410000000000004"/>
  </r>
  <r>
    <s v="Turkey"/>
    <x v="15"/>
    <x v="3"/>
    <n v="219.44085949999999"/>
    <n v="2.6134019780000002"/>
    <n v="0.18025195799999999"/>
    <n v="23.68560072"/>
    <n v="83.967511060000007"/>
    <n v="24.542468320000001"/>
    <n v="16.596633570000002"/>
    <n v="28.379000000000001"/>
    <n v="25.638000000000002"/>
    <n v="0.89699973099999997"/>
    <n v="27.374979020000001"/>
    <n v="6.8972151999999995E-2"/>
    <n v="161.95599999999999"/>
    <n v="130.26300000000001"/>
    <n v="77.259"/>
    <n v="0.142631332"/>
    <n v="2.258"/>
    <n v="58.34"/>
    <s v=""/>
    <n v="-18.918999999999997"/>
  </r>
  <r>
    <s v="Turkey"/>
    <x v="16"/>
    <x v="3"/>
    <n v="244.90196570000001"/>
    <n v="2.6321005149999999"/>
    <n v="0.18781312999999999"/>
    <n v="26.19889349"/>
    <n v="93.044306000000006"/>
    <n v="25.25368834"/>
    <n v="16.436184000000001"/>
    <n v="29.777000000000001"/>
    <n v="26.234999999999999"/>
    <n v="0.90499887700000003"/>
    <n v="31.183030469999999"/>
    <n v="7.1354846999999999E-2"/>
    <n v="176.29900000000001"/>
    <n v="143.07"/>
    <n v="84.161000000000001"/>
    <n v="0.17129989400000001"/>
    <n v="2.16"/>
    <n v="64.254999999999995"/>
    <s v=""/>
    <n v="-19.906000000000006"/>
  </r>
  <r>
    <s v="Turkey"/>
    <x v="17"/>
    <x v="3"/>
    <n v="268.39449999999999"/>
    <n v="2.6761721839999999"/>
    <n v="0.19597110100000001"/>
    <n v="27.473241699999999"/>
    <n v="100.2904453"/>
    <n v="19.0318337"/>
    <n v="16.851166490000001"/>
    <n v="30.268999999999998"/>
    <n v="25.553999999999998"/>
    <n v="0.89300027900000001"/>
    <n v="36.598984250000001"/>
    <n v="7.3228135999999999E-2"/>
    <n v="191.55799999999999"/>
    <n v="155.13499999999999"/>
    <n v="98.933000000000007"/>
    <n v="0.32157362299999998"/>
    <n v="2.1339999999999999"/>
    <n v="75.364000000000004"/>
    <s v=""/>
    <n v="-23.569000000000003"/>
  </r>
  <r>
    <s v="Turkey"/>
    <x v="18"/>
    <x v="3"/>
    <n v="267.15467580000001"/>
    <n v="2.714990029"/>
    <n v="0.19343085300000001"/>
    <n v="28.66682364"/>
    <n v="98.399873619999994"/>
    <n v="17.347720469999999"/>
    <n v="18.275679409999999"/>
    <n v="29.818000000000001"/>
    <n v="24.39"/>
    <n v="1.0169991410000001"/>
    <n v="36.645011820000001"/>
    <n v="7.1245511999999997E-2"/>
    <n v="198.41800000000001"/>
    <n v="161.94900000000001"/>
    <n v="98.794937689999998"/>
    <n v="0.54128153700000003"/>
    <n v="2.16"/>
    <n v="79.402000000000001"/>
    <s v=""/>
    <n v="-19.392937689999997"/>
  </r>
  <r>
    <s v="Turkey"/>
    <x v="19"/>
    <x v="3"/>
    <n v="266.78396739999999"/>
    <n v="2.7154487879999998"/>
    <n v="0.20269831899999999"/>
    <n v="29.602407079999999"/>
    <n v="98.246731299999993"/>
    <n v="19.578362729999998"/>
    <n v="17.603052000000002"/>
    <n v="30.664999999999999"/>
    <n v="18.637"/>
    <n v="0.68399966599999995"/>
    <n v="35.114988439999998"/>
    <n v="7.4646342000000004E-2"/>
    <n v="194.81200000000001"/>
    <n v="156.89400000000001"/>
    <n v="100.4789377"/>
    <n v="1.0302240110000001"/>
    <n v="2.4020000000000001"/>
    <n v="79.498999999999995"/>
    <s v=""/>
    <n v="-20.979937700000008"/>
  </r>
  <r>
    <s v="Turkey"/>
    <x v="20"/>
    <x v="3"/>
    <n v="273.54121429999998"/>
    <n v="2.5882601740000002"/>
    <n v="0.19157286800000001"/>
    <n v="31.593716260000001"/>
    <n v="105.6853624"/>
    <n v="26.377788720000002"/>
    <n v="18.292032410000001"/>
    <n v="29.465"/>
    <n v="19.907"/>
    <n v="0.68200085600000004"/>
    <n v="38.126956280000002"/>
    <n v="7.4016077999999999E-2"/>
    <n v="211.208"/>
    <n v="172.05"/>
    <n v="94.936000000000007"/>
    <n v="1.7494602480000001"/>
    <n v="2.508"/>
    <n v="73.399000000000001"/>
    <s v=""/>
    <n v="-21.537000000000006"/>
  </r>
  <r>
    <s v="Turkey"/>
    <x v="21"/>
    <x v="3"/>
    <n v="294.30938020000002"/>
    <n v="2.6165305089999999"/>
    <n v="0.18550196899999999"/>
    <n v="30.988190150000001"/>
    <n v="112.4807753"/>
    <n v="25.326840839999999"/>
    <n v="18.904359060000001"/>
    <n v="28.850999999999999"/>
    <n v="22.17"/>
    <n v="0.76100005500000001"/>
    <n v="44.68601821"/>
    <n v="7.0896160999999999E-2"/>
    <n v="229.393"/>
    <n v="186.1"/>
    <n v="100.89100000000001"/>
    <n v="2.4076584730000001"/>
    <n v="2.37"/>
    <n v="75.191999999999993"/>
    <s v=""/>
    <n v="-25.699000000000012"/>
  </r>
  <r>
    <s v="Turkey"/>
    <x v="22"/>
    <x v="3"/>
    <n v="305.95555669999999"/>
    <n v="2.59752239"/>
    <n v="0.18402768899999999"/>
    <n v="30.661174899999999"/>
    <n v="117.787457"/>
    <n v="27.230517420000002"/>
    <n v="18.88190174"/>
    <n v="30.963000000000001"/>
    <n v="23.138999999999999"/>
    <n v="0.63200052200000001"/>
    <n v="45.254005419999999"/>
    <n v="7.0847392999999995E-2"/>
    <n v="239.49600000000001"/>
    <n v="194.923"/>
    <n v="99.119"/>
    <n v="2.8689414439999998"/>
    <n v="2.3380000000000001"/>
    <n v="70.269000000000005"/>
    <s v=""/>
    <n v="-28.849999999999994"/>
  </r>
  <r>
    <s v="Turkey"/>
    <x v="23"/>
    <x v="3"/>
    <n v="294.93728470000002"/>
    <n v="2.5615267930000001"/>
    <n v="0.16351573599999999"/>
    <n v="29.47261172"/>
    <n v="115.1412062"/>
    <n v="28.823171800000001"/>
    <n v="19.318852870000001"/>
    <n v="32.524000000000001"/>
    <n v="23.995000000000001"/>
    <n v="0.53699956199999999"/>
    <n v="45.917989560000002"/>
    <n v="6.3835263000000003E-2"/>
    <n v="240.154"/>
    <n v="198.04499999999999"/>
    <n v="84.415000000000006"/>
    <n v="3.8304587890000001"/>
    <n v="2.577"/>
    <n v="60.393000000000001"/>
    <s v=""/>
    <n v="-24.022000000000006"/>
  </r>
  <r>
    <s v="Turkey"/>
    <x v="24"/>
    <x v="3"/>
    <n v="316.31850209999999"/>
    <n v="2.6534613509999998"/>
    <n v="0.16675400100000001"/>
    <n v="29.049594819999999"/>
    <n v="119.2097642"/>
    <n v="20.887590639999999"/>
    <n v="20.130432299999999"/>
    <n v="32.006"/>
    <n v="21.876000000000001"/>
    <n v="0.47899988500000001"/>
    <n v="48.725979109999997"/>
    <n v="6.2843952999999994E-2"/>
    <n v="251.96299999999999"/>
    <n v="207.375"/>
    <n v="96.828999999999994"/>
    <n v="4.4605755609999997"/>
    <n v="2.6669999999999998"/>
    <n v="65.236999999999995"/>
    <s v=""/>
    <n v="-31.591999999999999"/>
  </r>
  <r>
    <s v="Turkey"/>
    <x v="25"/>
    <x v="3"/>
    <n v="329.01663960000002"/>
    <n v="2.548620063"/>
    <n v="0.163497803"/>
    <n v="31.94342786"/>
    <n v="129.09599370000001"/>
    <n v="31.957002559999999"/>
    <n v="19.294203"/>
    <n v="37.274000000000001"/>
    <n v="29.234000000000002"/>
    <n v="0.38100015199999998"/>
    <n v="48.062010440000002"/>
    <n v="6.4151501E-2"/>
    <n v="261.78300000000002"/>
    <n v="217.31299999999999"/>
    <n v="92.605000000000004"/>
    <n v="6.0225453910000004"/>
    <n v="2.9329999999999998"/>
    <n v="58.414000000000001"/>
    <s v=""/>
    <n v="-34.191000000000003"/>
  </r>
  <r>
    <s v="Turkey"/>
    <x v="26"/>
    <x v="3"/>
    <n v="349.28371090000002"/>
    <n v="2.5518965489999998"/>
    <n v="0.16821345800000001"/>
    <n v="36.255534689999998"/>
    <n v="136.87220629999999"/>
    <n v="32.887160719999997"/>
    <n v="19.6732601"/>
    <n v="40.679000000000002"/>
    <n v="29.605"/>
    <n v="0.36700023999999998"/>
    <n v="46.452974830000002"/>
    <n v="6.5917036999999998E-2"/>
    <n v="274.40800000000002"/>
    <n v="231.20400000000001"/>
    <n v="106.83199999999999"/>
    <n v="8.0507856909999997"/>
    <n v="3.0350000000000001"/>
    <n v="73.004000000000005"/>
    <s v=""/>
    <n v="-33.827999999999989"/>
  </r>
  <r>
    <s v="Turkey"/>
    <x v="27"/>
    <x v="3"/>
    <n v="386.61088899999999"/>
    <n v="2.630132342"/>
    <n v="0.17324700600000001"/>
    <n v="37.05946144"/>
    <n v="146.99294130000001"/>
    <n v="29.34477953"/>
    <n v="19.773998980000002"/>
    <n v="43.052999999999997"/>
    <n v="31.94"/>
    <n v="0.353999854"/>
    <n v="53.986813419999997"/>
    <n v="6.5870072000000002E-2"/>
    <n v="297.27752400000003"/>
    <n v="249.02264600000001"/>
    <n v="112.416797"/>
    <n v="9.3410778679999993"/>
    <n v="3.0449999999999999"/>
    <n v="74.098170999999994"/>
    <s v=""/>
    <n v="-38.318626000000009"/>
  </r>
  <r>
    <s v="Turkey"/>
    <x v="28"/>
    <x v="3"/>
    <n v="383.40231829999999"/>
    <n v="2.6558353889999999"/>
    <n v="0.16708604199999999"/>
    <n v="40.536125640000002"/>
    <n v="144.36222960000001"/>
    <n v="32.075890970000003"/>
    <n v="20.925217480000001"/>
    <n v="40.965736999999997"/>
    <n v="28.227"/>
    <n v="0.42799977"/>
    <n v="49.714262980000001"/>
    <n v="6.2912800000000005E-2"/>
    <n v="304.80188399999997"/>
    <n v="258.23217699999998"/>
    <n v="122.27344600000001"/>
    <n v="11.85366164"/>
    <n v="3.3679999999999999"/>
    <n v="83.936653000000007"/>
    <s v=""/>
    <n v="-38.336793"/>
  </r>
  <r>
    <s v="Turkey"/>
    <x v="29"/>
    <x v="3"/>
    <n v="373.71795029999998"/>
    <n v="2.5834791539999999"/>
    <n v="0.16138570399999999"/>
    <n v="45.755024290000001"/>
    <n v="144.65684759999999"/>
    <n v="43.480715140000001"/>
    <n v="20.631830829999998"/>
    <n v="39.74308465"/>
    <n v="37.070019899999998"/>
    <n v="0.474662101"/>
    <n v="44.832512299999998"/>
    <n v="6.2468359000000001E-2"/>
    <n v="303.89799959999999"/>
    <n v="257.3513519"/>
    <n v="124.692514"/>
    <n v="13.520868460000001"/>
    <n v="3.7161673359999998"/>
    <n v="87.089538610000005"/>
    <s v=""/>
    <n v="-37.602975389999997"/>
  </r>
  <r>
    <s v="Turkey"/>
    <x v="30"/>
    <x v="3"/>
    <n v="354.06612159999997"/>
    <n v="2.516209989"/>
    <n v="0.15019576900000001"/>
    <n v="42.181822840000002"/>
    <n v="140.7140593"/>
    <n v="41.598508950000003"/>
    <n v="20.38216426"/>
    <n v="39.552244549999998"/>
    <n v="35.232855489999999"/>
    <n v="0.44184982"/>
    <n v="47.892039400000002"/>
    <n v="5.9691269999999998E-2"/>
    <n v="305.43182710000002"/>
    <n v="258.63630230000001"/>
    <n v="108.96709989999999"/>
    <n v="15.1177773"/>
    <n v="4.0006881090000004"/>
    <n v="70.376621929999999"/>
    <s v=""/>
    <n v="-38.590477969999995"/>
  </r>
  <r>
    <s v="Ukraine"/>
    <x v="0"/>
    <x v="3"/>
    <n v="690.217491"/>
    <n v="2.7384661590000001"/>
    <n v="0.94374689599999995"/>
    <n v="135.79803889999999"/>
    <n v="252.04528769999999"/>
    <n v="3.5882677730000001"/>
    <n v="11.01745837"/>
    <n v="66.852000000000004"/>
    <n v="61.648000000000003"/>
    <n v="27.8859906"/>
    <n v="113.3430415"/>
    <n v="0.34462609399999999"/>
    <n v="298.83499999999998"/>
    <n v="229.73699999999999"/>
    <n v="149.85300000000001"/>
    <n v="0"/>
    <n v="5.2519999999999998"/>
    <n v="159.21299999999999"/>
    <s v="Above Average"/>
    <n v="9.3599999999999852"/>
  </r>
  <r>
    <s v="Ukraine"/>
    <x v="1"/>
    <x v="3"/>
    <n v="654.85000179999997"/>
    <n v="2.5949015800000002"/>
    <n v="0.97761172799999996"/>
    <n v="118.6186632"/>
    <n v="252.36024620000001"/>
    <n v="4.2794142449999999"/>
    <n v="10.94524938"/>
    <n v="64.320999999999998"/>
    <n v="53.996000000000002"/>
    <n v="23.35198939"/>
    <n v="115.0519894"/>
    <n v="0.37674327800000001"/>
    <n v="278.68299999999999"/>
    <n v="223.89400000000001"/>
    <n v="132.57400000000001"/>
    <n v="0"/>
    <n v="4.9329999999999998"/>
    <n v="135.22999999999999"/>
    <s v="Above Average"/>
    <n v="2.6559999999999775"/>
  </r>
  <r>
    <s v="Ukraine"/>
    <x v="2"/>
    <x v="3"/>
    <n v="564.64073489999998"/>
    <n v="2.5717114080000001"/>
    <n v="0.93347826300000003"/>
    <n v="111.6919747"/>
    <n v="219.55835830000001"/>
    <n v="3.2036558899999998"/>
    <n v="11.874017569999999"/>
    <n v="39.268999999999998"/>
    <n v="37.201000000000001"/>
    <n v="20.881989390000001"/>
    <n v="106.29400529999999"/>
    <n v="0.36297940000000001"/>
    <n v="252.524"/>
    <n v="207.964"/>
    <n v="129.10499999999999"/>
    <n v="0"/>
    <n v="4.4740000000000002"/>
    <n v="126.375"/>
    <s v="Above Average"/>
    <n v="-2.7299999999999898"/>
  </r>
  <r>
    <s v="Ukraine"/>
    <x v="3"/>
    <x v="3"/>
    <n v="502.62257770000002"/>
    <n v="2.5831398110000001"/>
    <n v="0.96876596800000003"/>
    <n v="100.3562613"/>
    <n v="194.5781547"/>
    <n v="4.8876497350000001"/>
    <n v="12.586935759999999"/>
    <n v="28.436"/>
    <n v="23.033999999999999"/>
    <n v="19.2"/>
    <n v="99.251989390000006"/>
    <n v="0.375034276"/>
    <n v="229.90600000000001"/>
    <n v="182.298"/>
    <n v="116.648"/>
    <n v="0"/>
    <n v="4.2480000000000002"/>
    <n v="108.717"/>
    <s v=""/>
    <n v="-7.9309999999999974"/>
  </r>
  <r>
    <s v="Ukraine"/>
    <x v="4"/>
    <x v="3"/>
    <n v="416.14710480000002"/>
    <n v="2.5100676740000001"/>
    <n v="1.040785413"/>
    <n v="87.423394819999999"/>
    <n v="165.79118930000001"/>
    <n v="6.0747479330000003"/>
    <n v="12.696396650000001"/>
    <n v="24.623999999999999"/>
    <n v="20.04"/>
    <n v="18.3"/>
    <n v="88.255013259999998"/>
    <n v="0.41464436399999999"/>
    <n v="202.922"/>
    <n v="158.029"/>
    <n v="91.992000000000004"/>
    <n v="0"/>
    <n v="4.1980000000000004"/>
    <n v="88.597999999999999"/>
    <s v=""/>
    <n v="-3.3940000000000055"/>
  </r>
  <r>
    <s v="Ukraine"/>
    <x v="5"/>
    <x v="3"/>
    <n v="415.0638088"/>
    <n v="2.5352572929999999"/>
    <n v="1.1823190050000001"/>
    <n v="81.61512372"/>
    <n v="163.71664129999999"/>
    <n v="5.2314733679999996"/>
    <n v="12.304417709999999"/>
    <n v="25.475999999999999"/>
    <n v="17.155000000000001"/>
    <n v="18.16099436"/>
    <n v="81.647001540000005"/>
    <n v="0.46635069699999998"/>
    <n v="194.018"/>
    <n v="148.87799999999999"/>
    <n v="91.474999999999994"/>
    <n v="0"/>
    <n v="4.09"/>
    <n v="77.875"/>
    <s v=""/>
    <n v="-13.599999999999994"/>
  </r>
  <r>
    <s v="Ukraine"/>
    <x v="6"/>
    <x v="3"/>
    <n v="350.26494650000001"/>
    <n v="2.335247807"/>
    <n v="1.1085976930000001"/>
    <n v="73.659989879999998"/>
    <n v="149.99048300000001"/>
    <n v="4.8271452459999997"/>
    <n v="11.61540902"/>
    <n v="15.593"/>
    <n v="13.680999999999999"/>
    <n v="18.4079959"/>
    <n v="88.810994359999995"/>
    <n v="0.47472379199999998"/>
    <n v="182.98599999999999"/>
    <n v="134.03899999999999"/>
    <n v="68.418000000000006"/>
    <n v="0"/>
    <n v="4.0979999999999999"/>
    <n v="57.988999999999997"/>
    <s v=""/>
    <n v="-10.429000000000009"/>
  </r>
  <r>
    <s v="Ukraine"/>
    <x v="7"/>
    <x v="3"/>
    <n v="334.74607900000001"/>
    <n v="2.3324860599999999"/>
    <n v="1.0922474980000001"/>
    <n v="74.744789859999997"/>
    <n v="143.51471789999999"/>
    <n v="5.6358917320000002"/>
    <n v="11.705238250000001"/>
    <n v="18.027999999999999"/>
    <n v="13.467000000000001"/>
    <n v="18.13100974"/>
    <n v="79.082906199999996"/>
    <n v="0.46827611000000002"/>
    <n v="178.00200000000001"/>
    <n v="128.952"/>
    <n v="65.643000000000001"/>
    <n v="0"/>
    <n v="4.133"/>
    <n v="59.344999999999999"/>
    <s v=""/>
    <n v="-6.2980000000000018"/>
  </r>
  <r>
    <s v="Ukraine"/>
    <x v="8"/>
    <x v="3"/>
    <n v="317.66324320000001"/>
    <n v="2.3406872839999999"/>
    <n v="1.056582755"/>
    <n v="74.580999590000005"/>
    <n v="135.71366219999999"/>
    <n v="9.2106329060000007"/>
    <n v="12.193789239999999"/>
    <n v="16.542000000000002"/>
    <n v="13.797000000000001"/>
    <n v="17.966991289999999"/>
    <n v="70.927009409999997"/>
    <n v="0.451398511"/>
    <n v="172.822"/>
    <n v="122.33499999999999"/>
    <n v="66.489999999999995"/>
    <n v="1.7358899999999999E-3"/>
    <n v="3.903"/>
    <n v="60.215000000000003"/>
    <s v=""/>
    <n v="-6.2749999999999915"/>
  </r>
  <r>
    <s v="Ukraine"/>
    <x v="9"/>
    <x v="3"/>
    <n v="314.89175210000002"/>
    <n v="2.3311471450000001"/>
    <n v="1.049463399"/>
    <n v="75.548615679999997"/>
    <n v="135.08016979999999"/>
    <n v="8.4260980710000002"/>
    <n v="11.88653609"/>
    <n v="12.298999999999999"/>
    <n v="11.651999999999999"/>
    <n v="18.0920041"/>
    <n v="76.941020289999997"/>
    <n v="0.45019183000000002"/>
    <n v="172.12"/>
    <n v="117.819"/>
    <n v="65.858000000000004"/>
    <n v="1.7429699999999999E-3"/>
    <n v="3.798"/>
    <n v="63.463999999999999"/>
    <s v=""/>
    <n v="-2.3940000000000055"/>
  </r>
  <r>
    <s v="Ukraine"/>
    <x v="10"/>
    <x v="3"/>
    <n v="308.81148230000002"/>
    <n v="2.3077999880000002"/>
    <n v="0.97185951500000001"/>
    <n v="76.440662930000002"/>
    <n v="133.81206510000001"/>
    <n v="6.682026306"/>
    <n v="12.18925359"/>
    <n v="11.565"/>
    <n v="9.2840000000000007"/>
    <n v="17.8840082"/>
    <n v="74.238079130000003"/>
    <n v="0.42111947300000002"/>
    <n v="171.44499999999999"/>
    <n v="115.759"/>
    <n v="66.102999999999994"/>
    <n v="3.4996649999999999E-3"/>
    <n v="3.6930000000000001"/>
    <n v="62.89"/>
    <s v=""/>
    <n v="-3.2129999999999939"/>
  </r>
  <r>
    <s v="Ukraine"/>
    <x v="11"/>
    <x v="3"/>
    <n v="302.45740699999999"/>
    <n v="2.2552237879999999"/>
    <n v="0.87163958100000005"/>
    <n v="76.318705739999999"/>
    <n v="134.11414360000001"/>
    <n v="7.062992854"/>
    <n v="12.052910109999999"/>
    <n v="12.805999999999999"/>
    <n v="16.809000000000001"/>
    <n v="18.336976660000001"/>
    <n v="74.257995899999997"/>
    <n v="0.38649804300000001"/>
    <n v="172.97200000000001"/>
    <n v="122.166"/>
    <n v="63.893999999999998"/>
    <n v="9.2500519999999999E-3"/>
    <n v="3.7029999999999998"/>
    <n v="62.097000000000001"/>
    <s v=""/>
    <n v="-1.796999999999997"/>
  </r>
  <r>
    <s v="Ukraine"/>
    <x v="12"/>
    <x v="3"/>
    <n v="301.50192479999998"/>
    <n v="2.2231500560000002"/>
    <n v="0.82555040300000004"/>
    <n v="76.750040389999995"/>
    <n v="135.6192417"/>
    <n v="5.6471387289999999"/>
    <n v="11.99293969"/>
    <n v="12.907"/>
    <n v="20.629000000000001"/>
    <n v="18.67998995"/>
    <n v="73.320083650000001"/>
    <n v="0.371342636"/>
    <n v="173.73400000000001"/>
    <n v="123.384"/>
    <n v="64.778000000000006"/>
    <n v="1.2663037E-2"/>
    <n v="3.7320000000000002"/>
    <n v="62.241999999999997"/>
    <s v=""/>
    <n v="-2.5360000000000085"/>
  </r>
  <r>
    <s v="Ukraine"/>
    <x v="13"/>
    <x v="3"/>
    <n v="312.69046780000002"/>
    <n v="2.2208474950000001"/>
    <n v="0.78179115499999996"/>
    <n v="75.625136240000003"/>
    <n v="140.7978119"/>
    <n v="5.2234420049999999"/>
    <n v="12.699170179999999"/>
    <n v="13.301"/>
    <n v="22.414000000000001"/>
    <n v="19.004018429999999"/>
    <n v="77.620015379999998"/>
    <n v="0.35202379099999997"/>
    <n v="180.36"/>
    <n v="129.11699999999999"/>
    <n v="70.581000000000003"/>
    <n v="1.7187846999999999E-2"/>
    <n v="3.944"/>
    <n v="60.31"/>
    <s v=""/>
    <n v="-10.271000000000001"/>
  </r>
  <r>
    <s v="Ukraine"/>
    <x v="14"/>
    <x v="3"/>
    <n v="302.06294329999997"/>
    <n v="2.1283097240000002"/>
    <n v="0.67364955900000001"/>
    <n v="78.266815379999997"/>
    <n v="141.92621500000001"/>
    <n v="6.544067192"/>
    <n v="12.312605209999999"/>
    <n v="13.331"/>
    <n v="22.03"/>
    <n v="20.11602323"/>
    <n v="78.566943699999996"/>
    <n v="0.316518574"/>
    <n v="182.16499999999999"/>
    <n v="135.09800000000001"/>
    <n v="64.588999999999999"/>
    <n v="1.8115445000000001E-2"/>
    <n v="4.274"/>
    <n v="59.904000000000003"/>
    <s v=""/>
    <n v="-4.6849999999999952"/>
  </r>
  <r>
    <s v="Ukraine"/>
    <x v="15"/>
    <x v="3"/>
    <n v="311.3361769"/>
    <n v="2.2073399149999999"/>
    <n v="0.67412444999999999"/>
    <n v="79.165232180000004"/>
    <n v="141.0458692"/>
    <n v="6.7415549170000002"/>
    <n v="12.76492242"/>
    <n v="13.622"/>
    <n v="19.225999999999999"/>
    <n v="20.442019070000001"/>
    <n v="77.613929339999999"/>
    <n v="0.30540128700000002"/>
    <n v="186.05500000000001"/>
    <n v="137.89699999999999"/>
    <n v="64.144999999999996"/>
    <n v="2.0424068E-2"/>
    <n v="4.375"/>
    <n v="61.033000000000001"/>
    <s v=""/>
    <n v="-3.1119999999999948"/>
  </r>
  <r>
    <s v="Ukraine"/>
    <x v="16"/>
    <x v="3"/>
    <n v="305.68309140000002"/>
    <n v="2.2346875270000002"/>
    <n v="0.61605048299999998"/>
    <n v="82.366339969999999"/>
    <n v="136.79008260000001"/>
    <n v="6.75816135"/>
    <n v="13.37434358"/>
    <n v="13.967000000000001"/>
    <n v="15.177"/>
    <n v="20.739991400000001"/>
    <n v="69.484032510000006"/>
    <n v="0.27567634200000002"/>
    <n v="193.381"/>
    <n v="143.60300000000001"/>
    <n v="69.638999999999996"/>
    <n v="1.8098986000000001E-2"/>
    <n v="4.5220000000000002"/>
    <n v="64.537000000000006"/>
    <s v=""/>
    <n v="-5.1019999999999897"/>
  </r>
  <r>
    <s v="Ukraine"/>
    <x v="17"/>
    <x v="3"/>
    <n v="315.1430398"/>
    <n v="2.2634199750000001"/>
    <n v="0.59029172200000002"/>
    <n v="84.813074529999994"/>
    <n v="139.2331265"/>
    <n v="5.39360309"/>
    <n v="13.267333730000001"/>
    <n v="14.305999999999999"/>
    <n v="14.704000000000001"/>
    <n v="20.744975610000001"/>
    <n v="68.746026569999998"/>
    <n v="0.260796374"/>
    <n v="196.251"/>
    <n v="148.71899999999999"/>
    <n v="72.769000000000005"/>
    <n v="2.2929819000000001E-2"/>
    <n v="4.46"/>
    <n v="64.620999999999995"/>
    <s v=""/>
    <n v="-8.1480000000000103"/>
  </r>
  <r>
    <s v="Ukraine"/>
    <x v="18"/>
    <x v="3"/>
    <n v="303.95640609999998"/>
    <n v="2.2576769809999999"/>
    <n v="0.55651584899999995"/>
    <n v="84.292612599999998"/>
    <n v="134.6323715"/>
    <n v="6.1380370329999998"/>
    <n v="13.96524986"/>
    <n v="14.154999999999999"/>
    <n v="11.747"/>
    <n v="21.079010740000001"/>
    <n v="64.862070059999994"/>
    <n v="0.24649932399999999"/>
    <n v="192.58600000000001"/>
    <n v="148.315"/>
    <n v="70.938999999999993"/>
    <n v="2.3366184000000002E-2"/>
    <n v="4.3979999999999997"/>
    <n v="64.796999999999997"/>
    <s v=""/>
    <n v="-6.1419999999999959"/>
  </r>
  <r>
    <s v="Ukraine"/>
    <x v="19"/>
    <x v="3"/>
    <n v="257.48696200000001"/>
    <n v="2.2508095410000002"/>
    <n v="0.55305793400000003"/>
    <n v="79.388854679999994"/>
    <n v="114.39749"/>
    <n v="6.9796508450000001"/>
    <n v="14.82590467"/>
    <n v="13.507"/>
    <n v="11.89"/>
    <n v="21.139026730000001"/>
    <n v="50.622004420000003"/>
    <n v="0.24571511900000001"/>
    <n v="173.619"/>
    <n v="134.21"/>
    <n v="60.947000000000003"/>
    <n v="2.4766875000000001E-2"/>
    <n v="4.0039999999999996"/>
    <n v="60.082999999999998"/>
    <s v=""/>
    <n v="-0.86400000000000432"/>
  </r>
  <r>
    <s v="Ukraine"/>
    <x v="20"/>
    <x v="3"/>
    <n v="276.57682620000003"/>
    <n v="2.0906895219999999"/>
    <n v="0.57212373599999999"/>
    <n v="78.816726130000006"/>
    <n v="132.28976539999999"/>
    <n v="7.0916389520000003"/>
    <n v="15.176916350000001"/>
    <n v="13.115"/>
    <n v="11.923999999999999"/>
    <n v="20.17798384"/>
    <n v="56.724000750000002"/>
    <n v="0.27365313200000002"/>
    <n v="188.828"/>
    <n v="148.18799999999999"/>
    <n v="65.081000000000003"/>
    <n v="2.7008706E-2"/>
    <n v="3.617"/>
    <n v="58.088999999999999"/>
    <s v=""/>
    <n v="-6.9920000000000044"/>
  </r>
  <r>
    <s v="Ukraine"/>
    <x v="21"/>
    <x v="3"/>
    <n v="290.81447229999998"/>
    <n v="2.2999308420000002"/>
    <n v="0.57040016900000001"/>
    <n v="85.571862400000001"/>
    <n v="126.4448769"/>
    <n v="5.7451217760000004"/>
    <n v="15.371848330000001"/>
    <n v="12.968"/>
    <n v="9.6340000000000003"/>
    <n v="20.30199824"/>
    <n v="58.401075079999998"/>
    <n v="0.248007531"/>
    <n v="194.94800000000001"/>
    <n v="152.084"/>
    <n v="71.09"/>
    <n v="6.1554876000000001E-2"/>
    <n v="3.4359999999999999"/>
    <n v="70.179000000000002"/>
    <s v=""/>
    <n v="-0.91100000000000136"/>
  </r>
  <r>
    <s v="Ukraine"/>
    <x v="22"/>
    <x v="3"/>
    <n v="285.1153746"/>
    <n v="2.3293512870000002"/>
    <n v="0.55789044399999999"/>
    <n v="85.277586040000003"/>
    <n v="122.4011922"/>
    <n v="5.907641871"/>
    <n v="15.62468715"/>
    <n v="12.734999999999999"/>
    <n v="5.1340000000000003"/>
    <n v="20.14800224"/>
    <n v="53.451937229999999"/>
    <n v="0.23950464099999999"/>
    <n v="198.87799999999999"/>
    <n v="149.81700000000001"/>
    <n v="71.52"/>
    <n v="0.312251732"/>
    <n v="3.4609999999999999"/>
    <n v="68.12"/>
    <s v=""/>
    <n v="-3.3999999999999915"/>
  </r>
  <r>
    <s v="Ukraine"/>
    <x v="23"/>
    <x v="3"/>
    <n v="273.98627570000002"/>
    <n v="2.3607599779999999"/>
    <n v="0.53625727300000003"/>
    <n v="86.239986020000003"/>
    <n v="116.05850580000001"/>
    <n v="8.1192733710000002"/>
    <n v="16.186026600000002"/>
    <n v="12.193"/>
    <n v="4.1829999999999998"/>
    <n v="20.956970599999998"/>
    <n v="49.488019659999999"/>
    <n v="0.227154509"/>
    <n v="194.37700000000001"/>
    <n v="147.505"/>
    <n v="70.489000000000004"/>
    <n v="0.62198716899999995"/>
    <n v="3.2189999999999999"/>
    <n v="69.477000000000004"/>
    <s v=""/>
    <n v="-1.0120000000000005"/>
  </r>
  <r>
    <s v="Ukraine"/>
    <x v="24"/>
    <x v="3"/>
    <n v="231.1547109"/>
    <n v="2.1883473329999998"/>
    <n v="0.48415007199999999"/>
    <n v="77.270187379999996"/>
    <n v="105.6298091"/>
    <n v="6.0223829159999998"/>
    <n v="17.40812167"/>
    <n v="10.500999999999999"/>
    <n v="3.3959999999999999"/>
    <n v="19.735978899999999"/>
    <n v="41.026963510000002"/>
    <n v="0.22124004899999999"/>
    <n v="182.81800000000001"/>
    <n v="133.857"/>
    <n v="61.398000000000003"/>
    <n v="0.85276066900000003"/>
    <n v="2.8759999999999999"/>
    <n v="56.465000000000003"/>
    <s v=""/>
    <n v="-4.9329999999999998"/>
  </r>
  <r>
    <s v="Ukraine"/>
    <x v="25"/>
    <x v="3"/>
    <n v="191.6828342"/>
    <n v="2.0658051980000001"/>
    <n v="0.44496292999999998"/>
    <n v="64.414744959999993"/>
    <n v="92.788436379999993"/>
    <n v="5.3011326839999997"/>
    <n v="19.117088249999998"/>
    <n v="9.859"/>
    <n v="2.9140000000000001"/>
    <n v="19.516980879999998"/>
    <n v="33.120018610000002"/>
    <n v="0.215394428"/>
    <n v="163.68199999999999"/>
    <n v="124.45"/>
    <n v="52.082999999999998"/>
    <n v="0.95367847400000005"/>
    <n v="2.6640000000000001"/>
    <n v="35.448999999999998"/>
    <s v=""/>
    <n v="-16.634"/>
  </r>
  <r>
    <s v="Ukraine"/>
    <x v="26"/>
    <x v="3"/>
    <n v="192.2639715"/>
    <n v="2.1010907959999998"/>
    <n v="0.43567709799999998"/>
    <n v="63.450694749999997"/>
    <n v="91.506741120000001"/>
    <n v="6.6140861500000003"/>
    <n v="18.410597840000001"/>
    <n v="10.805999999999999"/>
    <n v="3.153"/>
    <n v="19.704974150000002"/>
    <n v="32.171002340000001"/>
    <n v="0.20735757799999999"/>
    <n v="164.57300000000001"/>
    <n v="123.624"/>
    <n v="51.884"/>
    <n v="0.87802981000000002"/>
    <n v="2.2949999999999999"/>
    <n v="36.414999999999999"/>
    <s v=""/>
    <n v="-15.469000000000001"/>
  </r>
  <r>
    <s v="Ukraine"/>
    <x v="27"/>
    <x v="3"/>
    <n v="176.68342250000001"/>
    <n v="1.9761643419999999"/>
    <n v="0.390735271"/>
    <n v="58.814945520000002"/>
    <n v="89.40725157"/>
    <n v="7.9797174489999998"/>
    <n v="19.364231650000001"/>
    <n v="10.241"/>
    <n v="2.9569999999999999"/>
    <n v="20.16002263"/>
    <n v="30.96397558"/>
    <n v="0.197724077"/>
    <n v="156.03559999999999"/>
    <n v="121.3686"/>
    <n v="44.5809"/>
    <n v="1.1035302199999999"/>
    <n v="2.2930000000000001"/>
    <n v="24.8188"/>
    <s v=""/>
    <n v="-19.7621"/>
  </r>
  <r>
    <s v="Ukraine"/>
    <x v="28"/>
    <x v="3"/>
    <n v="187.70378819999999"/>
    <n v="2.0080938310000001"/>
    <n v="0.40170787899999999"/>
    <n v="60.864260539999997"/>
    <n v="93.473614249999997"/>
    <n v="9.1353420150000009"/>
    <n v="18.97919757"/>
    <n v="10.543900000000001"/>
    <n v="2.4588000000000001"/>
    <n v="20.451314329999999"/>
    <n v="31.084395099999998"/>
    <n v="0.200044377"/>
    <n v="159.8528"/>
    <n v="122.455"/>
    <n v="49.4315"/>
    <n v="1.436258858"/>
    <n v="2.4626579999999998"/>
    <n v="26.970700000000001"/>
    <s v=""/>
    <n v="-22.460799999999999"/>
  </r>
  <r>
    <s v="Ukraine"/>
    <x v="29"/>
    <x v="3"/>
    <n v="174.41399079999999"/>
    <n v="1.951738601"/>
    <n v="0.36157640600000002"/>
    <n v="61.357769419999997"/>
    <n v="89.363396690000002"/>
    <n v="7.1233086989999999"/>
    <n v="19.595629559999999"/>
    <n v="10.587386260000001"/>
    <n v="1.2726051650000001"/>
    <n v="20.241415549999999"/>
    <n v="27.535574990000001"/>
    <n v="0.18525862300000001"/>
    <n v="152.0653868"/>
    <n v="119.516768"/>
    <n v="45.507460309999999"/>
    <n v="1.9881979869999999"/>
    <n v="2.6063996669999998"/>
    <n v="26.328683340000001"/>
    <s v=""/>
    <n v="-19.178776969999998"/>
  </r>
  <r>
    <s v="Ukraine"/>
    <x v="30"/>
    <x v="3"/>
    <n v="169.71988959999999"/>
    <n v="1.9642359730000001"/>
    <n v="0.37914342400000001"/>
    <n v="57.264391699999997"/>
    <n v="86.405040889999995"/>
    <n v="8.3595361570000009"/>
    <n v="19.36362325"/>
    <n v="10.41475805"/>
    <n v="1.1832332889999999"/>
    <n v="19.813987359999999"/>
    <n v="28.974824659999999"/>
    <n v="0.19302335800000001"/>
    <n v="142.8899984"/>
    <n v="116.4970036"/>
    <n v="42.358519049999998"/>
    <n v="3.0741460350000001"/>
    <n v="2.5732039439999999"/>
    <n v="24.303095110000001"/>
    <s v=""/>
    <n v="-18.055423939999997"/>
  </r>
  <r>
    <s v="United Arab Emirates"/>
    <x v="0"/>
    <x v="5"/>
    <n v="52.123659410000002"/>
    <n v="2.5565319209999999"/>
    <n v="0.25932364000000002"/>
    <n v="110.2026743"/>
    <n v="20.388425030000001"/>
    <n v="0"/>
    <n v="7.6200284519999997"/>
    <n v="6.3259999999999996"/>
    <n v="10.316000000000001"/>
    <n v="20.11"/>
    <n v="16.91"/>
    <n v="0.101435714"/>
    <n v="17.079999999999998"/>
    <n v="14.347"/>
    <n v="0"/>
    <n v="0"/>
    <n v="91.692999999999998"/>
    <m/>
    <s v=""/>
    <n v="0"/>
  </r>
  <r>
    <s v="United Arab Emirates"/>
    <x v="1"/>
    <x v="5"/>
    <n v="59.443098790000001"/>
    <n v="2.5340643360000001"/>
    <n v="0.29321712799999999"/>
    <n v="127.29188600000001"/>
    <n v="23.457612319999999"/>
    <n v="0"/>
    <n v="6.5230972390000002"/>
    <n v="6.5369999999999999"/>
    <n v="11.151999999999999"/>
    <n v="23.81"/>
    <n v="20.36"/>
    <n v="0.11571021500000001"/>
    <n v="17.350999999999999"/>
    <n v="14.574999999999999"/>
    <n v="0"/>
    <n v="0"/>
    <n v="105.43300000000001"/>
    <m/>
    <s v=""/>
    <n v="0"/>
  </r>
  <r>
    <s v="United Arab Emirates"/>
    <x v="2"/>
    <x v="5"/>
    <n v="56.898601960000001"/>
    <n v="2.5472078730000001"/>
    <n v="0.27158154299999998"/>
    <n v="133.9663195"/>
    <n v="22.33763587"/>
    <n v="0"/>
    <n v="7.5656399920000004"/>
    <n v="6.8"/>
    <n v="12.113"/>
    <n v="22.17"/>
    <n v="18.75"/>
    <n v="0.106619309"/>
    <n v="18.689"/>
    <n v="15.699"/>
    <n v="0"/>
    <n v="0"/>
    <n v="113.34"/>
    <m/>
    <s v=""/>
    <n v="0"/>
  </r>
  <r>
    <s v="United Arab Emirates"/>
    <x v="3"/>
    <x v="5"/>
    <n v="60.356952"/>
    <n v="2.5691010639999998"/>
    <n v="0.284500429"/>
    <n v="131.29131169999999"/>
    <n v="23.49341287"/>
    <n v="0"/>
    <n v="8.514961478"/>
    <n v="7.2679999999999998"/>
    <n v="12.23"/>
    <n v="22.99"/>
    <n v="19.64"/>
    <n v="0.11073929"/>
    <n v="21.73"/>
    <n v="18.253"/>
    <n v="0"/>
    <n v="0"/>
    <n v="110.03700000000001"/>
    <m/>
    <s v=""/>
    <n v="0"/>
  </r>
  <r>
    <s v="United Arab Emirates"/>
    <x v="4"/>
    <x v="5"/>
    <n v="66.340529029999999"/>
    <n v="2.5490727980000001"/>
    <n v="0.29253140599999999"/>
    <n v="133.5706587"/>
    <n v="26.025356779999999"/>
    <n v="0"/>
    <n v="8.4503769070000008"/>
    <n v="7.1139999999999999"/>
    <n v="12.026"/>
    <n v="26.86"/>
    <n v="22.707028340000001"/>
    <n v="0.114759926"/>
    <n v="23.736000000000001"/>
    <n v="19.937999999999999"/>
    <n v="0"/>
    <n v="0"/>
    <n v="109.089"/>
    <m/>
    <s v=""/>
    <n v="0"/>
  </r>
  <r>
    <s v="United Arab Emirates"/>
    <x v="5"/>
    <x v="5"/>
    <n v="70.543074759999996"/>
    <n v="2.5503737740000001"/>
    <n v="0.291563289"/>
    <n v="137.03687170000001"/>
    <n v="27.659896549999999"/>
    <n v="0"/>
    <n v="8.5126133460000002"/>
    <n v="7.17"/>
    <n v="11.882"/>
    <n v="31.32"/>
    <n v="24.776988889999998"/>
    <n v="0.11432178799999999"/>
    <n v="24.981999999999999"/>
    <n v="21.484999999999999"/>
    <n v="0"/>
    <n v="0"/>
    <n v="108.821"/>
    <m/>
    <s v=""/>
    <n v="0"/>
  </r>
  <r>
    <s v="United Arab Emirates"/>
    <x v="6"/>
    <x v="5"/>
    <n v="73.664012209999996"/>
    <n v="2.5207637250000001"/>
    <n v="0.28777609100000001"/>
    <n v="140.02301550000001"/>
    <n v="29.222894419999999"/>
    <n v="0"/>
    <n v="8.6120130600000007"/>
    <n v="6.7089999999999996"/>
    <n v="13.911"/>
    <n v="33.799999999999997"/>
    <n v="27.136970739999999"/>
    <n v="0.114162263"/>
    <n v="26.571999999999999"/>
    <n v="22.852"/>
    <n v="0"/>
    <n v="0"/>
    <n v="109.712"/>
    <m/>
    <s v=""/>
    <n v="0"/>
  </r>
  <r>
    <s v="United Arab Emirates"/>
    <x v="7"/>
    <x v="5"/>
    <n v="77.589669639999997"/>
    <n v="2.516915397"/>
    <n v="0.280165414"/>
    <n v="147.25188370000001"/>
    <n v="30.827285549999999"/>
    <n v="0"/>
    <n v="9.1382299049999993"/>
    <n v="6.806"/>
    <n v="13.285"/>
    <n v="36.31"/>
    <n v="28.987030839999999"/>
    <n v="0.11131300399999999"/>
    <n v="28.4"/>
    <n v="25.5"/>
    <n v="0"/>
    <n v="0"/>
    <n v="114.746"/>
    <m/>
    <s v=""/>
    <n v="0"/>
  </r>
  <r>
    <s v="United Arab Emirates"/>
    <x v="8"/>
    <x v="5"/>
    <n v="79.394829740000006"/>
    <n v="2.5168603749999998"/>
    <n v="0.28584893099999997"/>
    <n v="150.50505150000001"/>
    <n v="31.54518642"/>
    <n v="0"/>
    <n v="10.82054681"/>
    <n v="6.9189999999999996"/>
    <n v="14.28"/>
    <n v="36.549999999999997"/>
    <n v="29.907026120000001"/>
    <n v="0.113573615"/>
    <n v="33.392000000000003"/>
    <n v="30.632999999999999"/>
    <n v="0"/>
    <n v="0"/>
    <n v="117.744"/>
    <m/>
    <s v=""/>
    <n v="0"/>
  </r>
  <r>
    <s v="United Arab Emirates"/>
    <x v="9"/>
    <x v="5"/>
    <n v="81.742921420000002"/>
    <n v="2.5366580179999998"/>
    <n v="0.28600247299999998"/>
    <n v="142.33589710000001"/>
    <n v="32.224651829999999"/>
    <n v="0"/>
    <n v="12.49286354"/>
    <n v="7"/>
    <n v="17.952000000000002"/>
    <n v="37.54"/>
    <n v="30.90798603"/>
    <n v="0.112747746"/>
    <n v="37.125999999999998"/>
    <n v="35.765999999999998"/>
    <n v="0"/>
    <n v="0"/>
    <n v="108.904"/>
    <m/>
    <s v=""/>
    <n v="0"/>
  </r>
  <r>
    <s v="United Arab Emirates"/>
    <x v="10"/>
    <x v="5"/>
    <n v="80.934064620000001"/>
    <n v="2.5715569390000002"/>
    <n v="0.255449286"/>
    <n v="153.88846319999999"/>
    <n v="31.472787319999998"/>
    <n v="0"/>
    <n v="14.08305554"/>
    <n v="7.3819999999999997"/>
    <n v="21.041"/>
    <n v="36.83"/>
    <n v="29.88"/>
    <n v="9.9336430000000003E-2"/>
    <n v="39.944000000000003"/>
    <n v="37.866"/>
    <n v="0"/>
    <n v="0"/>
    <n v="120.837"/>
    <m/>
    <s v=""/>
    <n v="0"/>
  </r>
  <r>
    <s v="United Arab Emirates"/>
    <x v="11"/>
    <x v="5"/>
    <n v="93.866654960000005"/>
    <n v="2.3466318899999998"/>
    <n v="0.29218010900000002"/>
    <n v="155.16710839999999"/>
    <n v="40.000587799999998"/>
    <n v="0"/>
    <n v="12.17418108"/>
    <n v="7.8330000000000002"/>
    <n v="28.207999999999998"/>
    <n v="42.74"/>
    <n v="35.659999999999997"/>
    <n v="0.124510414"/>
    <n v="43.171999999999997"/>
    <n v="38.405999999999999"/>
    <n v="0.03"/>
    <n v="0"/>
    <n v="117.226"/>
    <m/>
    <s v=""/>
    <n v="-0.03"/>
  </r>
  <r>
    <s v="United Arab Emirates"/>
    <x v="12"/>
    <x v="5"/>
    <n v="95.693431469999993"/>
    <n v="2.42864996"/>
    <n v="0.290790092"/>
    <n v="148.27249459999999"/>
    <n v="39.401903539999999"/>
    <n v="0"/>
    <n v="13.315544060000001"/>
    <n v="8.3849999999999998"/>
    <n v="26.917999999999999"/>
    <n v="42.54"/>
    <n v="35.584963039999998"/>
    <n v="0.119733225"/>
    <n v="46.856000000000002"/>
    <n v="40.820999999999998"/>
    <n v="0.153"/>
    <n v="0"/>
    <n v="110.61799999999999"/>
    <m/>
    <s v=""/>
    <n v="-0.153"/>
  </r>
  <r>
    <s v="United Arab Emirates"/>
    <x v="13"/>
    <x v="5"/>
    <n v="100.0465651"/>
    <n v="2.5986386769999998"/>
    <n v="0.27942715200000001"/>
    <n v="162.30867470000001"/>
    <n v="38.499605979999998"/>
    <n v="0"/>
    <n v="13.98422704"/>
    <n v="9.0500000000000007"/>
    <n v="26.009"/>
    <n v="43.56"/>
    <n v="36.644965759999998"/>
    <n v="0.107528282"/>
    <n v="49.45"/>
    <n v="43.066000000000003"/>
    <n v="0.18"/>
    <n v="0"/>
    <n v="123.566"/>
    <m/>
    <s v=""/>
    <n v="-0.18"/>
  </r>
  <r>
    <s v="United Arab Emirates"/>
    <x v="14"/>
    <x v="5"/>
    <n v="106.1617445"/>
    <n v="2.537664586"/>
    <n v="0.270618156"/>
    <n v="170.07379330000001"/>
    <n v="41.834427259999998"/>
    <n v="0"/>
    <n v="15.126834540000001"/>
    <n v="9.1669999999999998"/>
    <n v="25.795999999999999"/>
    <n v="45.04"/>
    <n v="39.574001090000003"/>
    <n v="0.106640632"/>
    <n v="52.417000000000002"/>
    <n v="45.411999999999999"/>
    <n v="0.20399999999999999"/>
    <n v="0"/>
    <n v="129.97499999999999"/>
    <m/>
    <s v=""/>
    <n v="-0.20399999999999999"/>
  </r>
  <r>
    <s v="United Arab Emirates"/>
    <x v="15"/>
    <x v="5"/>
    <n v="112.6581657"/>
    <n v="2.5328967979999999"/>
    <n v="0.27388095299999998"/>
    <n v="175.40067740000001"/>
    <n v="44.47799285"/>
    <n v="0"/>
    <n v="16.505933500000001"/>
    <n v="9.702"/>
    <n v="25.05"/>
    <n v="47.79"/>
    <n v="42.013994840000002"/>
    <n v="0.108129535"/>
    <n v="60.698"/>
    <n v="53.128"/>
    <n v="0.23599999999999999"/>
    <n v="0"/>
    <n v="132.94300000000001"/>
    <m/>
    <s v=""/>
    <n v="-0.23599999999999999"/>
  </r>
  <r>
    <s v="United Arab Emirates"/>
    <x v="16"/>
    <x v="5"/>
    <n v="116.63527240000001"/>
    <n v="2.5238835979999998"/>
    <n v="0.25815416499999999"/>
    <n v="185.1791025"/>
    <n v="46.212619500000002"/>
    <n v="0"/>
    <n v="17.857859810000001"/>
    <n v="10.109"/>
    <n v="24.167999999999999"/>
    <n v="48.79"/>
    <n v="43.07399212"/>
    <n v="0.102284497"/>
    <n v="66.768000000000001"/>
    <n v="58.26"/>
    <n v="0.45700000000000002"/>
    <n v="0"/>
    <n v="141.72499999999999"/>
    <m/>
    <s v=""/>
    <n v="-0.45700000000000002"/>
  </r>
  <r>
    <s v="United Arab Emirates"/>
    <x v="17"/>
    <x v="5"/>
    <n v="125.5880816"/>
    <n v="2.503791375"/>
    <n v="0.26939135400000003"/>
    <n v="183.32170769999999"/>
    <n v="50.159163739999997"/>
    <n v="0"/>
    <n v="18.457532199999999"/>
    <n v="10.475"/>
    <n v="23.196000000000002"/>
    <n v="48.596007200000003"/>
    <n v="47.586981440000002"/>
    <n v="0.10759337099999999"/>
    <n v="78.760999999999996"/>
    <n v="71.149000000000001"/>
    <n v="0.22"/>
    <n v="0"/>
    <n v="140.06"/>
    <m/>
    <s v=""/>
    <n v="-0.22"/>
  </r>
  <r>
    <s v="United Arab Emirates"/>
    <x v="18"/>
    <x v="5"/>
    <n v="147.43027609999999"/>
    <n v="2.4844958570000002"/>
    <n v="0.30646195300000001"/>
    <n v="185.57193029999999"/>
    <n v="59.34011752"/>
    <n v="0"/>
    <n v="16.575292910000002"/>
    <n v="11.156000000000001"/>
    <n v="22.085999999999999"/>
    <n v="48.500014100000001"/>
    <n v="57.535981049999997"/>
    <n v="0.12334975400000001"/>
    <n v="80.462999999999994"/>
    <n v="72.686999999999998"/>
    <n v="0.55700000000000005"/>
    <n v="0"/>
    <n v="142.35"/>
    <m/>
    <s v=""/>
    <n v="-0.55700000000000005"/>
  </r>
  <r>
    <s v="United Arab Emirates"/>
    <x v="19"/>
    <x v="5"/>
    <n v="149.66993840000001"/>
    <n v="2.3551936100000002"/>
    <n v="0.32833169200000001"/>
    <n v="171.79578050000001"/>
    <n v="63.548889459999998"/>
    <n v="7.0013300000000001E-3"/>
    <n v="15.40664495"/>
    <n v="12.67"/>
    <n v="23.321000000000002"/>
    <n v="47.186055279999998"/>
    <n v="57.230046950000002"/>
    <n v="0.13940751700000001"/>
    <n v="85.697999999999993"/>
    <n v="77.415999999999997"/>
    <n v="0.40799999999999997"/>
    <n v="7.0013300000000001E-3"/>
    <n v="129.899"/>
    <m/>
    <s v=""/>
    <n v="-0.40799999999999997"/>
  </r>
  <r>
    <s v="United Arab Emirates"/>
    <x v="20"/>
    <x v="5"/>
    <n v="156.4651867"/>
    <n v="2.5512316890000002"/>
    <n v="0.33782378899999999"/>
    <n v="180.69295650000001"/>
    <n v="61.329273780000001"/>
    <n v="1.8094923999999998E-2"/>
    <n v="15.9962169"/>
    <n v="13.179"/>
    <n v="27.908000000000001"/>
    <n v="51.281987309999998"/>
    <n v="60.929982590000002"/>
    <n v="0.132415958"/>
    <n v="93.948999999999998"/>
    <n v="84.869"/>
    <n v="0.97899999999999998"/>
    <n v="1.8094923999999998E-2"/>
    <n v="136.69499999999999"/>
    <m/>
    <s v=""/>
    <n v="-0.97899999999999998"/>
  </r>
  <r>
    <s v="United Arab Emirates"/>
    <x v="21"/>
    <x v="5"/>
    <n v="160.32297650000001"/>
    <n v="2.6599762720000002"/>
    <n v="0.32371856300000001"/>
    <n v="196.67800940000001"/>
    <n v="60.272333320000001"/>
    <n v="1.8156691999999999E-2"/>
    <n v="16.194604900000002"/>
    <n v="13.656000000000001"/>
    <n v="30.58"/>
    <n v="52.307996500000002"/>
    <n v="63.04295784"/>
    <n v="0.121699793"/>
    <n v="99.137"/>
    <n v="89.536000000000001"/>
    <n v="0.66300000000000003"/>
    <n v="1.8156691999999999E-2"/>
    <n v="151.58099999999999"/>
    <m/>
    <s v=""/>
    <n v="-0.66300000000000003"/>
  </r>
  <r>
    <s v="United Arab Emirates"/>
    <x v="22"/>
    <x v="5"/>
    <n v="171.05611260000001"/>
    <n v="2.6724758089999998"/>
    <n v="0.330565893"/>
    <n v="206.21055250000001"/>
    <n v="64.00660843"/>
    <n v="1.7887067E-2"/>
    <n v="16.009299240000001"/>
    <n v="14.416"/>
    <n v="32.136000000000003"/>
    <n v="54.300007960000002"/>
    <n v="66.21492078"/>
    <n v="0.123692754"/>
    <n v="106.22199999999999"/>
    <n v="95.923000000000002"/>
    <n v="2.09"/>
    <n v="1.7887067E-2"/>
    <n v="159.36000000000001"/>
    <m/>
    <s v=""/>
    <n v="-2.09"/>
  </r>
  <r>
    <s v="United Arab Emirates"/>
    <x v="23"/>
    <x v="5"/>
    <n v="177.8383053"/>
    <n v="2.633200934"/>
    <n v="0.327140916"/>
    <n v="214.82136729999999"/>
    <n v="67.536929299999997"/>
    <n v="7.0013365999999994E-2"/>
    <n v="15.94842478"/>
    <n v="16.079999999999998"/>
    <n v="33.234000000000002"/>
    <n v="54.599989379999997"/>
    <n v="67.499953559999994"/>
    <n v="0.124236974"/>
    <n v="109.979"/>
    <n v="101.541"/>
    <n v="2.6549999999999998"/>
    <n v="7.0013365999999994E-2"/>
    <n v="167.57"/>
    <m/>
    <s v=""/>
    <n v="-2.6549999999999998"/>
  </r>
  <r>
    <s v="United Arab Emirates"/>
    <x v="24"/>
    <x v="5"/>
    <n v="176.830974"/>
    <n v="2.3905469529999999"/>
    <n v="0.31192411199999998"/>
    <n v="210.56116610000001"/>
    <n v="73.970926930000005"/>
    <n v="0.25058355100000002"/>
    <n v="17.581223099999999"/>
    <n v="15.631"/>
    <n v="31.128"/>
    <n v="54.24499058"/>
    <n v="66.321983070000002"/>
    <n v="0.13048232000000001"/>
    <n v="116.52800000000001"/>
    <n v="107.636"/>
    <n v="2.94"/>
    <n v="0.25058355100000002"/>
    <n v="163.62100000000001"/>
    <m/>
    <s v=""/>
    <n v="-2.94"/>
  </r>
  <r>
    <s v="United Arab Emirates"/>
    <x v="25"/>
    <x v="5"/>
    <n v="187.58303129999999"/>
    <n v="2.4748978780000002"/>
    <n v="0.314816082"/>
    <n v="229.63530249999999"/>
    <n v="75.794251130000006"/>
    <n v="0.23004750099999999"/>
    <n v="17.313302870000001"/>
    <n v="15.196"/>
    <n v="49.045000000000002"/>
    <n v="60.181002679999999"/>
    <n v="74.24500184"/>
    <n v="0.12720366599999999"/>
    <n v="127.36499999999999"/>
    <n v="115.056"/>
    <n v="2.5779999999999998"/>
    <n v="0.23004750099999999"/>
    <n v="177.63399999999999"/>
    <m/>
    <s v=""/>
    <n v="-2.5779999999999998"/>
  </r>
  <r>
    <s v="United Arab Emirates"/>
    <x v="26"/>
    <x v="5"/>
    <n v="193.20371230000001"/>
    <n v="2.4377229520000001"/>
    <n v="0.31461876799999999"/>
    <n v="236.64036150000001"/>
    <n v="79.255812129999995"/>
    <n v="0.23920491399999999"/>
    <n v="16.970885129999999"/>
    <n v="16.701000000000001"/>
    <n v="58.823999999999998"/>
    <n v="61.084031340000003"/>
    <n v="74.696900929999998"/>
    <n v="0.12906256099999999"/>
    <n v="129.596"/>
    <n v="117.071"/>
    <n v="2.7829999999999999"/>
    <n v="0.23920491399999999"/>
    <n v="183.79300000000001"/>
    <m/>
    <s v=""/>
    <n v="-2.7829999999999999"/>
  </r>
  <r>
    <s v="United Arab Emirates"/>
    <x v="27"/>
    <x v="5"/>
    <n v="201.90240539999999"/>
    <n v="2.5793814199999998"/>
    <n v="0.32717799400000003"/>
    <n v="228.51048650000001"/>
    <n v="78.275513579999995"/>
    <n v="0.54646752799999998"/>
    <n v="16.848521080000001"/>
    <n v="18.703268000000001"/>
    <n v="58.572982000000003"/>
    <n v="61.024171320000001"/>
    <n v="75.433054510000005"/>
    <n v="0.12684358800000001"/>
    <n v="134.5531"/>
    <n v="121.658163"/>
    <n v="3.214248"/>
    <n v="0.54646752799999998"/>
    <n v="175.818838"/>
    <m/>
    <s v=""/>
    <n v="-3.214248"/>
  </r>
  <r>
    <s v="United Arab Emirates"/>
    <x v="28"/>
    <x v="5"/>
    <n v="193.78541630000001"/>
    <n v="2.4871055879999999"/>
    <n v="0.30869544700000001"/>
    <n v="231.9403083"/>
    <n v="77.91603911"/>
    <n v="0.95927918899999998"/>
    <n v="17.748674449999999"/>
    <n v="17.349143999999999"/>
    <n v="60.023857"/>
    <n v="61.619529069999999"/>
    <n v="73.855656089999997"/>
    <n v="0.124118352"/>
    <n v="135.99680000000001"/>
    <n v="122.835583"/>
    <n v="2.8965450000000001"/>
    <n v="0.95927918899999998"/>
    <n v="178.66965200000001"/>
    <m/>
    <s v=""/>
    <n v="-2.8965450000000001"/>
  </r>
  <r>
    <s v="United Arab Emirates"/>
    <x v="29"/>
    <x v="5"/>
    <n v="192.0567561"/>
    <n v="2.3125264720000001"/>
    <n v="0.30089275300000001"/>
    <n v="239.83908360000001"/>
    <n v="83.050619510000004"/>
    <n v="2.7312689780000001"/>
    <n v="17.117330970000001"/>
    <n v="17.172441169999999"/>
    <n v="55.769118759999998"/>
    <n v="67.421253089999993"/>
    <n v="78.278809719999998"/>
    <n v="0.13011429599999999"/>
    <n v="138.43626610000001"/>
    <n v="126.03623570000001"/>
    <n v="2.6750465430000001"/>
    <n v="2.7312689780000001"/>
    <n v="181.687881"/>
    <m/>
    <s v=""/>
    <n v="-2.6750465430000001"/>
  </r>
  <r>
    <s v="United Arab Emirates"/>
    <x v="30"/>
    <x v="5"/>
    <n v="185.35413639999999"/>
    <n v="2.29769516"/>
    <n v="0.31080223099999998"/>
    <n v="222.23092030000001"/>
    <n v="80.669594320000002"/>
    <n v="3.6399384029999999"/>
    <n v="17.441131349999999"/>
    <n v="15.76016475"/>
    <n v="51.182618169999998"/>
    <n v="66.280536269999999"/>
    <n v="76.954391229999999"/>
    <n v="0.13526695599999999"/>
    <n v="137.49679660000001"/>
    <n v="123.64157520000001"/>
    <n v="2.420572285"/>
    <n v="3.6399384029999999"/>
    <n v="165.11138700000001"/>
    <m/>
    <s v=""/>
    <n v="-2.420572285"/>
  </r>
  <r>
    <s v="United Kingdom"/>
    <x v="0"/>
    <x v="3"/>
    <n v="556.1623836"/>
    <n v="2.7002798600000002"/>
    <n v="0.33819176000000001"/>
    <n v="208.00913550000001"/>
    <n v="205.96471940000001"/>
    <n v="2.4373156690000002"/>
    <n v="16.756397360000001"/>
    <n v="73.429000000000002"/>
    <n v="88.736000000000004"/>
    <n v="49.671941240000002"/>
    <n v="58.311941449999999"/>
    <n v="0.12524322600000001"/>
    <n v="319.73700000000002"/>
    <n v="284.416"/>
    <n v="106.681"/>
    <n v="2.8148130000000002E-3"/>
    <n v="91.602000000000004"/>
    <n v="92.762"/>
    <s v="Above Average"/>
    <n v="-13.918999999999997"/>
  </r>
  <r>
    <s v="United Kingdom"/>
    <x v="1"/>
    <x v="3"/>
    <n v="564.05659939999998"/>
    <n v="2.6473279239999998"/>
    <n v="0.34676452899999999"/>
    <n v="214.7452055"/>
    <n v="213.0663883"/>
    <n v="2.1203252030000002"/>
    <n v="16.58749319"/>
    <n v="74.340999999999994"/>
    <n v="92.174999999999997"/>
    <n v="56.78306036"/>
    <n v="62.79693314"/>
    <n v="0.130986617"/>
    <n v="322.875"/>
    <n v="290.84199999999998"/>
    <n v="106.0919684"/>
    <n v="3.406891E-3"/>
    <n v="91.260999999999996"/>
    <n v="94.921999999999997"/>
    <s v="Above Average"/>
    <n v="-11.169968400000002"/>
  </r>
  <r>
    <s v="United Kingdom"/>
    <x v="2"/>
    <x v="3"/>
    <n v="557.57611259999999"/>
    <n v="2.6224060260000002"/>
    <n v="0.34151342299999998"/>
    <n v="214.9682766"/>
    <n v="212.6200547"/>
    <n v="2.52364948"/>
    <n v="16.817154609999999"/>
    <n v="73.998000000000005"/>
    <n v="92.641000000000005"/>
    <n v="55.627045160000002"/>
    <n v="62.063968789999997"/>
    <n v="0.13022904099999999"/>
    <n v="321.04300000000001"/>
    <n v="291.45299999999997"/>
    <n v="100.0572983"/>
    <n v="1.2459390000000001E-2"/>
    <n v="94.394999999999996"/>
    <n v="84.492999999999995"/>
    <s v="Above Average"/>
    <n v="-15.564298300000004"/>
  </r>
  <r>
    <s v="United Kingdom"/>
    <x v="3"/>
    <x v="3"/>
    <n v="541.34713599999998"/>
    <n v="2.5198699000000002"/>
    <n v="0.32340295099999999"/>
    <n v="223.41115239999999"/>
    <n v="214.8313832"/>
    <n v="2.214470972"/>
    <n v="16.862450769999999"/>
    <n v="73.721000000000004"/>
    <n v="96.796000000000006"/>
    <n v="65.513955629999998"/>
    <n v="68.579066650000001"/>
    <n v="0.12834113"/>
    <n v="323.10199999999998"/>
    <n v="295.74599999999998"/>
    <n v="87.341476150000005"/>
    <n v="6.7470953E-2"/>
    <n v="100.233"/>
    <n v="68.198999999999998"/>
    <s v=""/>
    <n v="-19.142476150000007"/>
  </r>
  <r>
    <s v="United Kingdom"/>
    <x v="4"/>
    <x v="3"/>
    <n v="532.9007441"/>
    <n v="2.4626295589999998"/>
    <n v="0.30642203099999998"/>
    <n v="244.619609"/>
    <n v="216.39500839999999"/>
    <n v="2.5783568720000001"/>
    <n v="16.71876863"/>
    <n v="73.123999999999995"/>
    <n v="94.078999999999994"/>
    <n v="69.652038039999994"/>
    <n v="71.237912620000003"/>
    <n v="0.12442879599999999"/>
    <n v="326.48700000000002"/>
    <n v="291.78199999999998"/>
    <n v="82.116033000000002"/>
    <n v="0.104751491"/>
    <n v="127.077"/>
    <n v="49.784999999999997"/>
    <s v=""/>
    <n v="-32.331033000000005"/>
  </r>
  <r>
    <s v="United Kingdom"/>
    <x v="5"/>
    <x v="3"/>
    <n v="523.50004679999995"/>
    <n v="2.4149224920000001"/>
    <n v="0.29063618800000002"/>
    <n v="257.53187309999998"/>
    <n v="216.777163"/>
    <n v="2.5215467560000002"/>
    <n v="17.385905359999999"/>
    <n v="71.646000000000001"/>
    <n v="93.798000000000002"/>
    <n v="75.539080639999995"/>
    <n v="75.178924699999996"/>
    <n v="0.12035011"/>
    <n v="334.041"/>
    <n v="303.80500000000001"/>
    <n v="77.213703249999995"/>
    <n v="0.1170515"/>
    <n v="130.45599999999999"/>
    <n v="53.036999999999999"/>
    <s v=""/>
    <n v="-24.176703249999996"/>
  </r>
  <r>
    <s v="United Kingdom"/>
    <x v="6"/>
    <x v="3"/>
    <n v="544.64678739999999"/>
    <n v="2.410611984"/>
    <n v="0.29502574799999998"/>
    <n v="268.93625800000001"/>
    <n v="225.93714420000001"/>
    <n v="2.0637331880000001"/>
    <n v="17.332484399999998"/>
    <n v="73.522000000000006"/>
    <n v="97.709000000000003"/>
    <n v="90"/>
    <n v="87.596959650000002"/>
    <n v="0.122386245"/>
    <n v="350.86900000000003"/>
    <n v="319.77800000000002"/>
    <n v="72.158680110000006"/>
    <n v="0.13908324799999999"/>
    <n v="130.14099999999999"/>
    <n v="50.197000000000003"/>
    <s v=""/>
    <n v="-21.961680110000003"/>
  </r>
  <r>
    <s v="United Kingdom"/>
    <x v="7"/>
    <x v="3"/>
    <n v="519.79517099999998"/>
    <n v="2.3698716640000002"/>
    <n v="0.27111310799999999"/>
    <n v="268.27418440000002"/>
    <n v="219.334734"/>
    <n v="2.4045673089999999"/>
    <n v="17.945477260000001"/>
    <n v="71.552999999999997"/>
    <n v="98.052999999999997"/>
    <n v="91.60491657"/>
    <n v="88.711961009999996"/>
    <n v="0.11439991100000001"/>
    <n v="350.666"/>
    <n v="321.06599999999997"/>
    <n v="63.519576170000001"/>
    <n v="0.19020948700000001"/>
    <n v="128.36799999999999"/>
    <n v="48.494999999999997"/>
    <s v=""/>
    <n v="-15.024576170000003"/>
  </r>
  <r>
    <s v="United Kingdom"/>
    <x v="8"/>
    <x v="3"/>
    <n v="525.95063489999995"/>
    <n v="2.3751122160000002"/>
    <n v="0.26467658199999999"/>
    <n v="271.89537589999998"/>
    <n v="221.44243599999999"/>
    <n v="2.8323449209999998"/>
    <n v="18.106997700000001"/>
    <n v="69.736000000000004"/>
    <n v="94.436000000000007"/>
    <n v="95.549066249999996"/>
    <n v="92.330052260000002"/>
    <n v="0.11143750600000001"/>
    <n v="362.70299999999997"/>
    <n v="325.35000000000002"/>
    <n v="63.598634009999998"/>
    <n v="0.24179562900000001"/>
    <n v="132.49799999999999"/>
    <n v="41.177"/>
    <s v=""/>
    <n v="-22.421634009999998"/>
  </r>
  <r>
    <s v="United Kingdom"/>
    <x v="9"/>
    <x v="3"/>
    <n v="523.08827250000002"/>
    <n v="2.3560013899999999"/>
    <n v="0.25451093800000002"/>
    <n v="281.57836409999999"/>
    <n v="222.02375380000001"/>
    <n v="3.4002259939999999"/>
    <n v="18.22189114"/>
    <n v="70.177999999999997"/>
    <n v="87.863"/>
    <n v="105.1148676"/>
    <n v="98.048016180000005"/>
    <n v="0.10802665"/>
    <n v="368.15199999999999"/>
    <n v="332.05399999999997"/>
    <n v="56.508737459999999"/>
    <n v="0.231154523"/>
    <n v="137.22800000000001"/>
    <n v="37.076999999999998"/>
    <s v=""/>
    <n v="-19.431737460000001"/>
  </r>
  <r>
    <s v="United Kingdom"/>
    <x v="10"/>
    <x v="3"/>
    <n v="531.57808379999994"/>
    <n v="2.3844368810000001"/>
    <n v="0.25004641900000002"/>
    <n v="272.46858140000001"/>
    <n v="222.93652979999999"/>
    <n v="3.3585365010000001"/>
    <n v="18.619815089999999"/>
    <n v="67.846999999999994"/>
    <n v="87.653000000000006"/>
    <n v="115.38603329999999"/>
    <n v="101.812046"/>
    <n v="0.104866026"/>
    <n v="377.06900000000002"/>
    <n v="340.29700000000003"/>
    <n v="60.097386319999998"/>
    <n v="0.25141287099999998"/>
    <n v="126.375"/>
    <n v="31.198"/>
    <s v=""/>
    <n v="-28.899386319999998"/>
  </r>
  <r>
    <s v="United Kingdom"/>
    <x v="11"/>
    <x v="3"/>
    <n v="544.05565109999998"/>
    <n v="2.4313768059999998"/>
    <n v="0.248523683"/>
    <n v="262.36730490000002"/>
    <n v="223.7644325"/>
    <n v="3.111047584"/>
    <n v="18.754213350000001"/>
    <n v="67.198999999999998"/>
    <n v="84.078999999999994"/>
    <n v="111.27698839999999"/>
    <n v="101.3368885"/>
    <n v="0.102215207"/>
    <n v="384.79"/>
    <n v="342.505"/>
    <n v="63.855429110000003"/>
    <n v="0.251305907"/>
    <n v="116.80500000000001"/>
    <n v="31.93"/>
    <s v=""/>
    <n v="-31.925429110000003"/>
  </r>
  <r>
    <s v="United Kingdom"/>
    <x v="12"/>
    <x v="3"/>
    <n v="528.99773010000001"/>
    <n v="2.3978819640000002"/>
    <n v="0.23615615300000001"/>
    <n v="259.32839439999998"/>
    <n v="220.6104129"/>
    <n v="3.5581941239999999"/>
    <n v="19.191314779999999"/>
    <n v="67.105000000000004"/>
    <n v="84.974999999999994"/>
    <n v="109.2111017"/>
    <n v="100.04311559999999"/>
    <n v="9.8485312000000005E-2"/>
    <n v="387.24700000000001"/>
    <n v="344.10899999999998"/>
    <n v="59.013298169999999"/>
    <n v="0.32511549499999998"/>
    <n v="116.069"/>
    <n v="29.989000000000001"/>
    <s v=""/>
    <n v="-29.024298169999998"/>
  </r>
  <r>
    <s v="United Kingdom"/>
    <x v="13"/>
    <x v="3"/>
    <n v="543.41348470000003"/>
    <n v="2.4209235630000001"/>
    <n v="0.23487285199999999"/>
    <n v="247.4412246"/>
    <n v="224.46536230000001"/>
    <n v="3.3531057409999998"/>
    <n v="19.076615449999998"/>
    <n v="67.912999999999997"/>
    <n v="84.742000000000004"/>
    <n v="108.5201134"/>
    <n v="100.5180661"/>
    <n v="9.7017872000000005E-2"/>
    <n v="398.19799999999998"/>
    <n v="346.61599999999999"/>
    <n v="63.741994130000002"/>
    <n v="0.32345717499999999"/>
    <n v="106.193"/>
    <n v="28.279"/>
    <s v=""/>
    <n v="-35.462994129999998"/>
  </r>
  <r>
    <s v="United Kingdom"/>
    <x v="14"/>
    <x v="3"/>
    <n v="543.52808779999998"/>
    <n v="2.4511296470000001"/>
    <n v="0.229474766"/>
    <n v="225.5536803"/>
    <n v="221.74595640000001"/>
    <n v="4.2611956019999999"/>
    <n v="19.165305780000001"/>
    <n v="68.775000000000006"/>
    <n v="91.322000000000003"/>
    <n v="101.65495199999999"/>
    <n v="102.7468896"/>
    <n v="9.3620002999999993E-2"/>
    <n v="393.92700000000002"/>
    <n v="347.721"/>
    <n v="61.326526350000002"/>
    <n v="0.49222317799999998"/>
    <n v="95.491"/>
    <n v="25.096"/>
    <s v=""/>
    <n v="-36.230526350000005"/>
  </r>
  <r>
    <s v="United Kingdom"/>
    <x v="15"/>
    <x v="3"/>
    <n v="542.27952519999997"/>
    <n v="2.4339463939999999"/>
    <n v="0.221892063"/>
    <n v="205.31625690000001"/>
    <n v="222.79846699999999"/>
    <n v="4.9874986190000001"/>
    <n v="19.914788489999999"/>
    <n v="69.028000000000006"/>
    <n v="87.09"/>
    <n v="92.804980999999998"/>
    <n v="99.917967480000002"/>
    <n v="9.1165550999999997E-2"/>
    <n v="398.35599999999999"/>
    <n v="357.19499999999999"/>
    <n v="62.49503636"/>
    <n v="0.73100442799999998"/>
    <n v="84.721999999999994"/>
    <n v="20.498000000000001"/>
    <s v=""/>
    <n v="-41.997036359999996"/>
  </r>
  <r>
    <s v="United Kingdom"/>
    <x v="16"/>
    <x v="3"/>
    <n v="543.23689630000001"/>
    <n v="2.4799350769999999"/>
    <n v="0.216253942"/>
    <n v="186.8775028"/>
    <n v="219.05287010000001"/>
    <n v="5.5272941449999999"/>
    <n v="20.064319909999998"/>
    <n v="68.082999999999998"/>
    <n v="84.162000000000006"/>
    <n v="83.888934800000001"/>
    <n v="94.739045230000002"/>
    <n v="8.7201452999999998E-2"/>
    <n v="397.28300000000002"/>
    <n v="353.863"/>
    <n v="68.227992839999999"/>
    <n v="1.066242452"/>
    <n v="76.578000000000003"/>
    <n v="18.516999999999999"/>
    <s v=""/>
    <n v="-49.710992840000003"/>
  </r>
  <r>
    <s v="United Kingdom"/>
    <x v="17"/>
    <x v="3"/>
    <n v="532.27374239999995"/>
    <n v="2.5209574080000001"/>
    <n v="0.20686179900000001"/>
    <n v="176.1858143"/>
    <n v="211.13952209999999"/>
    <n v="5.9340271649999998"/>
    <n v="20.368893459999999"/>
    <n v="65.614999999999995"/>
    <n v="82.367999999999995"/>
    <n v="76.074005400000004"/>
    <n v="96.065886489999997"/>
    <n v="8.2056840000000006E-2"/>
    <n v="396.83"/>
    <n v="351.44900000000001"/>
    <n v="63.820663809999999"/>
    <n v="1.332560542"/>
    <n v="76.575000000000003"/>
    <n v="17.007000000000001"/>
    <s v=""/>
    <n v="-46.813663809999994"/>
  </r>
  <r>
    <s v="United Kingdom"/>
    <x v="18"/>
    <x v="3"/>
    <n v="516.26476509999998"/>
    <n v="2.472363922"/>
    <n v="0.20120579999999999"/>
    <n v="167.07540800000001"/>
    <n v="208.81422850000001"/>
    <n v="6.6687407920000004"/>
    <n v="20.477035789999999"/>
    <n v="63.601999999999997"/>
    <n v="81.843000000000004"/>
    <n v="73.392947190000001"/>
    <n v="98.752953340000005"/>
    <n v="8.1381950999999994E-2"/>
    <n v="388.91899999999998"/>
    <n v="350.1"/>
    <n v="59.134452899999999"/>
    <n v="1.835600729"/>
    <n v="71.665000000000006"/>
    <n v="18.053999999999998"/>
    <s v=""/>
    <n v="-41.080452899999997"/>
  </r>
  <r>
    <s v="United Kingdom"/>
    <x v="19"/>
    <x v="3"/>
    <n v="468.93215220000002"/>
    <n v="2.387995621"/>
    <n v="0.19086634599999999"/>
    <n v="157.9484597"/>
    <n v="196.3706081"/>
    <n v="7.6787098279999997"/>
    <n v="20.654536520000001"/>
    <n v="60.267000000000003"/>
    <n v="76.230999999999995"/>
    <n v="61.323030299999999"/>
    <n v="92.080013109999996"/>
    <n v="7.9927426999999995E-2"/>
    <n v="376.75599999999997"/>
    <n v="330.01799999999997"/>
    <n v="48.741376520000003"/>
    <n v="2.4689719609999998"/>
    <n v="68.197999999999993"/>
    <n v="17.873999999999999"/>
    <s v=""/>
    <n v="-30.867376520000004"/>
  </r>
  <r>
    <s v="United Kingdom"/>
    <x v="20"/>
    <x v="3"/>
    <n v="485.18390629999999"/>
    <n v="2.3828558019999999"/>
    <n v="0.193704871"/>
    <n v="148.49369440000001"/>
    <n v="203.61446380000001"/>
    <n v="7.677107135"/>
    <n v="20.277950669999999"/>
    <n v="59.920999999999999"/>
    <n v="74.391999999999996"/>
    <n v="57.94104918"/>
    <n v="99.41197975"/>
    <n v="8.1291058999999999E-2"/>
    <n v="382.07100000000003"/>
    <n v="337.50900000000001"/>
    <n v="50.731977139999998"/>
    <n v="2.703162501"/>
    <n v="62.962000000000003"/>
    <n v="18.346"/>
    <s v=""/>
    <n v="-32.385977139999994"/>
  </r>
  <r>
    <s v="United Kingdom"/>
    <x v="21"/>
    <x v="3"/>
    <n v="446.0883968"/>
    <n v="2.362448965"/>
    <n v="0.17539503400000001"/>
    <n v="129.8743451"/>
    <n v="188.82456440000001"/>
    <n v="10.3588743"/>
    <n v="21.443858970000001"/>
    <n v="57.396999999999998"/>
    <n v="75.947000000000003"/>
    <n v="46.364045670000003"/>
    <n v="82.685007290000001"/>
    <n v="7.4242888000000007E-2"/>
    <n v="367.98399999999998"/>
    <n v="325.91800000000001"/>
    <n v="50.532819539999998"/>
    <n v="4.4045393280000003"/>
    <n v="51.972000000000001"/>
    <n v="18.552"/>
    <s v=""/>
    <n v="-31.980819539999999"/>
  </r>
  <r>
    <s v="United Kingdom"/>
    <x v="22"/>
    <x v="3"/>
    <n v="467.77047679999998"/>
    <n v="2.4130889170000001"/>
    <n v="0.18123969400000001"/>
    <n v="116.6799723"/>
    <n v="193.84717800000001"/>
    <n v="12.15129205"/>
    <n v="21.017788419999999"/>
    <n v="56.65"/>
    <n v="72.578000000000003"/>
    <n v="39.647027289999997"/>
    <n v="77.626964240000007"/>
    <n v="7.5106927000000004E-2"/>
    <n v="363.87900000000002"/>
    <n v="325.483"/>
    <n v="63.798593459999999"/>
    <n v="5.8274866100000002"/>
    <n v="44.56"/>
    <n v="16.966999999999999"/>
    <s v=""/>
    <n v="-46.831593460000001"/>
  </r>
  <r>
    <s v="United Kingdom"/>
    <x v="23"/>
    <x v="3"/>
    <n v="455.13785080000002"/>
    <n v="2.382448197"/>
    <n v="0.17265127899999999"/>
    <n v="109.545466"/>
    <n v="191.03787919999999"/>
    <n v="15.66301041"/>
    <n v="20.68378933"/>
    <n v="55.228000000000002"/>
    <n v="66.314999999999998"/>
    <n v="37.349978030000003"/>
    <n v="77.057077669999998"/>
    <n v="7.2468009999999999E-2"/>
    <n v="358.29"/>
    <n v="324.32100000000003"/>
    <n v="60.80425906"/>
    <n v="8.4880962350000004"/>
    <n v="40.670999999999999"/>
    <n v="12.768000000000001"/>
    <s v=""/>
    <n v="-48.036259059999999"/>
  </r>
  <r>
    <s v="United Kingdom"/>
    <x v="24"/>
    <x v="3"/>
    <n v="414.54478490000002"/>
    <n v="2.3032392169999998"/>
    <n v="0.153256639"/>
    <n v="107.9341371"/>
    <n v="179.98338240000001"/>
    <n v="19.936705119999999"/>
    <n v="20.984498429999999"/>
    <n v="55.137999999999998"/>
    <n v="61.521000000000001"/>
    <n v="38.76604614"/>
    <n v="70.727992169999993"/>
    <n v="6.6539609999999999E-2"/>
    <n v="338.1"/>
    <n v="310.80700000000002"/>
    <n v="48.914199789999998"/>
    <n v="10.65217391"/>
    <n v="39.965000000000003"/>
    <n v="11.647"/>
    <s v=""/>
    <n v="-37.267199789999999"/>
  </r>
  <r>
    <s v="United Kingdom"/>
    <x v="25"/>
    <x v="3"/>
    <n v="402.42988200000002"/>
    <n v="2.2143251469999998"/>
    <n v="0.14535392899999999"/>
    <n v="118.14088289999999"/>
    <n v="181.73929089999999"/>
    <n v="25.561664570000001"/>
    <n v="20.379781860000001"/>
    <n v="57.213000000000001"/>
    <n v="62.024999999999999"/>
    <n v="40.480026879999997"/>
    <n v="72.741077939999997"/>
    <n v="6.5642540999999999E-2"/>
    <n v="339.57100000000003"/>
    <n v="311.012"/>
    <n v="38.531952230000002"/>
    <n v="14.07952976"/>
    <n v="45.319000000000003"/>
    <n v="8.5980000000000008"/>
    <s v=""/>
    <n v="-29.933952230000003"/>
  </r>
  <r>
    <s v="United Kingdom"/>
    <x v="26"/>
    <x v="3"/>
    <n v="379.22428280000003"/>
    <n v="2.1225568039999998"/>
    <n v="0.13439439"/>
    <n v="119.9661782"/>
    <n v="178.66390290000001"/>
    <n v="25.503677549999999"/>
    <n v="20.200447149999999"/>
    <n v="58.658999999999999"/>
    <n v="61.03"/>
    <n v="41.694004360000001"/>
    <n v="81.448092459999998"/>
    <n v="6.3317216999999995E-2"/>
    <n v="339.9"/>
    <n v="311.29599999999999"/>
    <n v="18.844114869999999"/>
    <n v="13.992939099999999"/>
    <n v="47.445"/>
    <n v="4.1779999999999999"/>
    <s v=""/>
    <n v="-14.666114869999998"/>
  </r>
  <r>
    <s v="United Kingdom"/>
    <x v="27"/>
    <x v="3"/>
    <n v="366.9947914"/>
    <n v="2.0840928669999998"/>
    <n v="0.12764519899999999"/>
    <n v="120.03674839999999"/>
    <n v="176.0933004"/>
    <n v="30.252904260000001"/>
    <n v="19.993917400000001"/>
    <n v="59.461745999999998"/>
    <n v="60.952840999999999"/>
    <n v="42.138109909999997"/>
    <n v="79.344506390000006"/>
    <n v="6.1247365999999998E-2"/>
    <n v="338.64230400000002"/>
    <n v="306.79289"/>
    <n v="15.14665935"/>
    <n v="18.046387670000001"/>
    <n v="46.630330999999998"/>
    <n v="3.041401"/>
    <s v=""/>
    <n v="-12.10525835"/>
  </r>
  <r>
    <s v="United Kingdom"/>
    <x v="28"/>
    <x v="3"/>
    <n v="359.23729500000002"/>
    <n v="2.0501632280000002"/>
    <n v="0.123239354"/>
    <n v="123.0259188"/>
    <n v="175.22375289999999"/>
    <n v="33.983864019999999"/>
    <n v="19.84461516"/>
    <n v="58.026031000000003"/>
    <n v="59.014870999999999"/>
    <n v="40.827341500000003"/>
    <n v="80.022463250000001"/>
    <n v="6.0111972E-2"/>
    <n v="333.424036"/>
    <n v="306.58439700000002"/>
    <n v="12.84470041"/>
    <n v="20.92548901"/>
    <n v="50.870390999999998"/>
    <n v="2.5809220000000002"/>
    <s v=""/>
    <n v="-10.26377841"/>
  </r>
  <r>
    <s v="United Kingdom"/>
    <x v="29"/>
    <x v="3"/>
    <n v="346.58406989999997"/>
    <n v="2.0360008770000002"/>
    <n v="0.117184155"/>
    <n v="123.1236966"/>
    <n v="170.22785880000001"/>
    <n v="37.823471480000002"/>
    <n v="20.026893099999999"/>
    <n v="56.54137429"/>
    <n v="59.278090120000002"/>
    <n v="39.652695780000002"/>
    <n v="77.781004949999996"/>
    <n v="5.7556043000000001E-2"/>
    <n v="325.3935826"/>
    <n v="302.31001930000002"/>
    <n v="8.9933697640000005"/>
    <n v="23.782826"/>
    <n v="51.815594709999999"/>
    <n v="2.431808443"/>
    <s v=""/>
    <n v="-6.561561321000001"/>
  </r>
  <r>
    <s v="United Kingdom"/>
    <x v="30"/>
    <x v="3"/>
    <n v="304.22340689999999"/>
    <n v="1.969618895"/>
    <n v="0.11416372499999999"/>
    <n v="116.7495672"/>
    <n v="154.45800589999999"/>
    <n v="43.737474669999997"/>
    <n v="20.895981920000001"/>
    <n v="47.8472577"/>
    <n v="48.909080240000002"/>
    <n v="39.592291000000003"/>
    <n v="72.941872090000004"/>
    <n v="5.7962342E-2"/>
    <n v="313.36783809999997"/>
    <n v="286.02117800000002"/>
    <n v="8.2486578000000002"/>
    <n v="28.254583019999998"/>
    <n v="48.163913549999997"/>
    <n v="1.5702342549999999"/>
    <s v=""/>
    <n v="-6.6784235450000002"/>
  </r>
  <r>
    <s v="United States"/>
    <x v="0"/>
    <x v="4"/>
    <n v="4866.1916119999996"/>
    <n v="2.5478146270000002"/>
    <n v="0.49584284099999998"/>
    <n v="1647.379385"/>
    <n v="1909.947279"/>
    <n v="11.96316683"/>
    <n v="17.41204304"/>
    <n v="732.07022300000006"/>
    <n v="754.58699999999999"/>
    <n v="506.60402370000003"/>
    <n v="534.03915589999997"/>
    <n v="0.19461496"/>
    <n v="3218.6210000000001"/>
    <n v="2712.5549999999998"/>
    <n v="819.28399999999999"/>
    <n v="0.61343040999999998"/>
    <n v="413.34399999999999"/>
    <n v="933.56100000000004"/>
    <s v="Above Average"/>
    <n v="114.27700000000004"/>
  </r>
  <r>
    <s v="United States"/>
    <x v="1"/>
    <x v="4"/>
    <n v="4813.4072500000002"/>
    <n v="2.4999918289999998"/>
    <n v="0.49099590199999998"/>
    <n v="1636.8821049999999"/>
    <n v="1925.369193"/>
    <n v="11.32814789"/>
    <n v="18.294234100000001"/>
    <n v="715.81961079999996"/>
    <n v="748.46100000000001"/>
    <n v="503.17953160000002"/>
    <n v="535.57117909999999"/>
    <n v="0.19639900299999999"/>
    <n v="3275.84"/>
    <n v="2854.26"/>
    <n v="815.86400000000003"/>
    <n v="0.61358308100000003"/>
    <n v="412.89800000000002"/>
    <n v="903.54200000000003"/>
    <s v="Above Average"/>
    <n v="87.677999999999997"/>
  </r>
  <r>
    <s v="United States"/>
    <x v="2"/>
    <x v="4"/>
    <n v="4891.1811559999996"/>
    <n v="2.4906962520000002"/>
    <n v="0.48195278800000002"/>
    <n v="1642.04493"/>
    <n v="1963.7806700000001"/>
    <n v="10.477562430000001"/>
    <n v="18.08588735"/>
    <n v="728.92236630000002"/>
    <n v="757.38699999999994"/>
    <n v="507.20591569999999"/>
    <n v="549.86133710000001"/>
    <n v="0.19350123"/>
    <n v="3291.1089999999999"/>
    <n v="2865.5590000000002"/>
    <n v="825.69500000000005"/>
    <n v="0.63303889400000002"/>
    <n v="407.476"/>
    <n v="904.96900000000005"/>
    <s v="Above Average"/>
    <n v="79.274000000000001"/>
  </r>
  <r>
    <s v="United States"/>
    <x v="3"/>
    <x v="4"/>
    <n v="5015.0427719999998"/>
    <n v="2.509737592"/>
    <n v="0.48091855999999999"/>
    <n v="1591.7758429999999"/>
    <n v="1998.2339139999999"/>
    <n v="11.00284937"/>
    <n v="18.486092889999998"/>
    <n v="738.14411659999996"/>
    <n v="772.06"/>
    <n v="514.35301930000003"/>
    <n v="574.24192860000005"/>
    <n v="0.19162105300000001"/>
    <n v="3411.28"/>
    <n v="2963.1419999999998"/>
    <n v="856.31299999999999"/>
    <n v="0.636945663"/>
    <n v="396.036"/>
    <n v="857.69799999999998"/>
    <s v="Above Average"/>
    <n v="1.3849999999999909"/>
  </r>
  <r>
    <s v="United States"/>
    <x v="4"/>
    <x v="4"/>
    <n v="5095.4211459999997"/>
    <n v="2.5029652609999999"/>
    <n v="0.46970288700000001"/>
    <n v="1652.0577929999999"/>
    <n v="2035.7538420000001"/>
    <n v="10.308613810000001"/>
    <n v="18.591267439999999"/>
    <n v="759.0817442"/>
    <n v="777.97799999999995"/>
    <n v="534.61757339999997"/>
    <n v="586.3703491"/>
    <n v="0.187658572"/>
    <n v="3473.4349999999999"/>
    <n v="3047.3240000000001"/>
    <n v="862.45699999999999"/>
    <n v="0.62733288499999995"/>
    <n v="387.08600000000001"/>
    <n v="937.58"/>
    <s v="Above Average"/>
    <n v="75.123000000000047"/>
  </r>
  <r>
    <s v="United States"/>
    <x v="5"/>
    <x v="4"/>
    <n v="5149.3919189999997"/>
    <n v="2.4965435610000002"/>
    <n v="0.46226935000000002"/>
    <n v="1654.5077120000001"/>
    <n v="2062.6084799999999"/>
    <n v="11.392239330000001"/>
    <n v="18.869098770000001"/>
    <n v="753.24400000000003"/>
    <n v="781.05100000000004"/>
    <n v="528.27522769999996"/>
    <n v="609.31412999999998"/>
    <n v="0.18516374299999999"/>
    <n v="3582.114"/>
    <n v="3135.8069999999998"/>
    <n v="871.75099999999998"/>
    <n v="0.52943596999999998"/>
    <n v="383.262"/>
    <n v="937.09799999999996"/>
    <s v="Above Average"/>
    <n v="65.34699999999998"/>
  </r>
  <r>
    <s v="United States"/>
    <x v="6"/>
    <x v="4"/>
    <n v="5317.3043479999997"/>
    <n v="2.5221720329999999"/>
    <n v="0.45998999499999998"/>
    <n v="1673.24333"/>
    <n v="2108.2242919999999"/>
    <n v="12.201314"/>
    <n v="18.775791510000001"/>
    <n v="779.42499999999995"/>
    <n v="802.14800000000002"/>
    <n v="533.66545870000004"/>
    <n v="622.02995840000006"/>
    <n v="0.18237851699999999"/>
    <n v="3677.0219999999999"/>
    <n v="3221.3049999999998"/>
    <n v="912.81700000000001"/>
    <n v="0.54560456800000001"/>
    <n v="382.48899999999998"/>
    <n v="965.11400000000003"/>
    <s v="Above Average"/>
    <n v="52.297000000000025"/>
  </r>
  <r>
    <s v="United States"/>
    <x v="7"/>
    <x v="4"/>
    <n v="5583.4328260000002"/>
    <n v="2.6217191949999998"/>
    <n v="0.46244628300000001"/>
    <n v="1670.5701489999999"/>
    <n v="2129.6837730000002"/>
    <n v="11.591928879999999"/>
    <n v="18.84094219"/>
    <n v="826.80899999999997"/>
    <n v="819.39300000000003"/>
    <n v="536.6686631"/>
    <n v="643.81800810000004"/>
    <n v="0.17639047099999999"/>
    <n v="3697.7280000000001"/>
    <n v="3270.6280000000002"/>
    <n v="937.43700000000001"/>
    <n v="0.51539756299999995"/>
    <n v="380.85199999999998"/>
    <n v="988.76900000000001"/>
    <s v="Above Average"/>
    <n v="51.331999999999994"/>
  </r>
  <r>
    <s v="United States"/>
    <x v="8"/>
    <x v="4"/>
    <n v="5619.9498890000004"/>
    <n v="2.6166889370000002"/>
    <n v="0.445505865"/>
    <n v="1683.3800209999999"/>
    <n v="2147.7332710000001"/>
    <n v="10.221775859999999"/>
    <n v="19.476935780000002"/>
    <n v="854.36199999999997"/>
    <n v="832.476"/>
    <n v="535.71149339999999"/>
    <n v="629.89499169999999"/>
    <n v="0.170255569"/>
    <n v="3830.489"/>
    <n v="3373.86"/>
    <n v="944.01800000000003"/>
    <n v="0.50325167400000004"/>
    <n v="369.78500000000003"/>
    <n v="1013.81"/>
    <s v="Above Average"/>
    <n v="69.791999999999916"/>
  </r>
  <r>
    <s v="United States"/>
    <x v="9"/>
    <x v="4"/>
    <n v="5653.4207280000001"/>
    <n v="2.5627338810000002"/>
    <n v="0.42782370199999997"/>
    <n v="1665.2688230000001"/>
    <n v="2206.0116229999999"/>
    <n v="9.626331424"/>
    <n v="19.544364720000001"/>
    <n v="871.53099999999995"/>
    <n v="833.66200000000003"/>
    <n v="534.54586070000005"/>
    <n v="634.39300179999998"/>
    <n v="0.16694035400000001"/>
    <n v="3897.518"/>
    <n v="3459.6210000000001"/>
    <n v="947.21199999999999"/>
    <n v="0.54414116899999998"/>
    <n v="354.17599999999999"/>
    <n v="996.10199999999998"/>
    <s v="Above Average"/>
    <n v="48.889999999999986"/>
  </r>
  <r>
    <s v="United States"/>
    <x v="10"/>
    <x v="4"/>
    <n v="5817.0942919999998"/>
    <n v="2.5642302739999998"/>
    <n v="0.422760364"/>
    <n v="1662.458756"/>
    <n v="2268.5537840000002"/>
    <n v="8.8126164819999993"/>
    <n v="19.55430608"/>
    <n v="865.99800000000005"/>
    <n v="848.81799999999998"/>
    <n v="544.33471559999998"/>
    <n v="661.26154689999998"/>
    <n v="0.16486833000000001"/>
    <n v="4052.6669999999999"/>
    <n v="3589.779"/>
    <n v="982.80399999999997"/>
    <n v="0.51768378699999995"/>
    <n v="353.00200000000001"/>
    <n v="971.59100000000001"/>
    <s v="Above Average"/>
    <n v="-11.212999999999965"/>
  </r>
  <r>
    <s v="United States"/>
    <x v="11"/>
    <x v="4"/>
    <n v="5795.6791439999997"/>
    <n v="2.6037128030000001"/>
    <n v="0.417040521"/>
    <n v="1683.8366309999999"/>
    <n v="2225.9287340000001"/>
    <n v="7.4224893390000002"/>
    <n v="19.65726592"/>
    <n v="880.26400000000001"/>
    <n v="844.18799999999999"/>
    <n v="556.47210989999996"/>
    <n v="629.95621840000001"/>
    <n v="0.16017147600000001"/>
    <n v="3865.3069999999998"/>
    <n v="3554.3960000000002"/>
    <n v="961.74800000000005"/>
    <n v="0.56494865699999997"/>
    <n v="349.87900000000002"/>
    <n v="1021.417"/>
    <s v="Above Average"/>
    <n v="59.668999999999983"/>
  </r>
  <r>
    <s v="United States"/>
    <x v="12"/>
    <x v="4"/>
    <n v="5650.4217710000003"/>
    <n v="2.504407976"/>
    <n v="0.399627915"/>
    <n v="1656.04925"/>
    <n v="2256.190615"/>
    <n v="9.2038251150000008"/>
    <n v="20.195689869999999"/>
    <n v="843.88"/>
    <n v="837.35"/>
    <n v="536.39423290000002"/>
    <n v="651.14448560000005"/>
    <n v="0.159569814"/>
    <n v="4051.12"/>
    <n v="3631.904"/>
    <n v="970.25699999999995"/>
    <n v="0.65665791200000001"/>
    <n v="348.06200000000001"/>
    <n v="992.71699999999998"/>
    <s v="Above Average"/>
    <n v="22.460000000000036"/>
  </r>
  <r>
    <s v="United States"/>
    <x v="13"/>
    <x v="4"/>
    <n v="5707.8842020000002"/>
    <n v="2.5239156280000001"/>
    <n v="0.39246277699999998"/>
    <n v="1634.5785080000001"/>
    <n v="2261.5194179999999"/>
    <n v="9.4946204630000004"/>
    <n v="20.135114850000001"/>
    <n v="859.61500000000001"/>
    <n v="851.226"/>
    <n v="541.22167309999998"/>
    <n v="630.69987920000005"/>
    <n v="0.155497582"/>
    <n v="4081.7640000000001"/>
    <n v="3662.3270000000002"/>
    <n v="995.12900000000002"/>
    <n v="0.68982430100000003"/>
    <n v="338.43"/>
    <n v="972.27800000000002"/>
    <s v="Above Average"/>
    <n v="-22.850999999999999"/>
  </r>
  <r>
    <s v="United States"/>
    <x v="14"/>
    <x v="4"/>
    <n v="5787.054153"/>
    <n v="2.5072252580000001"/>
    <n v="0.38334354199999998"/>
    <n v="1645.9230950000001"/>
    <n v="2308.1508669999998"/>
    <n v="9.2161981159999993"/>
    <n v="20.028619970000001"/>
    <n v="888.49099999999999"/>
    <n v="869.86900000000003"/>
    <n v="526.80438340000001"/>
    <n v="633.9043709"/>
    <n v="0.152895533"/>
    <n v="4174.8559999999998"/>
    <n v="3716.3180000000002"/>
    <n v="1005.558"/>
    <n v="0.75324753700000002"/>
    <n v="325.916"/>
    <n v="1019.129"/>
    <s v="Above Average"/>
    <n v="13.571000000000026"/>
  </r>
  <r>
    <s v="United States"/>
    <x v="15"/>
    <x v="4"/>
    <n v="5802.5417170000001"/>
    <n v="2.5015559989999998"/>
    <n v="0.37132405400000001"/>
    <n v="1631.750867"/>
    <n v="2319.5729860000001"/>
    <n v="9.1209230320000003"/>
    <n v="20.63196216"/>
    <n v="886.86300000000006"/>
    <n v="865.279"/>
    <n v="511.48553379999998"/>
    <n v="623.17174829999999"/>
    <n v="0.148437235"/>
    <n v="4294.3680000000004"/>
    <n v="3811.4870000000001"/>
    <n v="1018.2029690000001"/>
    <n v="0.84822726000000004"/>
    <n v="309.98899999999998"/>
    <n v="1038.5909999999999"/>
    <s v="Above Average"/>
    <n v="20.388030999999842"/>
  </r>
  <r>
    <s v="United States"/>
    <x v="16"/>
    <x v="4"/>
    <n v="5697.0816610000002"/>
    <n v="2.4795905579999999"/>
    <n v="0.35445570100000001"/>
    <n v="1655.0365730000001"/>
    <n v="2297.5896729999999"/>
    <n v="9.7894802189999997"/>
    <n v="20.786129200000001"/>
    <n v="871.16499999999996"/>
    <n v="864.52700000000004"/>
    <n v="524.29495250000002"/>
    <n v="614.04061739999997"/>
    <n v="0.14294928600000001"/>
    <n v="4300.8310000000001"/>
    <n v="3817.56"/>
    <n v="1008.6559999999999"/>
    <n v="1.063561902"/>
    <n v="304.37799999999999"/>
    <n v="1067.902"/>
    <s v="Above Average"/>
    <n v="59.246000000000095"/>
  </r>
  <r>
    <s v="United States"/>
    <x v="17"/>
    <x v="4"/>
    <n v="5783.0560230000001"/>
    <n v="2.4734683350000002"/>
    <n v="0.35317853799999999"/>
    <n v="1669.5989070000001"/>
    <n v="2338.0351949999999"/>
    <n v="8.9139120260000002"/>
    <n v="21.122787859999999"/>
    <n v="860.04"/>
    <n v="859.31399999999996"/>
    <n v="545.88041520000002"/>
    <n v="654.19978609999998"/>
    <n v="0.14278676300000001"/>
    <n v="4349.8410000000003"/>
    <n v="3921.94"/>
    <n v="1020.991031"/>
    <n v="1.246528321"/>
    <n v="303.97899999999998"/>
    <n v="1052.981"/>
    <s v="Above Average"/>
    <n v="31.989968999999974"/>
  </r>
  <r>
    <s v="United States"/>
    <x v="18"/>
    <x v="4"/>
    <n v="5601.9381750000002"/>
    <n v="2.4596582379999998"/>
    <n v="0.34258534499999999"/>
    <n v="1702.24658"/>
    <n v="2277.5270519999999"/>
    <n v="9.5301768829999993"/>
    <n v="21.636540310000001"/>
    <n v="804.07600000000002"/>
    <n v="857.41"/>
    <n v="571.120272"/>
    <n v="658.99726920000001"/>
    <n v="0.13928168499999999"/>
    <n v="4368.2610000000004"/>
    <n v="3907.2289999999998"/>
    <n v="1017.777"/>
    <n v="1.7272090659999999"/>
    <n v="299.35000000000002"/>
    <n v="1075.8810000000001"/>
    <s v="Above Average"/>
    <n v="58.104000000000042"/>
  </r>
  <r>
    <s v="United States"/>
    <x v="19"/>
    <x v="4"/>
    <n v="5209.9267819999995"/>
    <n v="2.4061877969999999"/>
    <n v="0.32690475000000002"/>
    <n v="1686.3026179999999"/>
    <n v="2165.2203490000002"/>
    <n v="10.780630889999999"/>
    <n v="21.751123450000001"/>
    <n v="754.96"/>
    <n v="804.56600000000003"/>
    <n v="584.33590800000002"/>
    <n v="646.78773039999999"/>
    <n v="0.13586003199999999"/>
    <n v="4188.2150000000001"/>
    <n v="3724.6579999999999"/>
    <n v="904.15300000000002"/>
    <n v="2.2544687890000001"/>
    <n v="321.67500000000001"/>
    <n v="987.55200000000002"/>
    <s v="Above Average"/>
    <n v="83.399000000000001"/>
  </r>
  <r>
    <s v="United States"/>
    <x v="20"/>
    <x v="4"/>
    <n v="5445.0310170000002"/>
    <n v="2.4555091579999999"/>
    <n v="0.33311639500000001"/>
    <n v="1725.0080310000001"/>
    <n v="2217.4753449999998"/>
    <n v="10.61439831"/>
    <n v="21.696686799999998"/>
    <n v="776.76599999999996"/>
    <n v="834.06200000000001"/>
    <n v="603.85632880000003"/>
    <n v="683.10739160000003"/>
    <n v="0.13566082400000001"/>
    <n v="4378.43"/>
    <n v="3894.3670000000002"/>
    <n v="953.57399999999996"/>
    <n v="2.7500953539999999"/>
    <n v="334.22699999999998"/>
    <n v="996.10699999999997"/>
    <s v="Above Average"/>
    <n v="42.533000000000015"/>
  </r>
  <r>
    <s v="United States"/>
    <x v="21"/>
    <x v="4"/>
    <n v="5237.0282020000004"/>
    <n v="2.3897741739999998"/>
    <n v="0.31549832799999999"/>
    <n v="1787.1310470000001"/>
    <n v="2191.4322529999999"/>
    <n v="12.6863937"/>
    <n v="22.211278320000002"/>
    <n v="728.55799999999999"/>
    <n v="806.803"/>
    <n v="648.75833109999996"/>
    <n v="692.97453789999997"/>
    <n v="0.13202014300000001"/>
    <n v="4349.4629999999997"/>
    <n v="3885.0189999999998"/>
    <n v="910.22900000000004"/>
    <n v="3.4256412799999998"/>
    <n v="346.53399999999999"/>
    <n v="1005.921"/>
    <s v="Above Average"/>
    <n v="95.692000000000007"/>
  </r>
  <r>
    <s v="United States"/>
    <x v="22"/>
    <x v="4"/>
    <n v="5047.4175020000002"/>
    <n v="2.3450816140000001"/>
    <n v="0.29738563800000001"/>
    <n v="1820.98522"/>
    <n v="2152.3419359999998"/>
    <n v="12.41296211"/>
    <n v="22.33966985"/>
    <n v="715.34100000000001"/>
    <n v="802.654"/>
    <n v="680.79536519999999"/>
    <n v="728.31280300000003"/>
    <n v="0.12681249"/>
    <n v="4290.66"/>
    <n v="3830.933"/>
    <n v="806.92700000000002"/>
    <n v="4.063151124"/>
    <n v="395.62400000000002"/>
    <n v="932.274"/>
    <s v="Above Average"/>
    <n v="125.34699999999998"/>
  </r>
  <r>
    <s v="United States"/>
    <x v="23"/>
    <x v="4"/>
    <n v="5150.8956170000001"/>
    <n v="2.35180561"/>
    <n v="0.29799312500000003"/>
    <n v="1878.5669600000001"/>
    <n v="2190.1876560000001"/>
    <n v="13.028580209999999"/>
    <n v="21.876616649999999"/>
    <n v="725.28"/>
    <n v="818.18600000000004"/>
    <n v="685.67713270000002"/>
    <n v="739.35273210000003"/>
    <n v="0.12670823000000001"/>
    <n v="4306.3710000000001"/>
    <n v="3871.7350000000001"/>
    <n v="837.12099999999998"/>
    <n v="4.8384823319999999"/>
    <n v="449.11399999999998"/>
    <n v="903.66300000000001"/>
    <s v="Above Average"/>
    <n v="66.54200000000003"/>
  </r>
  <r>
    <s v="United States"/>
    <x v="24"/>
    <x v="4"/>
    <n v="5191.6488589999999"/>
    <n v="2.3422777030000002"/>
    <n v="0.293162543"/>
    <n v="2015.802848"/>
    <n v="2216.495872"/>
    <n v="13.37929407"/>
    <n v="21.67933919"/>
    <n v="730.67700000000002"/>
    <n v="842.90300000000002"/>
    <n v="733.43099370000004"/>
    <n v="750.47073049999995"/>
    <n v="0.125161309"/>
    <n v="4340.3710000000001"/>
    <n v="3895.2159999999999"/>
    <n v="830.64400000000001"/>
    <n v="5.3613850059999999"/>
    <n v="524.41499999999996"/>
    <n v="918.197"/>
    <s v="Above Average"/>
    <n v="87.552999999999997"/>
  </r>
  <r>
    <s v="United States"/>
    <x v="25"/>
    <x v="4"/>
    <n v="5044.0754159999997"/>
    <n v="2.3008766879999998"/>
    <n v="0.27685345099999997"/>
    <n v="2027.1134890000001"/>
    <n v="2192.2406550000001"/>
    <n v="13.63280806"/>
    <n v="21.722975609999999"/>
    <n v="744.44"/>
    <n v="860.24800000000005"/>
    <n v="766.52450499999998"/>
    <n v="767.06980250000004"/>
    <n v="0.12032520200000001"/>
    <n v="4317.1589999999997"/>
    <n v="3895.3649999999998"/>
    <n v="721.97299999999996"/>
    <n v="5.857370553"/>
    <n v="566.84"/>
    <n v="813.69"/>
    <s v="Above Average"/>
    <n v="91.717000000000098"/>
  </r>
  <r>
    <s v="United States"/>
    <x v="26"/>
    <x v="4"/>
    <n v="4948.9239299999999"/>
    <n v="2.2821956860000001"/>
    <n v="0.26743953199999998"/>
    <n v="1920.0691850000001"/>
    <n v="2168.4923690000001"/>
    <n v="15.25944473"/>
    <n v="21.839217999999999"/>
    <n v="747.40099999999995"/>
    <n v="869.57799999999997"/>
    <n v="755.26328179999996"/>
    <n v="776.66176949999999"/>
    <n v="0.117185189"/>
    <n v="4322.0379999999996"/>
    <n v="3922.011"/>
    <n v="663.27200000000005"/>
    <n v="7.032955286"/>
    <n v="545.23900000000003"/>
    <n v="660.76"/>
    <s v="Above Average"/>
    <n v="-2.5120000000000573"/>
  </r>
  <r>
    <s v="United States"/>
    <x v="27"/>
    <x v="4"/>
    <n v="4890.6559829999997"/>
    <n v="2.2631822119999998"/>
    <n v="0.25855846799999999"/>
    <n v="1998.078309"/>
    <n v="2160.9643080000001"/>
    <n v="17.285418490000001"/>
    <n v="21.4296291"/>
    <n v="745.21710199999995"/>
    <n v="883.33088699999996"/>
    <n v="773.30066650000003"/>
    <n v="769.75072950000003"/>
    <n v="0.11424553699999999"/>
    <n v="4286.4287409999997"/>
    <n v="3886.9560780000002"/>
    <n v="650.31899999999996"/>
    <n v="8.2212748019999999"/>
    <n v="575.22299199999998"/>
    <n v="702.71500000000003"/>
    <s v="Above Average"/>
    <n v="52.396000000000072"/>
  </r>
  <r>
    <s v="United States"/>
    <x v="28"/>
    <x v="4"/>
    <n v="5055.8326699999998"/>
    <n v="2.2608824850000002"/>
    <n v="0.259689067"/>
    <n v="2177.9405689999999"/>
    <n v="2236.220902"/>
    <n v="17.16288286"/>
    <n v="21.270658180000002"/>
    <n v="762.80012699999997"/>
    <n v="908.39759600000002"/>
    <n v="866.47325650000005"/>
    <n v="855.96968030000005"/>
    <n v="0.11486181600000001"/>
    <n v="4455.4387120000001"/>
    <n v="4042.8400120000001"/>
    <n v="624.73299999999995"/>
    <n v="8.6425790570000007"/>
    <n v="671.94018200000005"/>
    <n v="685.98299999999995"/>
    <s v="Above Average"/>
    <n v="61.25"/>
  </r>
  <r>
    <s v="United States"/>
    <x v="29"/>
    <x v="4"/>
    <n v="4932.6373469999999"/>
    <n v="2.228276776"/>
    <n v="0.24800190999999999"/>
    <n v="2304.5931489999998"/>
    <n v="2213.6555920000001"/>
    <n v="17.852746530000001"/>
    <n v="20.985898819999999"/>
    <n v="763.95295480000004"/>
    <n v="897.24730409999995"/>
    <n v="958.50437639999996"/>
    <n v="882.63708340000005"/>
    <n v="0.111297624"/>
    <n v="4400.6344769999996"/>
    <n v="3996.1085090000001"/>
    <n v="532.52086389999999"/>
    <n v="9.4975748509999995"/>
    <n v="748.19244289999995"/>
    <n v="640.75259400000004"/>
    <s v="Above Average"/>
    <n v="108.23173010000005"/>
  </r>
  <r>
    <s v="United States"/>
    <x v="30"/>
    <x v="4"/>
    <n v="4404.7093139999997"/>
    <n v="2.1531448110000002"/>
    <n v="0.22949106399999999"/>
    <n v="2190.1945559999999"/>
    <n v="2045.7097409999999"/>
    <n v="19.79598008"/>
    <n v="22.023621550000001"/>
    <n v="673.51175409999996"/>
    <n v="769.41403690000004"/>
    <n v="959.84984850000001"/>
    <n v="870.79179799999997"/>
    <n v="0.106584129"/>
    <n v="4262.4561460000004"/>
    <n v="3842.1568820000002"/>
    <n v="419.2200095"/>
    <n v="11.166131529999999"/>
    <n v="722.42443749999995"/>
    <n v="488.48452259999999"/>
    <s v="Above Average"/>
    <n v="69.264513099999988"/>
  </r>
  <r>
    <s v="Uzbekistan"/>
    <x v="0"/>
    <x v="2"/>
    <n v="119.2441322"/>
    <n v="2.5160791640000002"/>
    <n v="1.632822979"/>
    <n v="38.655248069999999"/>
    <n v="47.392838009999998"/>
    <n v="11.802929430000001"/>
    <n v="10.26749568"/>
    <n v="10.956"/>
    <n v="7.89"/>
    <n v="40.728986239999998"/>
    <n v="40.091988899999997"/>
    <n v="0.648955328"/>
    <n v="56.325000000000003"/>
    <n v="45.62"/>
    <n v="8.94"/>
    <m/>
    <n v="2.8"/>
    <n v="6.4"/>
    <s v=""/>
    <n v="-2.5399999999999991"/>
  </r>
  <r>
    <s v="Uzbekistan"/>
    <x v="1"/>
    <x v="2"/>
    <n v="120.0706752"/>
    <n v="2.4992658209999998"/>
    <n v="1.652270092"/>
    <n v="39.646814540000001"/>
    <n v="48.042378790000001"/>
    <n v="11.13449645"/>
    <n v="10.22136869"/>
    <n v="10.404999999999999"/>
    <n v="7.6769999999999996"/>
    <n v="41.82695674"/>
    <n v="41.172994240000001"/>
    <n v="0.66110218399999998"/>
    <n v="54.164999999999999"/>
    <n v="45.578000000000003"/>
    <n v="9.2899999999999991"/>
    <m/>
    <n v="2.8319999999999999"/>
    <n v="6.75"/>
    <s v=""/>
    <n v="-2.5399999999999991"/>
  </r>
  <r>
    <s v="Uzbekistan"/>
    <x v="2"/>
    <x v="2"/>
    <n v="111.5267727"/>
    <n v="2.4732209680000001"/>
    <n v="1.7282646939999999"/>
    <n v="40.771724579999997"/>
    <n v="45.09373574"/>
    <n v="12.337215929999999"/>
    <n v="10.795479090000001"/>
    <n v="8.2870000000000008"/>
    <n v="6.4470000000000001"/>
    <n v="43.143950750000002"/>
    <n v="41.436017409999998"/>
    <n v="0.69879105699999999"/>
    <n v="50.911000000000001"/>
    <n v="42.704000000000001"/>
    <n v="6.7119999999999997"/>
    <m/>
    <n v="3.2930000000000001"/>
    <n v="5.5309999999999997"/>
    <s v=""/>
    <n v="-1.181"/>
  </r>
  <r>
    <s v="Uzbekistan"/>
    <x v="3"/>
    <x v="2"/>
    <n v="111.9947794"/>
    <n v="2.3902558150000002"/>
    <n v="1.776373714"/>
    <n v="42.924051390000002"/>
    <n v="46.854725219999999"/>
    <n v="14.970803070000001"/>
    <n v="10.42176287"/>
    <n v="7.3159999999999998"/>
    <n v="6.2729999999999997"/>
    <n v="45.261009340000001"/>
    <n v="43.972031899999998"/>
    <n v="0.743173054"/>
    <n v="49.149000000000001"/>
    <n v="41.582000000000001"/>
    <n v="5.1929999999999996"/>
    <m/>
    <n v="3.944"/>
    <n v="4.657"/>
    <s v=""/>
    <n v="-0.53599999999999959"/>
  </r>
  <r>
    <s v="Uzbekistan"/>
    <x v="4"/>
    <x v="2"/>
    <n v="108.8319733"/>
    <n v="2.349354956"/>
    <n v="1.8208942539999999"/>
    <n v="46.220433829999997"/>
    <n v="46.324193370000003"/>
    <n v="14.9707113"/>
    <n v="9.6458742490000002"/>
    <n v="6.3739999999999997"/>
    <n v="5.726"/>
    <n v="47.418036270000002"/>
    <n v="44.60202014"/>
    <n v="0.77506136299999995"/>
    <n v="47.8"/>
    <n v="40.433999999999997"/>
    <n v="5.2380000000000004"/>
    <m/>
    <n v="5.5"/>
    <n v="4.6500000000000004"/>
    <s v=""/>
    <n v="-0.58800000000000008"/>
  </r>
  <r>
    <s v="Uzbekistan"/>
    <x v="5"/>
    <x v="2"/>
    <n v="99.730581619999995"/>
    <n v="2.3252962359999998"/>
    <n v="1.6837705890000001"/>
    <n v="48.917566839999999"/>
    <n v="42.889409129999997"/>
    <n v="13.040271430000001"/>
    <n v="10.03782649"/>
    <n v="6.54"/>
    <n v="6.6310000000000002"/>
    <n v="48.626012830000001"/>
    <n v="42.001002929999999"/>
    <n v="0.72411014200000001"/>
    <n v="47.453000000000003"/>
    <n v="39.210999999999999"/>
    <n v="3.04"/>
    <m/>
    <n v="7.6630000000000003"/>
    <n v="3.0539999999999998"/>
    <s v=""/>
    <n v="1.399999999999979E-2"/>
  </r>
  <r>
    <s v="Uzbekistan"/>
    <x v="6"/>
    <x v="2"/>
    <n v="101.01686770000001"/>
    <n v="2.278221566"/>
    <n v="1.676978568"/>
    <n v="49.34557307"/>
    <n v="44.34022976"/>
    <n v="14.3662344"/>
    <n v="10.349167039999999"/>
    <n v="6.3949999999999996"/>
    <n v="6.5910000000000002"/>
    <n v="48.986988310000001"/>
    <n v="43.595001189999998"/>
    <n v="0.73609107799999995"/>
    <n v="45.418999999999997"/>
    <n v="39.787999999999997"/>
    <n v="3.4089999999999998"/>
    <m/>
    <n v="7.843"/>
    <n v="2.8370000000000002"/>
    <s v=""/>
    <n v="-0.57199999999999962"/>
  </r>
  <r>
    <s v="Uzbekistan"/>
    <x v="7"/>
    <x v="2"/>
    <n v="103.0898108"/>
    <n v="2.2862178150000001"/>
    <n v="1.6267979530000001"/>
    <n v="51.561499699999999"/>
    <n v="45.091858760000001"/>
    <n v="12.543970120000001"/>
    <n v="10.161001779999999"/>
    <n v="6.9180000000000001"/>
    <n v="6.8609999999999998"/>
    <n v="51.245005149999997"/>
    <n v="44.266040279999999"/>
    <n v="0.71156735000000004"/>
    <n v="46.054000000000002"/>
    <n v="40.292999999999999"/>
    <n v="2.8"/>
    <m/>
    <n v="8.2449999999999992"/>
    <n v="2.9470000000000001"/>
    <s v=""/>
    <n v="0.14700000000000024"/>
  </r>
  <r>
    <s v="Uzbekistan"/>
    <x v="8"/>
    <x v="2"/>
    <n v="113.0261721"/>
    <n v="2.3911743859999999"/>
    <n v="1.710064872"/>
    <n v="54.679811839999999"/>
    <n v="47.268059059999999"/>
    <n v="12.611298570000001"/>
    <n v="9.5664476650000001"/>
    <n v="6.7060000000000004"/>
    <n v="7.39"/>
    <n v="54.789991819999997"/>
    <n v="48.510061020000002"/>
    <n v="0.71515690399999998"/>
    <n v="45.935000000000002"/>
    <n v="40.137"/>
    <n v="2.9380000000000002"/>
    <m/>
    <n v="8.4689999999999994"/>
    <n v="2.952"/>
    <s v=""/>
    <n v="1.399999999999979E-2"/>
  </r>
  <r>
    <s v="Uzbekistan"/>
    <x v="9"/>
    <x v="2"/>
    <n v="114.3720031"/>
    <n v="2.3032499830000002"/>
    <n v="1.6590863309999999"/>
    <n v="55.318614539999999"/>
    <n v="49.656791050000002"/>
    <n v="15.558396330000001"/>
    <n v="9.3434280600000008"/>
    <n v="6.5839999999999996"/>
    <n v="7.1360000000000001"/>
    <n v="55.581012960000002"/>
    <n v="49.551984330000003"/>
    <n v="0.72032403899999997"/>
    <n v="45.371000000000002"/>
    <n v="40.529000000000003"/>
    <n v="2.9049999999999998"/>
    <m/>
    <n v="8.3550000000000004"/>
    <n v="2.9550000000000001"/>
    <s v=""/>
    <n v="5.0000000000000266E-2"/>
  </r>
  <r>
    <s v="Uzbekistan"/>
    <x v="10"/>
    <x v="2"/>
    <n v="121.13239470000001"/>
    <n v="2.3797308309999998"/>
    <n v="1.6922549520000001"/>
    <n v="54.900926589999997"/>
    <n v="50.901720949999998"/>
    <n v="7.5284879010000001"/>
    <n v="9.2659669860000005"/>
    <n v="6.657"/>
    <n v="7.19"/>
    <n v="56.400987090000001"/>
    <n v="52.887973350000003"/>
    <n v="0.71111191600000001"/>
    <n v="46.862000000000002"/>
    <n v="41.905000000000001"/>
    <n v="3.1459999999999999"/>
    <m/>
    <n v="7.734"/>
    <n v="2.5009999999999999"/>
    <s v=""/>
    <n v="-0.64500000000000002"/>
  </r>
  <r>
    <s v="Uzbekistan"/>
    <x v="11"/>
    <x v="2"/>
    <n v="121.9406362"/>
    <n v="2.3802698179999999"/>
    <n v="1.6354488760000001"/>
    <n v="55.551015280000001"/>
    <n v="51.22975357"/>
    <n v="9.0827581889999998"/>
    <n v="8.4013950309999998"/>
    <n v="6.625"/>
    <n v="6.8710000000000004"/>
    <n v="57.413998790000001"/>
    <n v="53.68099892"/>
    <n v="0.68708549900000004"/>
    <n v="47.959000000000003"/>
    <n v="38.289000000000001"/>
    <n v="2.738"/>
    <m/>
    <n v="7.4160000000000004"/>
    <n v="2.7109999999999999"/>
    <s v=""/>
    <n v="-2.7000000000000135E-2"/>
  </r>
  <r>
    <s v="Uzbekistan"/>
    <x v="12"/>
    <x v="2"/>
    <n v="124.58268390000001"/>
    <n v="2.3503444569999998"/>
    <n v="1.6070285209999999"/>
    <n v="57.579710249999998"/>
    <n v="53.006138559999997"/>
    <n v="12.19507258"/>
    <n v="8.1978843930000007"/>
    <n v="6.5170000000000003"/>
    <n v="6.8120000000000003"/>
    <n v="59.688009710000003"/>
    <n v="55.204980880000001"/>
    <n v="0.68374170300000003"/>
    <n v="49.396999999999998"/>
    <n v="38.348999999999997"/>
    <n v="2.895"/>
    <m/>
    <n v="7.4420000000000002"/>
    <n v="2.7360000000000002"/>
    <s v=""/>
    <n v="-0.15899999999999981"/>
  </r>
  <r>
    <s v="Uzbekistan"/>
    <x v="13"/>
    <x v="2"/>
    <n v="117.4003987"/>
    <n v="2.2896454350000002"/>
    <n v="1.4528868340000001"/>
    <n v="56.089782370000002"/>
    <n v="51.274488550000001"/>
    <n v="16.759673379999999"/>
    <n v="8.3583771710000008"/>
    <n v="5.8579999999999997"/>
    <n v="6.22"/>
    <n v="58.062060719999998"/>
    <n v="52.953044050000003"/>
    <n v="0.63454664699999996"/>
    <n v="48.741999999999997"/>
    <n v="37.320999999999998"/>
    <n v="2.2050000000000001"/>
    <m/>
    <n v="7.3819999999999997"/>
    <n v="1.913"/>
    <s v=""/>
    <n v="-0.29200000000000004"/>
  </r>
  <r>
    <s v="Uzbekistan"/>
    <x v="14"/>
    <x v="2"/>
    <n v="120.1110137"/>
    <n v="2.3676853150000001"/>
    <n v="1.383383746"/>
    <n v="57.563376779999999"/>
    <n v="50.72929791"/>
    <n v="12.273888810000001"/>
    <n v="8.3890476849999995"/>
    <n v="5.5389999999999997"/>
    <n v="5.9980000000000002"/>
    <n v="60.428015670000001"/>
    <n v="54.226047989999998"/>
    <n v="0.58427686199999995"/>
    <n v="49.698999999999998"/>
    <n v="37.481999999999999"/>
    <n v="2.9940000000000002"/>
    <m/>
    <n v="6.835"/>
    <n v="2.6989999999999998"/>
    <s v=""/>
    <n v="-0.29500000000000037"/>
  </r>
  <r>
    <s v="Uzbekistan"/>
    <x v="15"/>
    <x v="2"/>
    <n v="113.21885640000001"/>
    <n v="2.3588960879999998"/>
    <n v="1.219264087"/>
    <n v="56.943458700000001"/>
    <n v="47.996542509999998"/>
    <n v="18.72862688"/>
    <n v="8.5491317220000003"/>
    <n v="5.2320000000000002"/>
    <n v="5.4660000000000002"/>
    <n v="60.724013429999999"/>
    <n v="50.984003309999999"/>
    <n v="0.51687910000000004"/>
    <n v="47.664999999999999"/>
    <n v="36.588000000000001"/>
    <n v="2.9089999999999998"/>
    <m/>
    <n v="5.6289999999999996"/>
    <n v="3.0019999999999998"/>
    <s v=""/>
    <n v="9.2999999999999972E-2"/>
  </r>
  <r>
    <s v="Uzbekistan"/>
    <x v="16"/>
    <x v="2"/>
    <n v="120.2579743"/>
    <n v="2.4374363510000001"/>
    <n v="1.2052600149999999"/>
    <n v="58.627323990000001"/>
    <n v="49.337893149999999"/>
    <n v="9.519372937"/>
    <n v="8.909117449"/>
    <n v="5.0960000000000001"/>
    <n v="5.2629999999999999"/>
    <n v="63.300007919999999"/>
    <n v="54.777021480000002"/>
    <n v="0.49447855899999998"/>
    <n v="49.372999999999998"/>
    <n v="39.49"/>
    <n v="3.14"/>
    <m/>
    <n v="5.5330000000000004"/>
    <n v="3.1219999999999999"/>
    <s v=""/>
    <n v="-1.8000000000000238E-2"/>
  </r>
  <r>
    <s v="Uzbekistan"/>
    <x v="17"/>
    <x v="2"/>
    <n v="116.41913719999999"/>
    <n v="2.433865086"/>
    <n v="1.0658208229999999"/>
    <n v="60.076098690000002"/>
    <n v="47.833028169999999"/>
    <n v="9.5203117670000008"/>
    <n v="9.4310981629999997"/>
    <n v="4.5039999999999996"/>
    <n v="4.718"/>
    <n v="65.599989440000002"/>
    <n v="53.734032220000003"/>
    <n v="0.43791286099999999"/>
    <n v="49.011000000000003"/>
    <n v="40.545000000000002"/>
    <n v="2.8"/>
    <m/>
    <n v="5.0629999999999997"/>
    <n v="3.2730000000000001"/>
    <s v=""/>
    <n v="0.47300000000000031"/>
  </r>
  <r>
    <s v="Uzbekistan"/>
    <x v="18"/>
    <x v="2"/>
    <n v="121.9848867"/>
    <n v="2.45329"/>
    <n v="1.024290586"/>
    <n v="62.291719360000002"/>
    <n v="49.7229788"/>
    <n v="8.9370345289999999"/>
    <n v="8.8270749639999995"/>
    <n v="4.4340000000000002"/>
    <n v="4.5129999999999999"/>
    <n v="68.329048909999997"/>
    <n v="56.339035930000001"/>
    <n v="0.41751712400000002"/>
    <n v="50.218000000000004"/>
    <n v="40.005000000000003"/>
    <n v="3.4510000000000001"/>
    <m/>
    <n v="4.9589999999999996"/>
    <n v="3.6019999999999999"/>
    <s v=""/>
    <n v="0.1509999999999998"/>
  </r>
  <r>
    <s v="Uzbekistan"/>
    <x v="19"/>
    <x v="2"/>
    <n v="112.0421893"/>
    <n v="2.4552608349999998"/>
    <n v="0.87070335499999996"/>
    <n v="61.0672043"/>
    <n v="45.633517920000003"/>
    <n v="12.939344950000001"/>
    <n v="9.5486073430000005"/>
    <n v="4.2709999999999999"/>
    <n v="4.649"/>
    <n v="66.948077139999995"/>
    <n v="51.260055739999999"/>
    <n v="0.35462764000000002"/>
    <n v="50.103000000000002"/>
    <n v="39.49"/>
    <n v="3.319"/>
    <m/>
    <n v="4.6719999999999997"/>
    <n v="3.6539999999999999"/>
    <s v=""/>
    <n v="0.33499999999999996"/>
  </r>
  <r>
    <s v="Uzbekistan"/>
    <x v="20"/>
    <x v="2"/>
    <n v="120.1561291"/>
    <n v="2.452326459"/>
    <n v="0.86782812300000001"/>
    <n v="59.606016250000003"/>
    <n v="48.996791880000004"/>
    <n v="15.76142376"/>
    <n v="8.5660788980000007"/>
    <n v="4.0410000000000004"/>
    <n v="4.125"/>
    <n v="65.959032640000004"/>
    <n v="56.49503283"/>
    <n v="0.35387952499999997"/>
    <n v="51.975000000000001"/>
    <n v="38.881"/>
    <n v="2.8570000000000002"/>
    <m/>
    <n v="3.8849999999999998"/>
    <n v="3.63"/>
    <s v=""/>
    <n v="0.77299999999999969"/>
  </r>
  <r>
    <s v="Uzbekistan"/>
    <x v="21"/>
    <x v="2"/>
    <n v="122.74426889999999"/>
    <n v="2.4728962189999999"/>
    <n v="0.822491419"/>
    <n v="56.091138559999997"/>
    <n v="49.63583509"/>
    <n v="10.80031816"/>
    <n v="8.8482430680000004"/>
    <n v="3.6589999999999998"/>
    <n v="3.8010000000000002"/>
    <n v="63.04107535"/>
    <n v="58.32596968"/>
    <n v="0.33260248100000001"/>
    <n v="52.804000000000002"/>
    <n v="40.241"/>
    <n v="3.0539999999999998"/>
    <m/>
    <n v="2.89"/>
    <n v="3.8450000000000002"/>
    <s v=""/>
    <n v="0.79100000000000037"/>
  </r>
  <r>
    <s v="Uzbekistan"/>
    <x v="22"/>
    <x v="2"/>
    <n v="108.98467770000001"/>
    <n v="2.474458716"/>
    <n v="0.68012668600000004"/>
    <n v="55.098391800000002"/>
    <n v="44.04384563"/>
    <n v="12.5533039"/>
    <n v="10.456913269999999"/>
    <n v="3.4590000000000001"/>
    <n v="3.6150000000000002"/>
    <n v="61.530998439999998"/>
    <n v="50.367995989999997"/>
    <n v="0.274858773"/>
    <n v="52.997999999999998"/>
    <n v="40.630000000000003"/>
    <n v="3.8839999999999999"/>
    <m/>
    <n v="3.0760000000000001"/>
    <n v="3.7530000000000001"/>
    <s v=""/>
    <n v="-0.13099999999999978"/>
  </r>
  <r>
    <s v="Uzbekistan"/>
    <x v="23"/>
    <x v="2"/>
    <n v="110.7890201"/>
    <n v="2.514028766"/>
    <n v="0.64264488900000005"/>
    <n v="52.758828190000003"/>
    <n v="44.068318410000003"/>
    <n v="10.443634769999999"/>
    <n v="10.82612935"/>
    <n v="3.891"/>
    <n v="4.0529999999999999"/>
    <n v="58.304930419999998"/>
    <n v="49.131062479999997"/>
    <n v="0.25562352300000002"/>
    <n v="54.616999999999997"/>
    <n v="41.451999999999998"/>
    <n v="5.702"/>
    <m/>
    <n v="3.3260000000000001"/>
    <n v="4.09"/>
    <s v=""/>
    <n v="-1.6120000000000001"/>
  </r>
  <r>
    <s v="Uzbekistan"/>
    <x v="24"/>
    <x v="2"/>
    <n v="102.857913"/>
    <n v="2.5063900239999999"/>
    <n v="0.55667367899999998"/>
    <n v="49.214468840000002"/>
    <n v="41.038271000000002"/>
    <n v="10.894320609999999"/>
    <n v="12.33209574"/>
    <n v="3.5219999999999998"/>
    <n v="3.6259999999999999"/>
    <n v="54.161064789999998"/>
    <n v="45.743940160000001"/>
    <n v="0.222101777"/>
    <n v="55.762999999999998"/>
    <n v="42.604999999999997"/>
    <n v="5.1859999999999999"/>
    <m/>
    <n v="3.0110000000000001"/>
    <n v="4.3970000000000002"/>
    <s v=""/>
    <n v="-0.7889999999999997"/>
  </r>
  <r>
    <s v="Uzbekistan"/>
    <x v="25"/>
    <x v="2"/>
    <n v="97.496190729999995"/>
    <n v="2.4797243369999999"/>
    <n v="0.49108153999999998"/>
    <n v="49.194353059999997"/>
    <n v="39.317350419999997"/>
    <n v="12.260649369999999"/>
    <n v="13.66575156"/>
    <n v="3.49"/>
    <n v="3.6309999999999998"/>
    <n v="54.600005809999999"/>
    <n v="43.759996409999999"/>
    <n v="0.19803876300000001"/>
    <n v="57.655999999999999"/>
    <n v="44.085999999999999"/>
    <n v="4.1280000000000001"/>
    <m/>
    <n v="2.8650000000000002"/>
    <n v="3.488"/>
    <s v=""/>
    <n v="-0.64000000000000012"/>
  </r>
  <r>
    <s v="Uzbekistan"/>
    <x v="26"/>
    <x v="2"/>
    <n v="103.3354633"/>
    <n v="2.4891468560000001"/>
    <n v="0.49059568599999998"/>
    <n v="50.480154919999997"/>
    <n v="41.514410079999998"/>
    <n v="12.38003514"/>
    <n v="13.16351319"/>
    <n v="3.62"/>
    <n v="3.6920000000000002"/>
    <n v="56.132069989999998"/>
    <n v="46.092971820000002"/>
    <n v="0.19709391000000001"/>
    <n v="59.183999999999997"/>
    <n v="45.161999999999999"/>
    <n v="4.907"/>
    <m/>
    <n v="2.746"/>
    <n v="3.867"/>
    <s v=""/>
    <n v="-1.04"/>
  </r>
  <r>
    <s v="Uzbekistan"/>
    <x v="27"/>
    <x v="2"/>
    <n v="107.57763989999999"/>
    <n v="2.4592126859999999"/>
    <n v="0.48892238700000001"/>
    <n v="51.206935059999999"/>
    <n v="43.744748280000003"/>
    <n v="13.74384083"/>
    <n v="12.959475380000001"/>
    <n v="3.617105"/>
    <n v="3.7396660000000002"/>
    <n v="56.642200010000003"/>
    <n v="48.69681361"/>
    <n v="0.198812567"/>
    <n v="61.317954"/>
    <n v="46.835635000000003"/>
    <n v="4.652482"/>
    <m/>
    <n v="2.9052199999999999"/>
    <n v="4.0386300000000004"/>
    <s v=""/>
    <n v="-0.61385199999999962"/>
  </r>
  <r>
    <s v="Uzbekistan"/>
    <x v="28"/>
    <x v="2"/>
    <n v="108.2528265"/>
    <n v="2.333357989"/>
    <n v="0.46801853500000001"/>
    <n v="55.197865749999998"/>
    <n v="46.393578290000001"/>
    <n v="9.3762098720000004"/>
    <n v="15.71624643"/>
    <n v="3.9522520000000001"/>
    <n v="4.0229689999999998"/>
    <n v="61.585446959999999"/>
    <n v="47.572778380000003"/>
    <n v="0.20057725300000001"/>
    <n v="62.896619000000001"/>
    <n v="55.292693999999997"/>
    <n v="6.6411540000000002"/>
    <m/>
    <n v="3.0340729999999998"/>
    <n v="4.1744000000000003"/>
    <s v=""/>
    <n v="-2.4667539999999999"/>
  </r>
  <r>
    <s v="Uzbekistan"/>
    <x v="29"/>
    <x v="2"/>
    <n v="111.54092679999999"/>
    <n v="2.3521133390000002"/>
    <n v="0.45681695900000002"/>
    <n v="54.503019090000002"/>
    <n v="47.421578250000003"/>
    <n v="10.26672904"/>
    <n v="15.21243769"/>
    <n v="4.1503283839999998"/>
    <n v="3.6517852610000001"/>
    <n v="60.55834926"/>
    <n v="49.923796019999997"/>
    <n v="0.19421553899999999"/>
    <n v="63.090924950000002"/>
    <n v="55.629875570000003"/>
    <n v="6.6011756869999996"/>
    <m/>
    <n v="3.1599996529999999"/>
    <n v="4.1119894480000001"/>
    <s v=""/>
    <n v="-2.4891862389999995"/>
  </r>
  <r>
    <s v="Uzbekistan"/>
    <x v="30"/>
    <x v="2"/>
    <n v="106.8211881"/>
    <n v="2.4211782159999999"/>
    <n v="0.43444610099999997"/>
    <n v="45.903279679999997"/>
    <n v="44.119506540000003"/>
    <n v="10.26672904"/>
    <n v="16.107902790000001"/>
    <n v="3.9313400490000001"/>
    <n v="3.4591021049999999"/>
    <n v="49.755830119999999"/>
    <n v="47.546670409999997"/>
    <n v="0.179435821"/>
    <n v="64.971735730000006"/>
    <n v="57.253200749999998"/>
    <n v="6.7315899779999997"/>
    <m/>
    <n v="3.314046812"/>
    <n v="4.1897654810000002"/>
    <s v=""/>
    <n v="-2.5418244969999995"/>
  </r>
  <r>
    <s v="Venezuela"/>
    <x v="0"/>
    <x v="1"/>
    <n v="93.59039095"/>
    <n v="2.3629932619999998"/>
    <n v="0.30540731399999999"/>
    <n v="144.84381819999999"/>
    <n v="39.606710880000001"/>
    <n v="62.343857989999997"/>
    <n v="14.881082749999999"/>
    <n v="17.713999999999999"/>
    <n v="50.536999999999999"/>
    <n v="17.556014709999999"/>
    <n v="16.772984040000001"/>
    <n v="0.129245952"/>
    <n v="59.320999999999998"/>
    <n v="47.148000000000003"/>
    <n v="0.64600000000000002"/>
    <n v="0"/>
    <n v="115.187"/>
    <n v="2.1890000000000001"/>
    <s v=""/>
    <n v="1.5430000000000001"/>
  </r>
  <r>
    <s v="Venezuela"/>
    <x v="1"/>
    <x v="1"/>
    <n v="93.085035059999996"/>
    <n v="2.2501693779999998"/>
    <n v="0.27682359400000001"/>
    <n v="160.50972519999999"/>
    <n v="41.368012550000003"/>
    <n v="70.325402209999993"/>
    <n v="14.98495447"/>
    <n v="17.431000000000001"/>
    <n v="54.014000000000003"/>
    <n v="18.02901829"/>
    <n v="17.6029825"/>
    <n v="0.12302344799999999"/>
    <n v="63.337000000000003"/>
    <n v="50.448"/>
    <n v="0"/>
    <n v="0"/>
    <n v="129.15199999999999"/>
    <n v="2.1749999999999998"/>
    <s v=""/>
    <n v="2.1749999999999998"/>
  </r>
  <r>
    <s v="Venezuela"/>
    <x v="2"/>
    <x v="1"/>
    <n v="95.052502950000004"/>
    <n v="2.0542649979999998"/>
    <n v="0.26652210399999998"/>
    <n v="161.68309110000001"/>
    <n v="46.270808789999997"/>
    <n v="70.09341637"/>
    <n v="15.836187519999999"/>
    <n v="18.616"/>
    <n v="48.393000000000001"/>
    <n v="17.950000559999999"/>
    <n v="17.79098222"/>
    <n v="0.12974085799999999"/>
    <n v="67.44"/>
    <n v="54.048000000000002"/>
    <n v="5.0000000000000001E-3"/>
    <n v="0"/>
    <n v="130.071"/>
    <n v="2.4500000000000002"/>
    <s v=""/>
    <n v="2.4450000000000003"/>
  </r>
  <r>
    <s v="Venezuela"/>
    <x v="3"/>
    <x v="1"/>
    <n v="100.61172639999999"/>
    <n v="2.3345714700000002"/>
    <n v="0.281335104"/>
    <n v="170.65666580000001"/>
    <n v="43.096443069999999"/>
    <n v="68.429852120000007"/>
    <n v="15.653626429999999"/>
    <n v="19.172999999999998"/>
    <n v="50.539000000000001"/>
    <n v="18.762001550000001"/>
    <n v="18.626019039999999"/>
    <n v="0.120508242"/>
    <n v="69.382000000000005"/>
    <n v="55.511000000000003"/>
    <n v="3.9E-2"/>
    <n v="0"/>
    <n v="137.065"/>
    <n v="3.8149999999999999"/>
    <s v=""/>
    <n v="3.7759999999999998"/>
  </r>
  <r>
    <s v="Venezuela"/>
    <x v="4"/>
    <x v="1"/>
    <n v="100.6282374"/>
    <n v="2.0146007560000001"/>
    <n v="0.28815141300000002"/>
    <n v="177.8841529"/>
    <n v="49.949468680000003"/>
    <n v="72.006851909999995"/>
    <n v="15.5794456"/>
    <n v="18.661000000000001"/>
    <n v="52.006"/>
    <n v="19.792000900000001"/>
    <n v="19.469997070000002"/>
    <n v="0.14303152199999999"/>
    <n v="71.221000000000004"/>
    <n v="55.927"/>
    <n v="7.5999999999999998E-2"/>
    <n v="0"/>
    <n v="142.535"/>
    <n v="4.2779999999999996"/>
    <s v=""/>
    <n v="4.202"/>
  </r>
  <r>
    <s v="Venezuela"/>
    <x v="5"/>
    <x v="1"/>
    <n v="106.8643636"/>
    <n v="2.2805380039999998"/>
    <n v="0.29437596799999999"/>
    <n v="192.46738830000001"/>
    <n v="46.859277710000001"/>
    <n v="70.051466379999994"/>
    <n v="14.88406283"/>
    <n v="20.152999999999999"/>
    <n v="53.585999999999999"/>
    <n v="21.131012200000001"/>
    <n v="21.131012200000001"/>
    <n v="0.12908180699999999"/>
    <n v="73.445999999999998"/>
    <n v="57.454000000000001"/>
    <n v="7.0000000000000001E-3"/>
    <n v="0"/>
    <n v="155.739"/>
    <n v="4.0640000000000001"/>
    <s v=""/>
    <n v="4.0570000000000004"/>
  </r>
  <r>
    <s v="Venezuela"/>
    <x v="6"/>
    <x v="1"/>
    <n v="114.90234770000001"/>
    <n v="2.3008348829999998"/>
    <n v="0.31714538599999997"/>
    <n v="217.1387934"/>
    <n v="49.939414839999998"/>
    <n v="71.237498020000004"/>
    <n v="14.52947532"/>
    <n v="20.225000000000001"/>
    <n v="56.170999999999999"/>
    <n v="23.794021090000001"/>
    <n v="24.42202653"/>
    <n v="0.13783926399999999"/>
    <n v="75.587999999999994"/>
    <n v="58.679000000000002"/>
    <n v="2.1999999999999999E-2"/>
    <n v="0"/>
    <n v="176.55199999999999"/>
    <n v="3.6389999999999998"/>
    <s v=""/>
    <n v="3.617"/>
  </r>
  <r>
    <s v="Venezuela"/>
    <x v="7"/>
    <x v="1"/>
    <n v="119.5134585"/>
    <n v="2.4031718980000001"/>
    <n v="0.31011540999999998"/>
    <n v="229.17791740000001"/>
    <n v="49.73154795"/>
    <n v="73.359380000000002"/>
    <n v="15.15937624"/>
    <n v="21.754000000000001"/>
    <n v="58.034999999999997"/>
    <n v="24.27501436"/>
    <n v="24.483973819999999"/>
    <n v="0.12904420599999999"/>
    <n v="78.064999999999998"/>
    <n v="60.085000000000001"/>
    <n v="4.7E-2"/>
    <n v="0"/>
    <n v="186.12899999999999"/>
    <n v="5.1459999999999999"/>
    <s v=""/>
    <n v="5.0990000000000002"/>
  </r>
  <r>
    <s v="Venezuela"/>
    <x v="8"/>
    <x v="1"/>
    <n v="115.951483"/>
    <n v="2.2145729379999999"/>
    <n v="0.299990602"/>
    <n v="226.66330099999999"/>
    <n v="52.358394250000003"/>
    <n v="71.596499469999998"/>
    <n v="15.260453310000001"/>
    <n v="20.004000000000001"/>
    <n v="57.808"/>
    <n v="25.039983419999999"/>
    <n v="25.21897646"/>
    <n v="0.135462055"/>
    <n v="80.902000000000001"/>
    <n v="61.167000000000002"/>
    <n v="4.9000000000000002E-2"/>
    <n v="0"/>
    <n v="181.45599999999999"/>
    <n v="7.4560000000000004"/>
    <s v=""/>
    <n v="7.407"/>
  </r>
  <r>
    <s v="Venezuela"/>
    <x v="9"/>
    <x v="1"/>
    <n v="115.5795368"/>
    <n v="2.001654673"/>
    <n v="0.31801526800000002"/>
    <n v="209.86383549999999"/>
    <n v="57.74199634"/>
    <n v="75.164655249999996"/>
    <n v="15.372512860000001"/>
    <n v="23.245000000000001"/>
    <n v="62.51"/>
    <n v="21.953001780000001"/>
    <n v="22.131993420000001"/>
    <n v="0.15887619"/>
    <n v="80.623000000000005"/>
    <n v="60.344999999999999"/>
    <n v="0.05"/>
    <n v="0"/>
    <n v="172.101"/>
    <n v="6.9790000000000001"/>
    <s v=""/>
    <n v="6.9290000000000003"/>
  </r>
  <r>
    <s v="Venezuela"/>
    <x v="10"/>
    <x v="1"/>
    <n v="122.5649916"/>
    <n v="2.0896318680000001"/>
    <n v="0.32524406900000002"/>
    <n v="219.31156139999999"/>
    <n v="58.653867900000002"/>
    <n v="73.748402150000004"/>
    <n v="15.859221010000001"/>
    <n v="24.748999999999999"/>
    <n v="65.623000000000005"/>
    <n v="22.904978969999998"/>
    <n v="23.084005170000001"/>
    <n v="0.155646587"/>
    <n v="85.271000000000001"/>
    <n v="63.21"/>
    <n v="0.18099999999999999"/>
    <n v="0"/>
    <n v="179.24199999999999"/>
    <n v="7.8849999999999998"/>
    <s v=""/>
    <n v="7.7039999999999997"/>
  </r>
  <r>
    <s v="Venezuela"/>
    <x v="11"/>
    <x v="1"/>
    <n v="127.8129867"/>
    <n v="2.3380595959999999"/>
    <n v="0.32803607099999998"/>
    <n v="227.53060980000001"/>
    <n v="54.666265529999997"/>
    <n v="67.067987880000004"/>
    <n v="15.94236368"/>
    <n v="27.331"/>
    <n v="64.953999999999994"/>
    <n v="21.3960112"/>
    <n v="21.61201281"/>
    <n v="0.140302699"/>
    <n v="90.119"/>
    <n v="65.709999999999994"/>
    <n v="6.7000000000000004E-2"/>
    <n v="0"/>
    <n v="186.85"/>
    <n v="7.585"/>
    <s v=""/>
    <n v="7.5179999999999998"/>
  </r>
  <r>
    <s v="Venezuela"/>
    <x v="12"/>
    <x v="1"/>
    <n v="134.62396960000001"/>
    <n v="1.9981190360000001"/>
    <n v="0.37908730899999998"/>
    <n v="209.88142149999999"/>
    <n v="67.375350130000001"/>
    <n v="64.815137390000004"/>
    <n v="15.373353160000001"/>
    <n v="28.917999999999999"/>
    <n v="62.710999999999999"/>
    <n v="25.518006700000001"/>
    <n v="22.065008219999999"/>
    <n v="0.18972208500000001"/>
    <n v="91.852000000000004"/>
    <n v="67.061999999999998"/>
    <n v="2.5000000000000001E-2"/>
    <n v="0"/>
    <n v="166.84800000000001"/>
    <n v="7.3689999999999998"/>
    <s v=""/>
    <n v="7.3439999999999994"/>
  </r>
  <r>
    <s v="Venezuela"/>
    <x v="13"/>
    <x v="1"/>
    <n v="129.42718310000001"/>
    <n v="2.055181068"/>
    <n v="0.39509445100000001"/>
    <n v="197.83209489999999"/>
    <n v="62.976048759999998"/>
    <n v="65.835726089999994"/>
    <n v="16.136431779999999"/>
    <n v="25.532"/>
    <n v="53.871000000000002"/>
    <n v="23.7379903"/>
    <n v="23.45997418"/>
    <n v="0.19224313500000001"/>
    <n v="91.944000000000003"/>
    <n v="66.47"/>
    <n v="5.8999999999999997E-2"/>
    <n v="0"/>
    <n v="157.39099999999999"/>
    <n v="6.8070000000000004"/>
    <s v=""/>
    <n v="6.7480000000000002"/>
  </r>
  <r>
    <s v="Venezuela"/>
    <x v="14"/>
    <x v="1"/>
    <n v="133.97763320000001"/>
    <n v="2.2065827769999999"/>
    <n v="0.34575793700000002"/>
    <n v="218.59116320000001"/>
    <n v="60.717247759999999"/>
    <n v="71.10459453"/>
    <n v="16.436186670000001"/>
    <n v="27.376999999999999"/>
    <n v="66.293999999999997"/>
    <n v="23.40698463"/>
    <n v="23.087003639999999"/>
    <n v="0.156693844"/>
    <n v="98.552000000000007"/>
    <n v="71.628"/>
    <n v="0"/>
    <n v="0"/>
    <n v="175.48099999999999"/>
    <n v="6.7480000000000002"/>
    <s v=""/>
    <n v="6.7480000000000002"/>
  </r>
  <r>
    <s v="Venezuela"/>
    <x v="15"/>
    <x v="1"/>
    <n v="142.11737690000001"/>
    <n v="2.2371239680000001"/>
    <n v="0.332461224"/>
    <n v="224.06152599999999"/>
    <n v="63.526822350000003"/>
    <n v="73.283420629999995"/>
    <n v="15.07555726"/>
    <n v="30.140999999999998"/>
    <n v="58.335999999999999"/>
    <n v="20.30300162"/>
    <n v="23.92398931"/>
    <n v="0.14861099699999999"/>
    <n v="105.384"/>
    <n v="73.100999999999999"/>
    <n v="5.0999999999999997E-2"/>
    <n v="0"/>
    <n v="182.196"/>
    <n v="7.1950000000000003"/>
    <s v=""/>
    <n v="7.1440000000000001"/>
  </r>
  <r>
    <s v="Venezuela"/>
    <x v="16"/>
    <x v="1"/>
    <n v="140.20331849999999"/>
    <n v="2.168111246"/>
    <n v="0.298513853"/>
    <n v="223.4307891"/>
    <n v="64.666109149999997"/>
    <n v="73.898317359999993"/>
    <n v="16.77696706"/>
    <n v="30.123999999999999"/>
    <n v="62.773000000000003"/>
    <n v="20.947017150000001"/>
    <n v="23.24000406"/>
    <n v="0.13768382700000001"/>
    <n v="110.422"/>
    <n v="77.367000000000004"/>
    <n v="0.33900000000000002"/>
    <n v="0"/>
    <n v="180.13200000000001"/>
    <n v="6.9829999999999997"/>
    <s v=""/>
    <n v="6.6439999999999992"/>
  </r>
  <r>
    <s v="Venezuela"/>
    <x v="17"/>
    <x v="1"/>
    <n v="136.0231484"/>
    <n v="2.0570581049999999"/>
    <n v="0.26630263399999998"/>
    <n v="218.45145729999999"/>
    <n v="66.125088079999998"/>
    <n v="72.722258220000001"/>
    <n v="17.52269115"/>
    <n v="30.928999999999998"/>
    <n v="60.137"/>
    <n v="21.32601167"/>
    <n v="21.592985160000001"/>
    <n v="0.12945800299999999"/>
    <n v="114.214"/>
    <n v="78.17"/>
    <n v="0.19"/>
    <n v="0"/>
    <n v="174.25899999999999"/>
    <n v="6.0970000000000004"/>
    <s v=""/>
    <n v="5.907"/>
  </r>
  <r>
    <s v="Venezuela"/>
    <x v="18"/>
    <x v="1"/>
    <n v="143.48354499999999"/>
    <n v="2.188356835"/>
    <n v="0.26682573500000001"/>
    <n v="222.9887622"/>
    <n v="65.566795450000001"/>
    <n v="72.793951230000005"/>
    <n v="17.752911739999998"/>
    <n v="30.866"/>
    <n v="63.404000000000003"/>
    <n v="19.416011359999999"/>
    <n v="21.810012870000001"/>
    <n v="0.12192971900000001"/>
    <n v="119.297"/>
    <n v="79.94"/>
    <n v="0.193"/>
    <n v="0"/>
    <n v="180.696"/>
    <n v="4.9219999999999997"/>
    <s v=""/>
    <n v="4.7290000000000001"/>
  </r>
  <r>
    <s v="Venezuela"/>
    <x v="19"/>
    <x v="1"/>
    <n v="144.68505930000001"/>
    <n v="2.2892643220000002"/>
    <n v="0.27796126300000001"/>
    <n v="204.35476700000001"/>
    <n v="63.201552530000001"/>
    <n v="71.886603109999996"/>
    <n v="18.224537049999999"/>
    <n v="31.088000000000001"/>
    <n v="61.854999999999997"/>
    <n v="18.578990059999999"/>
    <n v="21.296987309999999"/>
    <n v="0.121419471"/>
    <n v="119.58"/>
    <n v="82.738"/>
    <n v="0.32500000000000001"/>
    <n v="0"/>
    <n v="166.16499999999999"/>
    <n v="3.282"/>
    <s v=""/>
    <n v="2.9569999999999999"/>
  </r>
  <r>
    <s v="Venezuela"/>
    <x v="20"/>
    <x v="1"/>
    <n v="156.66038080000001"/>
    <n v="2.0792726309999998"/>
    <n v="0.30551611200000001"/>
    <n v="201.183412"/>
    <n v="75.343838230000003"/>
    <n v="67.490572839999999"/>
    <n v="16.525190989999999"/>
    <n v="34.838999999999999"/>
    <n v="56.976999999999997"/>
    <n v="22.01202121"/>
    <n v="23.455996559999999"/>
    <n v="0.146934129"/>
    <n v="113.767"/>
    <n v="83.51"/>
    <n v="0.27300000000000002"/>
    <n v="1.757979E-3"/>
    <n v="164.577"/>
    <n v="2.73"/>
    <s v=""/>
    <n v="2.4569999999999999"/>
  </r>
  <r>
    <s v="Venezuela"/>
    <x v="21"/>
    <x v="1"/>
    <n v="150.87122450000001"/>
    <n v="2.2431959250000002"/>
    <n v="0.28243070199999998"/>
    <n v="202.98032230000001"/>
    <n v="67.257265790000005"/>
    <n v="70.930715559999996"/>
    <n v="17.025664020000001"/>
    <n v="34.533999999999999"/>
    <n v="59.805999999999997"/>
    <n v="22.17100877"/>
    <n v="21.291977920000001"/>
    <n v="0.125905499"/>
    <n v="117.96299999999999"/>
    <n v="86.715000000000003"/>
    <n v="0.28100000000000003"/>
    <n v="1.6954470000000001E-3"/>
    <n v="165.66"/>
    <n v="2.1"/>
    <s v=""/>
    <n v="1.819"/>
  </r>
  <r>
    <s v="Venezuela"/>
    <x v="22"/>
    <x v="1"/>
    <n v="162.3695907"/>
    <n v="2.361587455"/>
    <n v="0.28776603299999998"/>
    <n v="199.12362769999999"/>
    <n v="68.754426309999999"/>
    <n v="67.420513279999994"/>
    <n v="16.365228850000001"/>
    <n v="37.511000000000003"/>
    <n v="56.529000000000003"/>
    <n v="23.34498069"/>
    <n v="22.86097406"/>
    <n v="0.121852795"/>
    <n v="121.687"/>
    <n v="89.662999999999997"/>
    <n v="0.28899999999999998"/>
    <n v="2.7940535999999998E-2"/>
    <n v="161.52600000000001"/>
    <n v="1.2"/>
    <s v=""/>
    <n v="0.91100000000000003"/>
  </r>
  <r>
    <s v="Venezuela"/>
    <x v="23"/>
    <x v="1"/>
    <n v="159.2643995"/>
    <n v="2.0919033630000001"/>
    <n v="0.27852192100000001"/>
    <n v="198.91630169999999"/>
    <n v="76.133726960000004"/>
    <n v="67.854099890000001"/>
    <n v="18.386086649999999"/>
    <n v="36.997999999999998"/>
    <n v="54.524000000000001"/>
    <n v="22.49802442"/>
    <n v="22.53602377"/>
    <n v="0.13314282399999999"/>
    <n v="123.235"/>
    <n v="99.018000000000001"/>
    <n v="0.28799999999999998"/>
    <n v="6.0859334000000001E-2"/>
    <n v="161.37700000000001"/>
    <n v="0.94699999999999995"/>
    <s v=""/>
    <n v="0.65900000000000003"/>
  </r>
  <r>
    <s v="Venezuela"/>
    <x v="24"/>
    <x v="1"/>
    <n v="156.88012370000001"/>
    <n v="2.3755912779999999"/>
    <n v="0.285469584"/>
    <n v="191.3592271"/>
    <n v="66.03834809"/>
    <n v="62.300000969999999"/>
    <n v="14.988086259999999"/>
    <n v="36.125999999999998"/>
    <n v="55.247999999999998"/>
    <n v="22.576990420000001"/>
    <n v="22.277001569999999"/>
    <n v="0.120167803"/>
    <n v="103.313"/>
    <n v="74.197000000000003"/>
    <n v="0.27"/>
    <n v="7.3562862000000007E-2"/>
    <n v="155.351"/>
    <n v="1.2"/>
    <s v=""/>
    <n v="0.92999999999999994"/>
  </r>
  <r>
    <s v="Venezuela"/>
    <x v="25"/>
    <x v="1"/>
    <n v="142.00945920000001"/>
    <n v="2.208584331"/>
    <n v="0.27555201699999998"/>
    <n v="184.03861470000001"/>
    <n v="64.298862029999995"/>
    <n v="61.056686130000003"/>
    <n v="19.707677459999999"/>
    <n v="31.291"/>
    <n v="50.402000000000001"/>
    <n v="22.957004250000001"/>
    <n v="22.963973599999999"/>
    <n v="0.12476409099999999"/>
    <n v="122.79900000000001"/>
    <n v="84.272999999999996"/>
    <n v="0.18"/>
    <n v="6.3518432999999999E-2"/>
    <n v="146.61000000000001"/>
    <n v="0.80200000000000005"/>
    <s v=""/>
    <n v="0.62200000000000011"/>
  </r>
  <r>
    <s v="Venezuela"/>
    <x v="26"/>
    <x v="1"/>
    <n v="130.24413490000001"/>
    <n v="2.2147428589999998"/>
    <n v="0.30463216300000001"/>
    <n v="169.1247429"/>
    <n v="58.807790900000001"/>
    <n v="58.37786277"/>
    <n v="19.308332270000001"/>
    <n v="27.675000000000001"/>
    <n v="42.06"/>
    <n v="24.475999030000001"/>
    <n v="22.692979189999999"/>
    <n v="0.137547418"/>
    <n v="107.98099999999999"/>
    <n v="73.42"/>
    <n v="0.20200000000000001"/>
    <n v="7.2234930000000003E-2"/>
    <n v="131.988"/>
    <n v="0.9"/>
    <s v=""/>
    <n v="0.69799999999999995"/>
  </r>
  <r>
    <s v="Venezuela"/>
    <x v="27"/>
    <x v="1"/>
    <n v="124.1061229"/>
    <n v="2.2229891519999998"/>
    <n v="0.344218205"/>
    <n v="148.97695239999999"/>
    <n v="55.828487879999997"/>
    <n v="58.379585919999997"/>
    <n v="19.658548889999999"/>
    <n v="25.275155999999999"/>
    <n v="36.647685000000003"/>
    <n v="24.007552690000001"/>
    <n v="22.803576190000001"/>
    <n v="0.154844753"/>
    <n v="103.777449"/>
    <n v="70.153699000000003"/>
    <n v="0.112222"/>
    <n v="7.5160837999999994E-2"/>
    <n v="113.22011000000001"/>
    <n v="0.5"/>
    <s v=""/>
    <n v="0.38777800000000001"/>
  </r>
  <r>
    <s v="Venezuela"/>
    <x v="28"/>
    <x v="1"/>
    <n v="113.2495533"/>
    <n v="2.70164625"/>
    <n v="0.39078197799999997"/>
    <n v="115.3127484"/>
    <n v="41.918720219999997"/>
    <n v="58.3805318"/>
    <n v="20.319222329999999"/>
    <n v="22.891801999999998"/>
    <n v="31.411686"/>
    <n v="23.709981429999999"/>
    <n v="23.828481320000002"/>
    <n v="0.14464587200000001"/>
    <n v="99.738223000000005"/>
    <n v="66.530344999999997"/>
    <n v="4.4888999999999998E-2"/>
    <n v="7.7432701000000007E-2"/>
    <n v="84.860872999999998"/>
    <n v="0.2"/>
    <s v=""/>
    <n v="0.155111"/>
  </r>
  <r>
    <s v="Venezuela"/>
    <x v="29"/>
    <x v="1"/>
    <n v="101.20020580000001"/>
    <n v="2.7936237180000001"/>
    <n v="0.53723718899999995"/>
    <n v="81.895068609999996"/>
    <n v="36.225424760000003"/>
    <n v="58.377039859999996"/>
    <n v="21.292363160000001"/>
    <n v="20.825057940000001"/>
    <n v="29.023761350000001"/>
    <n v="19.59998465"/>
    <n v="21.197943219999999"/>
    <n v="0.19230835700000001"/>
    <n v="96.463747979999994"/>
    <n v="64.427278240000007"/>
    <n v="2.9469014000000002E-2"/>
    <n v="7.3940760999999994E-2"/>
    <n v="56.900108799999998"/>
    <n v="0.29820421000000003"/>
    <s v=""/>
    <n v="0.26873519600000001"/>
  </r>
  <r>
    <s v="Venezuela"/>
    <x v="30"/>
    <x v="1"/>
    <n v="85.048355959999995"/>
    <n v="2.9164783399999998"/>
    <n v="0.60199007599999999"/>
    <n v="51.397629700000003"/>
    <n v="29.161319259999999"/>
    <n v="60.94418357"/>
    <n v="23.787544189999998"/>
    <n v="17.910153439999998"/>
    <n v="25.405931469999999"/>
    <n v="14.62158855"/>
    <n v="17.81366564"/>
    <n v="0.20640992499999999"/>
    <n v="92.816466860000006"/>
    <n v="61.944911019999999"/>
    <n v="1.9346004E-2"/>
    <n v="7.6846310000000001E-2"/>
    <n v="32.229087960000001"/>
    <n v="0.19576697900000001"/>
    <s v=""/>
    <n v="0.176420975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42ABA-6CF0-460B-BA02-B9B488F88142}" name="PivotTable2" cacheId="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9" firstHeaderRow="0" firstDataRow="1" firstDataCol="1"/>
  <pivotFields count="23">
    <pivotField showAll="0"/>
    <pivotField dataField="1" showAll="0"/>
    <pivotField axis="axisRow" showAll="0">
      <items count="8">
        <item x="6"/>
        <item x="0"/>
        <item x="2"/>
        <item x="3"/>
        <item x="5"/>
        <item x="4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2 emissions from fuel combustion (MtCO2)" fld="3" baseField="0" baseItem="0"/>
    <dataField name="Sum of Year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44691-874D-473A-BD6E-8D4B67783EB7}" name="PivotTable1" cacheId="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9" firstHeaderRow="1" firstDataRow="1" firstDataCol="1"/>
  <pivotFields count="23">
    <pivotField showAll="0"/>
    <pivotField showAl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8">
        <item x="6"/>
        <item x="0"/>
        <item x="2"/>
        <item x="3"/>
        <item x="5"/>
        <item x="4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energy production (Mtoe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297B5F-07A0-449B-8C86-D88ECF8C7C76}" autoFormatId="16" applyNumberFormats="0" applyBorderFormats="0" applyFontFormats="0" applyPatternFormats="0" applyAlignmentFormats="0" applyWidthHeightFormats="0">
  <queryTableRefresh nextId="27" unboundColumnsRight="2">
    <queryTableFields count="23">
      <queryTableField id="1" name="country" tableColumnId="1"/>
      <queryTableField id="2" name="Year" tableColumnId="2"/>
      <queryTableField id="3" name="Region" tableColumnId="3"/>
      <queryTableField id="4" name="CO2 emissions from fuel combustion (MtCO2)" tableColumnId="4"/>
      <queryTableField id="5" name="Average CO2 emission factor (tCO2/toe)" tableColumnId="5"/>
      <queryTableField id="6" name="CO2 intensity at constant purchasing power parities (kCO2/$15p)" tableColumnId="6"/>
      <queryTableField id="7" name="Total energy production (Mtoe)" tableColumnId="7"/>
      <queryTableField id="8" name="Total energy consumption (Mtoe)" tableColumnId="8"/>
      <queryTableField id="9" name="Share of renewables in electricity production (%)" tableColumnId="9"/>
      <queryTableField id="10" name="Share of electricity in total final energy consumption (%)" tableColumnId="10"/>
      <queryTableField id="11" name="Oil products domestic consumption (Mt)" tableColumnId="11"/>
      <queryTableField id="12" name="Refined oil products production (Mt)" tableColumnId="12"/>
      <queryTableField id="13" name="Natural gas production (bcm)" tableColumnId="13"/>
      <queryTableField id="14" name="Natural gas domestic consumption (bcm)" tableColumnId="14"/>
      <queryTableField id="15" name="Energy intensity of GDP at constant purchasing power parities (koe/$15p)" tableColumnId="15"/>
      <queryTableField id="16" name="Electricity production (TWh)" tableColumnId="16"/>
      <queryTableField id="17" name="Electricity domestic consumption (TWh)" tableColumnId="17"/>
      <queryTableField id="18" name="Coal and lignite domestic consumption (Mt)" tableColumnId="18"/>
      <queryTableField id="19" name="Share of wind and solar in electricity production (%)" tableColumnId="19"/>
      <queryTableField id="20" name="Crude oil production (Mt)" tableColumnId="20"/>
      <queryTableField id="21" name="Coal and lignite production (Mt)" tableColumnId="21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A5FECC-223A-4469-8B78-2D1799B98456}" name="Energy_data_1990___2020" displayName="Energy_data_1990___2020" ref="A1:W1366" tableType="queryTable" totalsRowCount="1">
  <autoFilter ref="A1:W1365" xr:uid="{1FA5FECC-223A-4469-8B78-2D1799B98456}"/>
  <tableColumns count="23">
    <tableColumn id="1" xr3:uid="{C2F6E3DC-0AF7-4F64-9B5E-280DA273C48A}" uniqueName="1" name="country" queryTableFieldId="1" dataDxfId="8"/>
    <tableColumn id="2" xr3:uid="{C16FB7C4-AAF8-437B-BB47-DF6CE275AF34}" uniqueName="2" name="Year" queryTableFieldId="2"/>
    <tableColumn id="3" xr3:uid="{02440298-D968-4AA5-AB23-DF57DE7DC5C5}" uniqueName="3" name="Region" queryTableFieldId="3" dataDxfId="7"/>
    <tableColumn id="4" xr3:uid="{BAC33756-3492-4858-A772-BAD09D48C01D}" uniqueName="4" name="CO2 emissions from fuel combustion (MtCO2)" totalsRowFunction="custom" queryTableFieldId="4">
      <totalsRowFormula>AVERAGE(Energy_data_1990___2020[CO2 emissions from fuel combustion (MtCO2)])</totalsRowFormula>
    </tableColumn>
    <tableColumn id="5" xr3:uid="{694C441D-CF93-4B4E-8356-1ABC8F071A70}" uniqueName="5" name="Average CO2 emission factor (tCO2/toe)" queryTableFieldId="5"/>
    <tableColumn id="6" xr3:uid="{BB3593BB-E0C1-41AC-B04F-0FFF8187E3E8}" uniqueName="6" name="CO2 intensity at constant purchasing power parities (kCO2/$15p)" queryTableFieldId="6"/>
    <tableColumn id="7" xr3:uid="{86AFF5D0-80C4-4431-B962-A4FCD37FD497}" uniqueName="7" name="Total energy production (Mtoe)" queryTableFieldId="7"/>
    <tableColumn id="8" xr3:uid="{7F50AFB1-C45D-448D-89F4-F436B96EF18F}" uniqueName="8" name="Total energy consumption (Mtoe)" queryTableFieldId="8"/>
    <tableColumn id="9" xr3:uid="{75B5351B-9940-41B4-BFA5-E64ED2B58D49}" uniqueName="9" name="Share of renewables in electricity production (%)" queryTableFieldId="9"/>
    <tableColumn id="10" xr3:uid="{EE9F95FA-370C-4EB6-A4C6-35E1E4659EBB}" uniqueName="10" name="Share of electricity in total final energy consumption (%)" queryTableFieldId="10"/>
    <tableColumn id="11" xr3:uid="{CDE24522-9904-41A3-8CA1-97FF855B3D31}" uniqueName="11" name="Oil products domestic consumption (Mt)" queryTableFieldId="11"/>
    <tableColumn id="12" xr3:uid="{D65B62E0-7619-4294-B9E4-AF9A9CC136EB}" uniqueName="12" name="Refined oil products production (Mt)" queryTableFieldId="12"/>
    <tableColumn id="13" xr3:uid="{7746A3AC-E000-4F8D-9501-28736A69FEE8}" uniqueName="13" name="Natural gas production (bcm)" queryTableFieldId="13"/>
    <tableColumn id="14" xr3:uid="{01DDFDD3-AB78-4EBC-849F-E35FBA428A3C}" uniqueName="14" name="Natural gas domestic consumption (bcm)" queryTableFieldId="14"/>
    <tableColumn id="15" xr3:uid="{C3A1016E-2902-449F-9F59-7EEB5FE75535}" uniqueName="15" name="Energy intensity of GDP at constant purchasing power parities (koe/$15p)" queryTableFieldId="15"/>
    <tableColumn id="16" xr3:uid="{A4B79FAD-2400-4444-85F2-39E0B416FB81}" uniqueName="16" name="Electricity production (TWh)" queryTableFieldId="16"/>
    <tableColumn id="17" xr3:uid="{4E80450E-FC68-40E6-911A-2CD44A0FDA30}" uniqueName="17" name="Electricity domestic consumption (TWh)" queryTableFieldId="17"/>
    <tableColumn id="18" xr3:uid="{D54300A8-71FD-40A3-BCAB-9940ABE0829D}" uniqueName="18" name="Coal and lignite domestic consumption (Mt)" queryTableFieldId="18"/>
    <tableColumn id="19" xr3:uid="{7B6EDFC7-2CD7-4EDF-96DD-E71365DD8371}" uniqueName="19" name="Share of wind and solar in electricity production (%)" queryTableFieldId="19"/>
    <tableColumn id="20" xr3:uid="{5EB67E43-C0BE-4000-806C-E811C7C9D8CA}" uniqueName="20" name="Crude oil production (Mt)" queryTableFieldId="20"/>
    <tableColumn id="21" xr3:uid="{2487253D-FA58-4168-BDBA-FB202360ED8D}" uniqueName="21" name="Coal and lignite production (Mt)" queryTableFieldId="21"/>
    <tableColumn id="25" xr3:uid="{BAF99681-108F-4822-9797-06DCF883D225}" uniqueName="25" name="AVERAGE(4.1)" queryTableFieldId="25" dataDxfId="5" totalsRowDxfId="6">
      <calculatedColumnFormula>IF(Energy_data_1990___2020[[#This Row],[CO2 emissions from fuel combustion (MtCO2)]]&gt;Energy_data_1990___2020[[#Totals],[CO2 emissions from fuel combustion (MtCO2)]],"Above Average","")</calculatedColumnFormula>
    </tableColumn>
    <tableColumn id="26" xr3:uid="{61F610D4-62C0-4831-844D-D5C84CC60695}" uniqueName="26" name="SURPLUS(4.2)" queryTableFieldId="26" dataDxfId="3" totalsRowDxfId="4">
      <calculatedColumnFormula>SUM(Energy_data_1990___2020[[#This Row],[Coal and lignite production (Mt)]]-Energy_data_1990___2020[[#This Row],[Coal and lignite domestic consumption (Mt)]])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4F70-3A9A-4F81-9BE0-215D90ABCD88}">
  <sheetPr codeName="Sheet2"/>
  <dimension ref="A1:W1366"/>
  <sheetViews>
    <sheetView topLeftCell="K276" workbookViewId="0">
      <selection activeCell="D1366" sqref="D1366"/>
    </sheetView>
  </sheetViews>
  <sheetFormatPr defaultRowHeight="15"/>
  <cols>
    <col min="1" max="1" width="19.7109375" bestFit="1" customWidth="1"/>
    <col min="2" max="2" width="7.28515625" bestFit="1" customWidth="1"/>
    <col min="3" max="3" width="19" bestFit="1" customWidth="1"/>
    <col min="4" max="4" width="45.85546875" bestFit="1" customWidth="1"/>
    <col min="5" max="5" width="40.28515625" bestFit="1" customWidth="1"/>
    <col min="6" max="6" width="62.85546875" bestFit="1" customWidth="1"/>
    <col min="7" max="7" width="31.5703125" bestFit="1" customWidth="1"/>
    <col min="8" max="8" width="33.7109375" bestFit="1" customWidth="1"/>
    <col min="9" max="9" width="48.140625" bestFit="1" customWidth="1"/>
    <col min="10" max="10" width="55.140625" bestFit="1" customWidth="1"/>
    <col min="11" max="11" width="40.5703125" bestFit="1" customWidth="1"/>
    <col min="12" max="12" width="36.85546875" bestFit="1" customWidth="1"/>
    <col min="13" max="13" width="29.85546875" bestFit="1" customWidth="1"/>
    <col min="14" max="14" width="41.140625" bestFit="1" customWidth="1"/>
    <col min="15" max="15" width="70.5703125" bestFit="1" customWidth="1"/>
    <col min="16" max="16" width="29.140625" bestFit="1" customWidth="1"/>
    <col min="17" max="17" width="40.42578125" bestFit="1" customWidth="1"/>
    <col min="18" max="18" width="43.5703125" bestFit="1" customWidth="1"/>
    <col min="19" max="19" width="50.7109375" bestFit="1" customWidth="1"/>
    <col min="20" max="20" width="26.42578125" bestFit="1" customWidth="1"/>
    <col min="21" max="21" width="32.42578125" bestFit="1" customWidth="1"/>
    <col min="22" max="23" width="32.42578125" style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s="2" t="s">
        <v>22</v>
      </c>
    </row>
    <row r="2" spans="1:23">
      <c r="A2" t="s">
        <v>23</v>
      </c>
      <c r="B2">
        <v>1990</v>
      </c>
      <c r="C2" t="s">
        <v>24</v>
      </c>
      <c r="D2">
        <v>52.981921100000001</v>
      </c>
      <c r="E2">
        <v>2.3878553419999999</v>
      </c>
      <c r="F2">
        <v>0.22888934</v>
      </c>
      <c r="G2">
        <v>100.1127486</v>
      </c>
      <c r="H2">
        <v>22.188078220000001</v>
      </c>
      <c r="I2">
        <v>0.78297181299999996</v>
      </c>
      <c r="J2">
        <v>8.3765920509999994</v>
      </c>
      <c r="K2">
        <v>8.08</v>
      </c>
      <c r="L2">
        <v>25.395</v>
      </c>
      <c r="M2">
        <v>45.684035469999998</v>
      </c>
      <c r="N2">
        <v>14.301991129999999</v>
      </c>
      <c r="O2">
        <v>9.5855614000000006E-2</v>
      </c>
      <c r="P2">
        <v>17.242000000000001</v>
      </c>
      <c r="Q2">
        <v>13.693</v>
      </c>
      <c r="R2">
        <v>0.94</v>
      </c>
      <c r="S2">
        <v>0</v>
      </c>
      <c r="T2">
        <v>57.85</v>
      </c>
      <c r="U2">
        <v>0</v>
      </c>
      <c r="V2" s="1" t="str">
        <f>IF(Energy_data_1990___2020[[#This Row],[CO2 emissions from fuel combustion (MtCO2)]]&gt;Energy_data_1990___2020[[#Totals],[CO2 emissions from fuel combustion (MtCO2)]],"Above Average","")</f>
        <v/>
      </c>
      <c r="W2" s="1">
        <f>SUM(Energy_data_1990___2020[[#This Row],[Coal and lignite production (Mt)]]-Energy_data_1990___2020[[#This Row],[Coal and lignite domestic consumption (Mt)]])</f>
        <v>-0.94</v>
      </c>
    </row>
    <row r="3" spans="1:23">
      <c r="A3" t="s">
        <v>23</v>
      </c>
      <c r="B3">
        <v>1991</v>
      </c>
      <c r="C3" t="s">
        <v>24</v>
      </c>
      <c r="D3">
        <v>57.14997082</v>
      </c>
      <c r="E3">
        <v>2.4350264500000001</v>
      </c>
      <c r="F3">
        <v>0.249894638</v>
      </c>
      <c r="G3">
        <v>102.5861714</v>
      </c>
      <c r="H3">
        <v>23.469958949999999</v>
      </c>
      <c r="I3">
        <v>1.5807930939999999</v>
      </c>
      <c r="J3">
        <v>7.9947484109999998</v>
      </c>
      <c r="K3">
        <v>8.4499999999999993</v>
      </c>
      <c r="L3">
        <v>25.434999999999999</v>
      </c>
      <c r="M3">
        <v>49.531988890000001</v>
      </c>
      <c r="N3">
        <v>15.312995239999999</v>
      </c>
      <c r="O3">
        <v>0.10262502</v>
      </c>
      <c r="P3">
        <v>18.535</v>
      </c>
      <c r="Q3">
        <v>14.058</v>
      </c>
      <c r="R3">
        <v>1.171</v>
      </c>
      <c r="S3">
        <v>0</v>
      </c>
      <c r="T3">
        <v>57.076000000000001</v>
      </c>
      <c r="U3">
        <v>0</v>
      </c>
      <c r="V3" s="1" t="str">
        <f>IF(Energy_data_1990___2020[[#This Row],[CO2 emissions from fuel combustion (MtCO2)]]&gt;Energy_data_1990___2020[[#Totals],[CO2 emissions from fuel combustion (MtCO2)]],"Above Average","")</f>
        <v/>
      </c>
      <c r="W3" s="1">
        <f>SUM(Energy_data_1990___2020[[#This Row],[Coal and lignite production (Mt)]]-Energy_data_1990___2020[[#This Row],[Coal and lignite domestic consumption (Mt)]])</f>
        <v>-1.171</v>
      </c>
    </row>
    <row r="4" spans="1:23">
      <c r="A4" t="s">
        <v>23</v>
      </c>
      <c r="B4">
        <v>1992</v>
      </c>
      <c r="C4" t="s">
        <v>24</v>
      </c>
      <c r="D4">
        <v>57.262430000000002</v>
      </c>
      <c r="E4">
        <v>2.3835169920000001</v>
      </c>
      <c r="F4">
        <v>0.24595910800000001</v>
      </c>
      <c r="G4">
        <v>104.20590799999999</v>
      </c>
      <c r="H4">
        <v>24.024343099999999</v>
      </c>
      <c r="I4">
        <v>1.022925876</v>
      </c>
      <c r="J4">
        <v>8.4900684440000003</v>
      </c>
      <c r="K4">
        <v>8.3490000000000002</v>
      </c>
      <c r="L4">
        <v>25.459</v>
      </c>
      <c r="M4">
        <v>51.670011369999997</v>
      </c>
      <c r="N4">
        <v>15.72700964</v>
      </c>
      <c r="O4">
        <v>0.103191674</v>
      </c>
      <c r="P4">
        <v>19.454000000000001</v>
      </c>
      <c r="Q4">
        <v>15.13</v>
      </c>
      <c r="R4">
        <v>1.056</v>
      </c>
      <c r="S4">
        <v>0</v>
      </c>
      <c r="T4">
        <v>56.904000000000003</v>
      </c>
      <c r="U4">
        <v>0</v>
      </c>
      <c r="V4" s="1" t="str">
        <f>IF(Energy_data_1990___2020[[#This Row],[CO2 emissions from fuel combustion (MtCO2)]]&gt;Energy_data_1990___2020[[#Totals],[CO2 emissions from fuel combustion (MtCO2)]],"Above Average","")</f>
        <v/>
      </c>
      <c r="W4" s="1">
        <f>SUM(Energy_data_1990___2020[[#This Row],[Coal and lignite production (Mt)]]-Energy_data_1990___2020[[#This Row],[Coal and lignite domestic consumption (Mt)]])</f>
        <v>-1.056</v>
      </c>
    </row>
    <row r="5" spans="1:23">
      <c r="A5" t="s">
        <v>23</v>
      </c>
      <c r="B5">
        <v>1993</v>
      </c>
      <c r="C5" t="s">
        <v>24</v>
      </c>
      <c r="D5">
        <v>59.198702179999998</v>
      </c>
      <c r="E5">
        <v>2.455334616</v>
      </c>
      <c r="F5">
        <v>0.25973031000000002</v>
      </c>
      <c r="G5">
        <v>104.9287453</v>
      </c>
      <c r="H5">
        <v>24.110238089999999</v>
      </c>
      <c r="I5">
        <v>1.70919479</v>
      </c>
      <c r="J5">
        <v>8.2910290470000003</v>
      </c>
      <c r="K5">
        <v>8.39</v>
      </c>
      <c r="L5">
        <v>25.463000000000001</v>
      </c>
      <c r="M5">
        <v>52.385990540000002</v>
      </c>
      <c r="N5">
        <v>16.596983689999998</v>
      </c>
      <c r="O5">
        <v>0.10578204200000001</v>
      </c>
      <c r="P5">
        <v>20.652999999999999</v>
      </c>
      <c r="Q5">
        <v>15.144</v>
      </c>
      <c r="R5">
        <v>1.0149999999999999</v>
      </c>
      <c r="S5">
        <v>0</v>
      </c>
      <c r="T5">
        <v>56.994999999999997</v>
      </c>
      <c r="U5">
        <v>0</v>
      </c>
      <c r="V5" s="1" t="str">
        <f>IF(Energy_data_1990___2020[[#This Row],[CO2 emissions from fuel combustion (MtCO2)]]&gt;Energy_data_1990___2020[[#Totals],[CO2 emissions from fuel combustion (MtCO2)]],"Above Average","")</f>
        <v/>
      </c>
      <c r="W5" s="1">
        <f>SUM(Energy_data_1990___2020[[#This Row],[Coal and lignite production (Mt)]]-Energy_data_1990___2020[[#This Row],[Coal and lignite domestic consumption (Mt)]])</f>
        <v>-1.0149999999999999</v>
      </c>
    </row>
    <row r="6" spans="1:23">
      <c r="A6" t="s">
        <v>23</v>
      </c>
      <c r="B6">
        <v>1994</v>
      </c>
      <c r="C6" t="s">
        <v>24</v>
      </c>
      <c r="D6">
        <v>56.347927470000002</v>
      </c>
      <c r="E6">
        <v>2.4246485720000002</v>
      </c>
      <c r="F6">
        <v>0.249467931</v>
      </c>
      <c r="G6">
        <v>100.6125961</v>
      </c>
      <c r="H6">
        <v>23.239626609999998</v>
      </c>
      <c r="I6">
        <v>0.783869292</v>
      </c>
      <c r="J6">
        <v>9.1706054590000008</v>
      </c>
      <c r="K6">
        <v>7.5620000000000003</v>
      </c>
      <c r="L6">
        <v>23.971</v>
      </c>
      <c r="M6">
        <v>48.206019949999998</v>
      </c>
      <c r="N6">
        <v>16.117004470000001</v>
      </c>
      <c r="O6">
        <v>0.102888284</v>
      </c>
      <c r="P6">
        <v>21.177</v>
      </c>
      <c r="Q6">
        <v>15.545</v>
      </c>
      <c r="R6">
        <v>0.94299999999999995</v>
      </c>
      <c r="S6">
        <v>0</v>
      </c>
      <c r="T6">
        <v>56.311999999999998</v>
      </c>
      <c r="U6">
        <v>0</v>
      </c>
      <c r="V6" s="1" t="str">
        <f>IF(Energy_data_1990___2020[[#This Row],[CO2 emissions from fuel combustion (MtCO2)]]&gt;Energy_data_1990___2020[[#Totals],[CO2 emissions from fuel combustion (MtCO2)]],"Above Average","")</f>
        <v/>
      </c>
      <c r="W6" s="1">
        <f>SUM(Energy_data_1990___2020[[#This Row],[Coal and lignite production (Mt)]]-Energy_data_1990___2020[[#This Row],[Coal and lignite domestic consumption (Mt)]])</f>
        <v>-0.94299999999999995</v>
      </c>
    </row>
    <row r="7" spans="1:23">
      <c r="A7" t="s">
        <v>23</v>
      </c>
      <c r="B7">
        <v>1995</v>
      </c>
      <c r="C7" t="s">
        <v>24</v>
      </c>
      <c r="D7">
        <v>56.828812370000001</v>
      </c>
      <c r="E7">
        <v>2.343683972</v>
      </c>
      <c r="F7">
        <v>0.24238627600000001</v>
      </c>
      <c r="G7">
        <v>106.72166989999999</v>
      </c>
      <c r="H7">
        <v>24.247643050000001</v>
      </c>
      <c r="I7">
        <v>0.92150496599999998</v>
      </c>
      <c r="J7">
        <v>9.5431575380000009</v>
      </c>
      <c r="K7">
        <v>7.4459999999999997</v>
      </c>
      <c r="L7">
        <v>24.632000000000001</v>
      </c>
      <c r="M7">
        <v>54.85105523</v>
      </c>
      <c r="N7">
        <v>16.786992479999999</v>
      </c>
      <c r="O7">
        <v>0.103421058</v>
      </c>
      <c r="P7">
        <v>20.943999999999999</v>
      </c>
      <c r="Q7">
        <v>16.102</v>
      </c>
      <c r="R7">
        <v>0.90100000000000002</v>
      </c>
      <c r="S7">
        <v>0</v>
      </c>
      <c r="T7">
        <v>56.753</v>
      </c>
      <c r="U7">
        <v>0</v>
      </c>
      <c r="V7" s="1" t="str">
        <f>IF(Energy_data_1990___2020[[#This Row],[CO2 emissions from fuel combustion (MtCO2)]]&gt;Energy_data_1990___2020[[#Totals],[CO2 emissions from fuel combustion (MtCO2)]],"Above Average","")</f>
        <v/>
      </c>
      <c r="W7" s="1">
        <f>SUM(Energy_data_1990___2020[[#This Row],[Coal and lignite production (Mt)]]-Energy_data_1990___2020[[#This Row],[Coal and lignite domestic consumption (Mt)]])</f>
        <v>-0.90100000000000002</v>
      </c>
    </row>
    <row r="8" spans="1:23">
      <c r="A8" t="s">
        <v>23</v>
      </c>
      <c r="B8">
        <v>1996</v>
      </c>
      <c r="C8" t="s">
        <v>24</v>
      </c>
      <c r="D8">
        <v>56.16572068</v>
      </c>
      <c r="E8">
        <v>2.392259616</v>
      </c>
      <c r="F8">
        <v>0.23012301700000001</v>
      </c>
      <c r="G8">
        <v>112.65929819999999</v>
      </c>
      <c r="H8">
        <v>23.478104259999999</v>
      </c>
      <c r="I8">
        <v>0.61624138399999995</v>
      </c>
      <c r="J8">
        <v>10.084258119999999</v>
      </c>
      <c r="K8">
        <v>7.2240000000000002</v>
      </c>
      <c r="L8">
        <v>24.007000000000001</v>
      </c>
      <c r="M8">
        <v>58.187033990000003</v>
      </c>
      <c r="N8">
        <v>16.72101687</v>
      </c>
      <c r="O8">
        <v>9.6194834000000007E-2</v>
      </c>
      <c r="P8">
        <v>21.907</v>
      </c>
      <c r="Q8">
        <v>16.696999999999999</v>
      </c>
      <c r="R8">
        <v>0.65900000000000003</v>
      </c>
      <c r="S8">
        <v>0</v>
      </c>
      <c r="T8">
        <v>59.683999999999997</v>
      </c>
      <c r="U8">
        <v>0</v>
      </c>
      <c r="V8" s="1" t="str">
        <f>IF(Energy_data_1990___2020[[#This Row],[CO2 emissions from fuel combustion (MtCO2)]]&gt;Energy_data_1990___2020[[#Totals],[CO2 emissions from fuel combustion (MtCO2)]],"Above Average","")</f>
        <v/>
      </c>
      <c r="W8" s="1">
        <f>SUM(Energy_data_1990___2020[[#This Row],[Coal and lignite production (Mt)]]-Energy_data_1990___2020[[#This Row],[Coal and lignite domestic consumption (Mt)]])</f>
        <v>-0.65900000000000003</v>
      </c>
    </row>
    <row r="9" spans="1:23">
      <c r="A9" t="s">
        <v>23</v>
      </c>
      <c r="B9">
        <v>1997</v>
      </c>
      <c r="C9" t="s">
        <v>24</v>
      </c>
      <c r="D9">
        <v>58.07467449</v>
      </c>
      <c r="E9">
        <v>2.4138632179999999</v>
      </c>
      <c r="F9">
        <v>0.2353555</v>
      </c>
      <c r="G9">
        <v>121.6419902</v>
      </c>
      <c r="H9">
        <v>24.058809159999999</v>
      </c>
      <c r="I9">
        <v>0.32701111799999999</v>
      </c>
      <c r="J9">
        <v>10.226816790000001</v>
      </c>
      <c r="K9">
        <v>7.2389999999999999</v>
      </c>
      <c r="L9">
        <v>26.373999999999999</v>
      </c>
      <c r="M9">
        <v>67.076077339999998</v>
      </c>
      <c r="N9">
        <v>17.835994800000002</v>
      </c>
      <c r="O9">
        <v>9.7501589E-2</v>
      </c>
      <c r="P9">
        <v>22.934999999999999</v>
      </c>
      <c r="Q9">
        <v>17.123000000000001</v>
      </c>
      <c r="R9">
        <v>0.54100000000000004</v>
      </c>
      <c r="S9">
        <v>0</v>
      </c>
      <c r="T9">
        <v>60.9</v>
      </c>
      <c r="U9">
        <v>0</v>
      </c>
      <c r="V9" s="1" t="str">
        <f>IF(Energy_data_1990___2020[[#This Row],[CO2 emissions from fuel combustion (MtCO2)]]&gt;Energy_data_1990___2020[[#Totals],[CO2 emissions from fuel combustion (MtCO2)]],"Above Average","")</f>
        <v/>
      </c>
      <c r="W9" s="1">
        <f>SUM(Energy_data_1990___2020[[#This Row],[Coal and lignite production (Mt)]]-Energy_data_1990___2020[[#This Row],[Coal and lignite domestic consumption (Mt)]])</f>
        <v>-0.54100000000000004</v>
      </c>
    </row>
    <row r="10" spans="1:23">
      <c r="A10" t="s">
        <v>23</v>
      </c>
      <c r="B10">
        <v>1998</v>
      </c>
      <c r="C10" t="s">
        <v>24</v>
      </c>
      <c r="D10">
        <v>59.494429369999999</v>
      </c>
      <c r="E10">
        <v>2.3894406020000001</v>
      </c>
      <c r="F10">
        <v>0.229409364</v>
      </c>
      <c r="G10">
        <v>127.0935171</v>
      </c>
      <c r="H10">
        <v>24.898894460000001</v>
      </c>
      <c r="I10">
        <v>0.85114805999999998</v>
      </c>
      <c r="J10">
        <v>10.561598249999999</v>
      </c>
      <c r="K10">
        <v>7.3049999999999997</v>
      </c>
      <c r="L10">
        <v>26.106999999999999</v>
      </c>
      <c r="M10">
        <v>71.71104545</v>
      </c>
      <c r="N10">
        <v>18.350022750000001</v>
      </c>
      <c r="O10">
        <v>9.6009653E-2</v>
      </c>
      <c r="P10">
        <v>25.26</v>
      </c>
      <c r="Q10">
        <v>18.673999999999999</v>
      </c>
      <c r="R10">
        <v>0.83699999999999997</v>
      </c>
      <c r="S10">
        <v>0</v>
      </c>
      <c r="T10">
        <v>62.228000000000002</v>
      </c>
      <c r="U10">
        <v>0</v>
      </c>
      <c r="V10" s="1" t="str">
        <f>IF(Energy_data_1990___2020[[#This Row],[CO2 emissions from fuel combustion (MtCO2)]]&gt;Energy_data_1990___2020[[#Totals],[CO2 emissions from fuel combustion (MtCO2)]],"Above Average","")</f>
        <v/>
      </c>
      <c r="W10" s="1">
        <f>SUM(Energy_data_1990___2020[[#This Row],[Coal and lignite production (Mt)]]-Energy_data_1990___2020[[#This Row],[Coal and lignite domestic consumption (Mt)]])</f>
        <v>-0.83699999999999997</v>
      </c>
    </row>
    <row r="11" spans="1:23">
      <c r="A11" t="s">
        <v>23</v>
      </c>
      <c r="B11">
        <v>1999</v>
      </c>
      <c r="C11" t="s">
        <v>24</v>
      </c>
      <c r="D11">
        <v>63.247064659999999</v>
      </c>
      <c r="E11">
        <v>2.3795649249999999</v>
      </c>
      <c r="F11">
        <v>0.23631729500000001</v>
      </c>
      <c r="G11">
        <v>136.98255270000001</v>
      </c>
      <c r="H11">
        <v>26.57925573</v>
      </c>
      <c r="I11">
        <v>0.75816993499999996</v>
      </c>
      <c r="J11">
        <v>10.379344440000001</v>
      </c>
      <c r="K11">
        <v>7.8680000000000003</v>
      </c>
      <c r="L11">
        <v>28.431000000000001</v>
      </c>
      <c r="M11">
        <v>80.548086810000001</v>
      </c>
      <c r="N11">
        <v>19.539015249999999</v>
      </c>
      <c r="O11">
        <v>9.9311135999999994E-2</v>
      </c>
      <c r="P11">
        <v>26.774999999999999</v>
      </c>
      <c r="Q11">
        <v>19.991</v>
      </c>
      <c r="R11">
        <v>0.84899999999999998</v>
      </c>
      <c r="S11">
        <v>0</v>
      </c>
      <c r="T11">
        <v>64.412000000000006</v>
      </c>
      <c r="U11">
        <v>0</v>
      </c>
      <c r="V11" s="1" t="str">
        <f>IF(Energy_data_1990___2020[[#This Row],[CO2 emissions from fuel combustion (MtCO2)]]&gt;Energy_data_1990___2020[[#Totals],[CO2 emissions from fuel combustion (MtCO2)]],"Above Average","")</f>
        <v/>
      </c>
      <c r="W11" s="1">
        <f>SUM(Energy_data_1990___2020[[#This Row],[Coal and lignite production (Mt)]]-Energy_data_1990___2020[[#This Row],[Coal and lignite domestic consumption (Mt)]])</f>
        <v>-0.84899999999999998</v>
      </c>
    </row>
    <row r="12" spans="1:23">
      <c r="A12" t="s">
        <v>23</v>
      </c>
      <c r="B12">
        <v>2000</v>
      </c>
      <c r="C12" t="s">
        <v>24</v>
      </c>
      <c r="D12">
        <v>64.229802019999994</v>
      </c>
      <c r="E12">
        <v>2.378976609</v>
      </c>
      <c r="F12">
        <v>0.23120347799999999</v>
      </c>
      <c r="G12">
        <v>142.22825570000001</v>
      </c>
      <c r="H12">
        <v>26.998921209999999</v>
      </c>
      <c r="I12">
        <v>0.19575146800000001</v>
      </c>
      <c r="J12">
        <v>10.651918650000001</v>
      </c>
      <c r="K12">
        <v>8.2579999999999991</v>
      </c>
      <c r="L12">
        <v>29.27</v>
      </c>
      <c r="M12">
        <v>82.131945569999999</v>
      </c>
      <c r="N12">
        <v>19.592005919999998</v>
      </c>
      <c r="O12">
        <v>9.7186107999999993E-2</v>
      </c>
      <c r="P12">
        <v>27.585999999999999</v>
      </c>
      <c r="Q12">
        <v>21.210999999999999</v>
      </c>
      <c r="R12">
        <v>0.77300000000000002</v>
      </c>
      <c r="S12">
        <v>0</v>
      </c>
      <c r="T12">
        <v>68.001999999999995</v>
      </c>
      <c r="U12">
        <v>0</v>
      </c>
      <c r="V12" s="1" t="str">
        <f>IF(Energy_data_1990___2020[[#This Row],[CO2 emissions from fuel combustion (MtCO2)]]&gt;Energy_data_1990___2020[[#Totals],[CO2 emissions from fuel combustion (MtCO2)]],"Above Average","")</f>
        <v/>
      </c>
      <c r="W12" s="1">
        <f>SUM(Energy_data_1990___2020[[#This Row],[Coal and lignite production (Mt)]]-Energy_data_1990___2020[[#This Row],[Coal and lignite domestic consumption (Mt)]])</f>
        <v>-0.77300000000000002</v>
      </c>
    </row>
    <row r="13" spans="1:23">
      <c r="A13" t="s">
        <v>23</v>
      </c>
      <c r="B13">
        <v>2001</v>
      </c>
      <c r="C13" t="s">
        <v>24</v>
      </c>
      <c r="D13">
        <v>65.741656640000002</v>
      </c>
      <c r="E13">
        <v>2.4300361580000001</v>
      </c>
      <c r="F13">
        <v>0.22975300400000001</v>
      </c>
      <c r="G13">
        <v>136.7830084</v>
      </c>
      <c r="H13">
        <v>27.05377713</v>
      </c>
      <c r="I13">
        <v>0.23955837899999999</v>
      </c>
      <c r="J13">
        <v>11.093435729999999</v>
      </c>
      <c r="K13">
        <v>8.3940000000000001</v>
      </c>
      <c r="L13">
        <v>30.271999999999998</v>
      </c>
      <c r="M13">
        <v>77.266941660000001</v>
      </c>
      <c r="N13">
        <v>20.14401982</v>
      </c>
      <c r="O13">
        <v>9.4547153999999994E-2</v>
      </c>
      <c r="P13">
        <v>28.803000000000001</v>
      </c>
      <c r="Q13">
        <v>22.302</v>
      </c>
      <c r="R13">
        <v>0.79400000000000004</v>
      </c>
      <c r="S13">
        <v>0</v>
      </c>
      <c r="T13">
        <v>66.739000000000004</v>
      </c>
      <c r="U13">
        <v>0</v>
      </c>
      <c r="V13" s="1" t="str">
        <f>IF(Energy_data_1990___2020[[#This Row],[CO2 emissions from fuel combustion (MtCO2)]]&gt;Energy_data_1990___2020[[#Totals],[CO2 emissions from fuel combustion (MtCO2)]],"Above Average","")</f>
        <v/>
      </c>
      <c r="W13" s="1">
        <f>SUM(Energy_data_1990___2020[[#This Row],[Coal and lignite production (Mt)]]-Energy_data_1990___2020[[#This Row],[Coal and lignite domestic consumption (Mt)]])</f>
        <v>-0.79400000000000004</v>
      </c>
    </row>
    <row r="14" spans="1:23">
      <c r="A14" t="s">
        <v>23</v>
      </c>
      <c r="B14">
        <v>2002</v>
      </c>
      <c r="C14" t="s">
        <v>24</v>
      </c>
      <c r="D14">
        <v>71.67679253</v>
      </c>
      <c r="E14">
        <v>2.4768770010000001</v>
      </c>
      <c r="F14">
        <v>0.23721120500000001</v>
      </c>
      <c r="G14">
        <v>143.14386089999999</v>
      </c>
      <c r="H14">
        <v>28.938373800000001</v>
      </c>
      <c r="I14">
        <v>0.19171908100000001</v>
      </c>
      <c r="J14">
        <v>10.69533146</v>
      </c>
      <c r="K14">
        <v>9.2550000000000008</v>
      </c>
      <c r="L14">
        <v>29.832000000000001</v>
      </c>
      <c r="M14">
        <v>79.515028360000002</v>
      </c>
      <c r="N14">
        <v>20.88500608</v>
      </c>
      <c r="O14">
        <v>9.5770279999999999E-2</v>
      </c>
      <c r="P14">
        <v>29.731000000000002</v>
      </c>
      <c r="Q14">
        <v>23.28</v>
      </c>
      <c r="R14">
        <v>1.181</v>
      </c>
      <c r="S14">
        <v>0</v>
      </c>
      <c r="T14">
        <v>71.028999999999996</v>
      </c>
      <c r="U14">
        <v>0</v>
      </c>
      <c r="V14" s="1" t="str">
        <f>IF(Energy_data_1990___2020[[#This Row],[CO2 emissions from fuel combustion (MtCO2)]]&gt;Energy_data_1990___2020[[#Totals],[CO2 emissions from fuel combustion (MtCO2)]],"Above Average","")</f>
        <v/>
      </c>
      <c r="W14" s="1">
        <f>SUM(Energy_data_1990___2020[[#This Row],[Coal and lignite production (Mt)]]-Energy_data_1990___2020[[#This Row],[Coal and lignite domestic consumption (Mt)]])</f>
        <v>-1.181</v>
      </c>
    </row>
    <row r="15" spans="1:23">
      <c r="A15" t="s">
        <v>23</v>
      </c>
      <c r="B15">
        <v>2003</v>
      </c>
      <c r="C15" t="s">
        <v>24</v>
      </c>
      <c r="D15">
        <v>74.895377670000002</v>
      </c>
      <c r="E15">
        <v>2.4352627569999998</v>
      </c>
      <c r="F15">
        <v>0.23121545800000001</v>
      </c>
      <c r="G15">
        <v>155.3180083</v>
      </c>
      <c r="H15">
        <v>30.75453663</v>
      </c>
      <c r="I15">
        <v>0.83370037100000005</v>
      </c>
      <c r="J15">
        <v>11.18290633</v>
      </c>
      <c r="K15">
        <v>9.5500000000000007</v>
      </c>
      <c r="L15">
        <v>30.198</v>
      </c>
      <c r="M15">
        <v>84.000980670000004</v>
      </c>
      <c r="N15">
        <v>22.96699658</v>
      </c>
      <c r="O15">
        <v>9.4944767999999999E-2</v>
      </c>
      <c r="P15">
        <v>31.786000000000001</v>
      </c>
      <c r="Q15">
        <v>25.373000000000001</v>
      </c>
      <c r="R15">
        <v>1.0940000000000001</v>
      </c>
      <c r="S15">
        <v>0</v>
      </c>
      <c r="T15">
        <v>79.176000000000002</v>
      </c>
      <c r="U15">
        <v>0</v>
      </c>
      <c r="V15" s="1" t="str">
        <f>IF(Energy_data_1990___2020[[#This Row],[CO2 emissions from fuel combustion (MtCO2)]]&gt;Energy_data_1990___2020[[#Totals],[CO2 emissions from fuel combustion (MtCO2)]],"Above Average","")</f>
        <v/>
      </c>
      <c r="W15" s="1">
        <f>SUM(Energy_data_1990___2020[[#This Row],[Coal and lignite production (Mt)]]-Energy_data_1990___2020[[#This Row],[Coal and lignite domestic consumption (Mt)]])</f>
        <v>-1.0940000000000001</v>
      </c>
    </row>
    <row r="16" spans="1:23">
      <c r="A16" t="s">
        <v>23</v>
      </c>
      <c r="B16">
        <v>2004</v>
      </c>
      <c r="C16" t="s">
        <v>24</v>
      </c>
      <c r="D16">
        <v>75.982041699999996</v>
      </c>
      <c r="E16">
        <v>2.4402871830000001</v>
      </c>
      <c r="F16">
        <v>0.224899506</v>
      </c>
      <c r="G16">
        <v>157.89298869999999</v>
      </c>
      <c r="H16">
        <v>31.136516319999998</v>
      </c>
      <c r="I16">
        <v>0.74976849800000001</v>
      </c>
      <c r="J16">
        <v>10.888296609999999</v>
      </c>
      <c r="K16">
        <v>10.16</v>
      </c>
      <c r="L16">
        <v>27.154</v>
      </c>
      <c r="M16">
        <v>82.808997849999997</v>
      </c>
      <c r="N16">
        <v>22.559983419999998</v>
      </c>
      <c r="O16">
        <v>9.2161082000000005E-2</v>
      </c>
      <c r="P16">
        <v>33.476999999999997</v>
      </c>
      <c r="Q16">
        <v>26.288</v>
      </c>
      <c r="R16">
        <v>1.3029999999999999</v>
      </c>
      <c r="S16">
        <v>0</v>
      </c>
      <c r="T16">
        <v>82.721000000000004</v>
      </c>
      <c r="U16">
        <v>0</v>
      </c>
      <c r="V16" s="1" t="str">
        <f>IF(Energy_data_1990___2020[[#This Row],[CO2 emissions from fuel combustion (MtCO2)]]&gt;Energy_data_1990___2020[[#Totals],[CO2 emissions from fuel combustion (MtCO2)]],"Above Average","")</f>
        <v/>
      </c>
      <c r="W16" s="1">
        <f>SUM(Energy_data_1990___2020[[#This Row],[Coal and lignite production (Mt)]]-Energy_data_1990___2020[[#This Row],[Coal and lignite domestic consumption (Mt)]])</f>
        <v>-1.3029999999999999</v>
      </c>
    </row>
    <row r="17" spans="1:23">
      <c r="A17" t="s">
        <v>23</v>
      </c>
      <c r="B17">
        <v>2005</v>
      </c>
      <c r="C17" t="s">
        <v>24</v>
      </c>
      <c r="D17">
        <v>80.336164620000005</v>
      </c>
      <c r="E17">
        <v>2.4776637529999999</v>
      </c>
      <c r="F17">
        <v>0.224539461</v>
      </c>
      <c r="G17">
        <v>166.66855989999999</v>
      </c>
      <c r="H17">
        <v>32.424159459999998</v>
      </c>
      <c r="I17">
        <v>1.5281678510000001</v>
      </c>
      <c r="J17">
        <v>11.601793750000001</v>
      </c>
      <c r="K17">
        <v>10.224</v>
      </c>
      <c r="L17">
        <v>26.751999999999999</v>
      </c>
      <c r="M17">
        <v>88.902057130000003</v>
      </c>
      <c r="N17">
        <v>24.148993440000002</v>
      </c>
      <c r="O17">
        <v>9.0625477999999995E-2</v>
      </c>
      <c r="P17">
        <v>36.317999999999998</v>
      </c>
      <c r="Q17">
        <v>29.524000000000001</v>
      </c>
      <c r="R17">
        <v>1.147</v>
      </c>
      <c r="S17">
        <v>0</v>
      </c>
      <c r="T17">
        <v>86.13</v>
      </c>
      <c r="U17">
        <v>0</v>
      </c>
      <c r="V17" s="1" t="str">
        <f>IF(Energy_data_1990___2020[[#This Row],[CO2 emissions from fuel combustion (MtCO2)]]&gt;Energy_data_1990___2020[[#Totals],[CO2 emissions from fuel combustion (MtCO2)]],"Above Average","")</f>
        <v/>
      </c>
      <c r="W17" s="1">
        <f>SUM(Energy_data_1990___2020[[#This Row],[Coal and lignite production (Mt)]]-Energy_data_1990___2020[[#This Row],[Coal and lignite domestic consumption (Mt)]])</f>
        <v>-1.147</v>
      </c>
    </row>
    <row r="18" spans="1:23">
      <c r="A18" t="s">
        <v>23</v>
      </c>
      <c r="B18">
        <v>2006</v>
      </c>
      <c r="C18" t="s">
        <v>24</v>
      </c>
      <c r="D18">
        <v>83.440759240000006</v>
      </c>
      <c r="E18">
        <v>2.4032233660000002</v>
      </c>
      <c r="F18">
        <v>0.22931838600000001</v>
      </c>
      <c r="G18">
        <v>164.9431294</v>
      </c>
      <c r="H18">
        <v>34.720351180000002</v>
      </c>
      <c r="I18">
        <v>0.57720821899999997</v>
      </c>
      <c r="J18">
        <v>11.32287011</v>
      </c>
      <c r="K18">
        <v>10.504</v>
      </c>
      <c r="L18">
        <v>26.870999999999999</v>
      </c>
      <c r="M18">
        <v>87.444010000000006</v>
      </c>
      <c r="N18">
        <v>25.327013040000001</v>
      </c>
      <c r="O18">
        <v>9.542117E-2</v>
      </c>
      <c r="P18">
        <v>37.768000000000001</v>
      </c>
      <c r="Q18">
        <v>29.466999999999999</v>
      </c>
      <c r="R18">
        <v>1.0649999999999999</v>
      </c>
      <c r="S18">
        <v>0</v>
      </c>
      <c r="T18">
        <v>85.775999999999996</v>
      </c>
      <c r="U18">
        <v>0</v>
      </c>
      <c r="V18" s="1" t="str">
        <f>IF(Energy_data_1990___2020[[#This Row],[CO2 emissions from fuel combustion (MtCO2)]]&gt;Energy_data_1990___2020[[#Totals],[CO2 emissions from fuel combustion (MtCO2)]],"Above Average","")</f>
        <v/>
      </c>
      <c r="W18" s="1">
        <f>SUM(Energy_data_1990___2020[[#This Row],[Coal and lignite production (Mt)]]-Energy_data_1990___2020[[#This Row],[Coal and lignite domestic consumption (Mt)]])</f>
        <v>-1.0649999999999999</v>
      </c>
    </row>
    <row r="19" spans="1:23">
      <c r="A19" t="s">
        <v>23</v>
      </c>
      <c r="B19">
        <v>2007</v>
      </c>
      <c r="C19" t="s">
        <v>24</v>
      </c>
      <c r="D19">
        <v>87.443787689999994</v>
      </c>
      <c r="E19">
        <v>2.3733582879999999</v>
      </c>
      <c r="F19">
        <v>0.23241762099999999</v>
      </c>
      <c r="G19">
        <v>164.29841680000001</v>
      </c>
      <c r="H19">
        <v>36.843905169999999</v>
      </c>
      <c r="I19">
        <v>0.56580627400000005</v>
      </c>
      <c r="J19">
        <v>10.810355510000001</v>
      </c>
      <c r="K19">
        <v>11.656000000000001</v>
      </c>
      <c r="L19">
        <v>28.326000000000001</v>
      </c>
      <c r="M19">
        <v>86.540983190000006</v>
      </c>
      <c r="N19">
        <v>26.279024509999999</v>
      </c>
      <c r="O19">
        <v>9.7927742999999998E-2</v>
      </c>
      <c r="P19">
        <v>39.942999999999998</v>
      </c>
      <c r="Q19">
        <v>31.286000000000001</v>
      </c>
      <c r="R19">
        <v>1.196</v>
      </c>
      <c r="S19">
        <v>0</v>
      </c>
      <c r="T19">
        <v>85.896000000000001</v>
      </c>
      <c r="U19">
        <v>0</v>
      </c>
      <c r="V19" s="1" t="str">
        <f>IF(Energy_data_1990___2020[[#This Row],[CO2 emissions from fuel combustion (MtCO2)]]&gt;Energy_data_1990___2020[[#Totals],[CO2 emissions from fuel combustion (MtCO2)]],"Above Average","")</f>
        <v/>
      </c>
      <c r="W19" s="1">
        <f>SUM(Energy_data_1990___2020[[#This Row],[Coal and lignite production (Mt)]]-Energy_data_1990___2020[[#This Row],[Coal and lignite domestic consumption (Mt)]])</f>
        <v>-1.196</v>
      </c>
    </row>
    <row r="20" spans="1:23">
      <c r="A20" t="s">
        <v>23</v>
      </c>
      <c r="B20">
        <v>2008</v>
      </c>
      <c r="C20" t="s">
        <v>24</v>
      </c>
      <c r="D20">
        <v>91.999053559999993</v>
      </c>
      <c r="E20">
        <v>2.467859931</v>
      </c>
      <c r="F20">
        <v>0.23879404600000001</v>
      </c>
      <c r="G20">
        <v>162.0471872</v>
      </c>
      <c r="H20">
        <v>37.27887973</v>
      </c>
      <c r="I20">
        <v>0.664381632</v>
      </c>
      <c r="J20">
        <v>11.027939249999999</v>
      </c>
      <c r="K20">
        <v>12.968999999999999</v>
      </c>
      <c r="L20">
        <v>30.939</v>
      </c>
      <c r="M20">
        <v>86.760916159999994</v>
      </c>
      <c r="N20">
        <v>26.3339888</v>
      </c>
      <c r="O20">
        <v>9.6761587999999996E-2</v>
      </c>
      <c r="P20">
        <v>42.595999999999997</v>
      </c>
      <c r="Q20">
        <v>32.901000000000003</v>
      </c>
      <c r="R20">
        <v>1.1950000000000001</v>
      </c>
      <c r="S20">
        <v>0</v>
      </c>
      <c r="T20">
        <v>83.545000000000002</v>
      </c>
      <c r="U20">
        <v>0</v>
      </c>
      <c r="V20" s="1" t="str">
        <f>IF(Energy_data_1990___2020[[#This Row],[CO2 emissions from fuel combustion (MtCO2)]]&gt;Energy_data_1990___2020[[#Totals],[CO2 emissions from fuel combustion (MtCO2)]],"Above Average","")</f>
        <v/>
      </c>
      <c r="W20" s="1">
        <f>SUM(Energy_data_1990___2020[[#This Row],[Coal and lignite production (Mt)]]-Energy_data_1990___2020[[#This Row],[Coal and lignite domestic consumption (Mt)]])</f>
        <v>-1.1950000000000001</v>
      </c>
    </row>
    <row r="21" spans="1:23">
      <c r="A21" t="s">
        <v>23</v>
      </c>
      <c r="B21">
        <v>2009</v>
      </c>
      <c r="C21" t="s">
        <v>24</v>
      </c>
      <c r="D21">
        <v>97.159170430000003</v>
      </c>
      <c r="E21">
        <v>2.3831237409999999</v>
      </c>
      <c r="F21">
        <v>0.248216258</v>
      </c>
      <c r="G21">
        <v>153.05576600000001</v>
      </c>
      <c r="H21">
        <v>40.769670810000001</v>
      </c>
      <c r="I21">
        <v>0.75306393699999996</v>
      </c>
      <c r="J21">
        <v>9.5699907910000004</v>
      </c>
      <c r="K21">
        <v>14.004</v>
      </c>
      <c r="L21">
        <v>30.873000000000001</v>
      </c>
      <c r="M21">
        <v>83.370975939999994</v>
      </c>
      <c r="N21">
        <v>27.579981499999999</v>
      </c>
      <c r="O21">
        <v>0.104155841</v>
      </c>
      <c r="P21">
        <v>40.634</v>
      </c>
      <c r="Q21">
        <v>30.526</v>
      </c>
      <c r="R21">
        <v>0.64600000000000002</v>
      </c>
      <c r="S21">
        <v>0</v>
      </c>
      <c r="T21">
        <v>77.734999999999999</v>
      </c>
      <c r="U21">
        <v>0</v>
      </c>
      <c r="V21" s="1" t="str">
        <f>IF(Energy_data_1990___2020[[#This Row],[CO2 emissions from fuel combustion (MtCO2)]]&gt;Energy_data_1990___2020[[#Totals],[CO2 emissions from fuel combustion (MtCO2)]],"Above Average","")</f>
        <v/>
      </c>
      <c r="W21" s="1">
        <f>SUM(Energy_data_1990___2020[[#This Row],[Coal and lignite production (Mt)]]-Energy_data_1990___2020[[#This Row],[Coal and lignite domestic consumption (Mt)]])</f>
        <v>-0.64600000000000002</v>
      </c>
    </row>
    <row r="22" spans="1:23">
      <c r="A22" t="s">
        <v>23</v>
      </c>
      <c r="B22">
        <v>2010</v>
      </c>
      <c r="C22" t="s">
        <v>24</v>
      </c>
      <c r="D22">
        <v>97.588529589999993</v>
      </c>
      <c r="E22">
        <v>2.3426380440000001</v>
      </c>
      <c r="F22">
        <v>0.24064976699999999</v>
      </c>
      <c r="G22">
        <v>154.37352809999999</v>
      </c>
      <c r="H22">
        <v>41.657536399999998</v>
      </c>
      <c r="I22">
        <v>0.360703995</v>
      </c>
      <c r="J22">
        <v>11.059979999999999</v>
      </c>
      <c r="K22">
        <v>14.113</v>
      </c>
      <c r="L22">
        <v>33.994999999999997</v>
      </c>
      <c r="M22">
        <v>84.619918510000005</v>
      </c>
      <c r="N22">
        <v>27.37897916</v>
      </c>
      <c r="O22">
        <v>0.102725971</v>
      </c>
      <c r="P22">
        <v>48.238999999999997</v>
      </c>
      <c r="Q22">
        <v>36.494</v>
      </c>
      <c r="R22">
        <v>0.50900000000000001</v>
      </c>
      <c r="S22">
        <v>0</v>
      </c>
      <c r="T22">
        <v>74.427999999999997</v>
      </c>
      <c r="U22">
        <v>0</v>
      </c>
      <c r="V22" s="1" t="str">
        <f>IF(Energy_data_1990___2020[[#This Row],[CO2 emissions from fuel combustion (MtCO2)]]&gt;Energy_data_1990___2020[[#Totals],[CO2 emissions from fuel combustion (MtCO2)]],"Above Average","")</f>
        <v/>
      </c>
      <c r="W22" s="1">
        <f>SUM(Energy_data_1990___2020[[#This Row],[Coal and lignite production (Mt)]]-Energy_data_1990___2020[[#This Row],[Coal and lignite domestic consumption (Mt)]])</f>
        <v>-0.50900000000000001</v>
      </c>
    </row>
    <row r="23" spans="1:23">
      <c r="A23" t="s">
        <v>23</v>
      </c>
      <c r="B23">
        <v>2011</v>
      </c>
      <c r="C23" t="s">
        <v>24</v>
      </c>
      <c r="D23">
        <v>104.8249292</v>
      </c>
      <c r="E23">
        <v>2.4189835180000001</v>
      </c>
      <c r="F23">
        <v>0.251209393</v>
      </c>
      <c r="G23">
        <v>149.6147708</v>
      </c>
      <c r="H23">
        <v>43.334288309999998</v>
      </c>
      <c r="I23">
        <v>0.90019008</v>
      </c>
      <c r="J23">
        <v>11.19722475</v>
      </c>
      <c r="K23">
        <v>14.83</v>
      </c>
      <c r="L23">
        <v>32.817</v>
      </c>
      <c r="M23">
        <v>81.829934690000002</v>
      </c>
      <c r="N23">
        <v>29.638979320000001</v>
      </c>
      <c r="O23">
        <v>0.103849154</v>
      </c>
      <c r="P23">
        <v>55.765999999999998</v>
      </c>
      <c r="Q23">
        <v>41.095999999999997</v>
      </c>
      <c r="R23">
        <v>0.439</v>
      </c>
      <c r="S23">
        <v>0</v>
      </c>
      <c r="T23">
        <v>72.284000000000006</v>
      </c>
      <c r="U23">
        <v>0</v>
      </c>
      <c r="V23" s="1" t="str">
        <f>IF(Energy_data_1990___2020[[#This Row],[CO2 emissions from fuel combustion (MtCO2)]]&gt;Energy_data_1990___2020[[#Totals],[CO2 emissions from fuel combustion (MtCO2)]],"Above Average","")</f>
        <v/>
      </c>
      <c r="W23" s="1">
        <f>SUM(Energy_data_1990___2020[[#This Row],[Coal and lignite production (Mt)]]-Energy_data_1990___2020[[#This Row],[Coal and lignite domestic consumption (Mt)]])</f>
        <v>-0.439</v>
      </c>
    </row>
    <row r="24" spans="1:23">
      <c r="A24" t="s">
        <v>23</v>
      </c>
      <c r="B24">
        <v>2012</v>
      </c>
      <c r="C24" t="s">
        <v>24</v>
      </c>
      <c r="D24">
        <v>115.479404</v>
      </c>
      <c r="E24">
        <v>2.4367767680000001</v>
      </c>
      <c r="F24">
        <v>0.26764263100000002</v>
      </c>
      <c r="G24">
        <v>147.30699799999999</v>
      </c>
      <c r="H24">
        <v>47.390226920000003</v>
      </c>
      <c r="I24">
        <v>1.0008045050000001</v>
      </c>
      <c r="J24">
        <v>11.357328109999999</v>
      </c>
      <c r="K24">
        <v>16.331</v>
      </c>
      <c r="L24">
        <v>29.966000000000001</v>
      </c>
      <c r="M24">
        <v>85.279917710000007</v>
      </c>
      <c r="N24">
        <v>33.755977479999999</v>
      </c>
      <c r="O24">
        <v>0.109834694</v>
      </c>
      <c r="P24">
        <v>62.15</v>
      </c>
      <c r="Q24">
        <v>46.189</v>
      </c>
      <c r="R24">
        <v>0.434</v>
      </c>
      <c r="S24">
        <v>0</v>
      </c>
      <c r="T24">
        <v>67.537000000000006</v>
      </c>
      <c r="U24">
        <v>0</v>
      </c>
      <c r="V24" s="1" t="str">
        <f>IF(Energy_data_1990___2020[[#This Row],[CO2 emissions from fuel combustion (MtCO2)]]&gt;Energy_data_1990___2020[[#Totals],[CO2 emissions from fuel combustion (MtCO2)]],"Above Average","")</f>
        <v/>
      </c>
      <c r="W24" s="1">
        <f>SUM(Energy_data_1990___2020[[#This Row],[Coal and lignite production (Mt)]]-Energy_data_1990___2020[[#This Row],[Coal and lignite domestic consumption (Mt)]])</f>
        <v>-0.434</v>
      </c>
    </row>
    <row r="25" spans="1:23">
      <c r="A25" t="s">
        <v>23</v>
      </c>
      <c r="B25">
        <v>2013</v>
      </c>
      <c r="C25" t="s">
        <v>24</v>
      </c>
      <c r="D25">
        <v>118.3646651</v>
      </c>
      <c r="E25">
        <v>2.411062335</v>
      </c>
      <c r="F25">
        <v>0.26685768599999998</v>
      </c>
      <c r="G25">
        <v>141.10905930000001</v>
      </c>
      <c r="H25">
        <v>49.092328879999997</v>
      </c>
      <c r="I25">
        <v>0.50955020600000001</v>
      </c>
      <c r="J25">
        <v>11.43883735</v>
      </c>
      <c r="K25">
        <v>17.234999999999999</v>
      </c>
      <c r="L25">
        <v>30.864999999999998</v>
      </c>
      <c r="M25">
        <v>81.018976269999996</v>
      </c>
      <c r="N25">
        <v>34.555033770000001</v>
      </c>
      <c r="O25">
        <v>0.11068054200000001</v>
      </c>
      <c r="P25">
        <v>64.763000000000005</v>
      </c>
      <c r="Q25">
        <v>48.665999999999997</v>
      </c>
      <c r="R25">
        <v>0.30199999999999999</v>
      </c>
      <c r="S25">
        <v>0</v>
      </c>
      <c r="T25">
        <v>65.23</v>
      </c>
      <c r="U25">
        <v>0</v>
      </c>
      <c r="V25" s="1" t="str">
        <f>IF(Energy_data_1990___2020[[#This Row],[CO2 emissions from fuel combustion (MtCO2)]]&gt;Energy_data_1990___2020[[#Totals],[CO2 emissions from fuel combustion (MtCO2)]],"Above Average","")</f>
        <v/>
      </c>
      <c r="W25" s="1">
        <f>SUM(Energy_data_1990___2020[[#This Row],[Coal and lignite production (Mt)]]-Energy_data_1990___2020[[#This Row],[Coal and lignite domestic consumption (Mt)]])</f>
        <v>-0.30199999999999999</v>
      </c>
    </row>
    <row r="26" spans="1:23">
      <c r="A26" t="s">
        <v>23</v>
      </c>
      <c r="B26">
        <v>2014</v>
      </c>
      <c r="C26" t="s">
        <v>24</v>
      </c>
      <c r="D26">
        <v>127.3686491</v>
      </c>
      <c r="E26">
        <v>2.378245003</v>
      </c>
      <c r="F26">
        <v>0.27664500400000003</v>
      </c>
      <c r="G26">
        <v>146.72214170000001</v>
      </c>
      <c r="H26">
        <v>53.555730799999999</v>
      </c>
      <c r="I26">
        <v>0.35880267300000002</v>
      </c>
      <c r="J26">
        <v>11.358823790000001</v>
      </c>
      <c r="K26">
        <v>17.934999999999999</v>
      </c>
      <c r="L26">
        <v>39.420999999999999</v>
      </c>
      <c r="M26">
        <v>82.556097559999998</v>
      </c>
      <c r="N26">
        <v>37.766993970000001</v>
      </c>
      <c r="O26">
        <v>0.116323173</v>
      </c>
      <c r="P26">
        <v>70.790999999999997</v>
      </c>
      <c r="Q26">
        <v>52.984000000000002</v>
      </c>
      <c r="R26">
        <v>0.22600000000000001</v>
      </c>
      <c r="S26">
        <v>0</v>
      </c>
      <c r="T26">
        <v>69.123000000000005</v>
      </c>
      <c r="U26">
        <v>0</v>
      </c>
      <c r="V26" s="1" t="str">
        <f>IF(Energy_data_1990___2020[[#This Row],[CO2 emissions from fuel combustion (MtCO2)]]&gt;Energy_data_1990___2020[[#Totals],[CO2 emissions from fuel combustion (MtCO2)]],"Above Average","")</f>
        <v/>
      </c>
      <c r="W26" s="1">
        <f>SUM(Energy_data_1990___2020[[#This Row],[Coal and lignite production (Mt)]]-Energy_data_1990___2020[[#This Row],[Coal and lignite domestic consumption (Mt)]])</f>
        <v>-0.22600000000000001</v>
      </c>
    </row>
    <row r="27" spans="1:23">
      <c r="A27" t="s">
        <v>23</v>
      </c>
      <c r="B27">
        <v>2015</v>
      </c>
      <c r="C27" t="s">
        <v>24</v>
      </c>
      <c r="D27">
        <v>135.4609762</v>
      </c>
      <c r="E27">
        <v>2.4174929239999998</v>
      </c>
      <c r="F27">
        <v>0.28372377799999998</v>
      </c>
      <c r="G27">
        <v>146.17138059999999</v>
      </c>
      <c r="H27">
        <v>56.03365986</v>
      </c>
      <c r="I27">
        <v>0.29449219999999998</v>
      </c>
      <c r="J27">
        <v>11.6413168</v>
      </c>
      <c r="K27">
        <v>18.178000000000001</v>
      </c>
      <c r="L27">
        <v>38.344999999999999</v>
      </c>
      <c r="M27">
        <v>83.97706565</v>
      </c>
      <c r="N27">
        <v>40.581974610000003</v>
      </c>
      <c r="O27">
        <v>0.11736281599999999</v>
      </c>
      <c r="P27">
        <v>75.384</v>
      </c>
      <c r="Q27">
        <v>57.353999999999999</v>
      </c>
      <c r="R27">
        <v>0.214</v>
      </c>
      <c r="S27">
        <v>0.10214369099999999</v>
      </c>
      <c r="T27">
        <v>67.53</v>
      </c>
      <c r="U27">
        <v>0</v>
      </c>
      <c r="V27" s="1" t="str">
        <f>IF(Energy_data_1990___2020[[#This Row],[CO2 emissions from fuel combustion (MtCO2)]]&gt;Energy_data_1990___2020[[#Totals],[CO2 emissions from fuel combustion (MtCO2)]],"Above Average","")</f>
        <v/>
      </c>
      <c r="W27" s="1">
        <f>SUM(Energy_data_1990___2020[[#This Row],[Coal and lignite production (Mt)]]-Energy_data_1990___2020[[#This Row],[Coal and lignite domestic consumption (Mt)]])</f>
        <v>-0.214</v>
      </c>
    </row>
    <row r="28" spans="1:23">
      <c r="A28" t="s">
        <v>23</v>
      </c>
      <c r="B28">
        <v>2016</v>
      </c>
      <c r="C28" t="s">
        <v>24</v>
      </c>
      <c r="D28">
        <v>133.4178101</v>
      </c>
      <c r="E28">
        <v>2.4007478359999999</v>
      </c>
      <c r="F28">
        <v>0.270779414</v>
      </c>
      <c r="G28">
        <v>156.7910292</v>
      </c>
      <c r="H28">
        <v>55.57343762</v>
      </c>
      <c r="I28">
        <v>0.42841384300000002</v>
      </c>
      <c r="J28">
        <v>12.06293404</v>
      </c>
      <c r="K28">
        <v>17.741</v>
      </c>
      <c r="L28">
        <v>38.125</v>
      </c>
      <c r="M28">
        <v>94.722065659999998</v>
      </c>
      <c r="N28">
        <v>40.72904793</v>
      </c>
      <c r="O28">
        <v>0.112789611</v>
      </c>
      <c r="P28">
        <v>77.962000000000003</v>
      </c>
      <c r="Q28">
        <v>59.834000000000003</v>
      </c>
      <c r="R28">
        <v>0</v>
      </c>
      <c r="S28">
        <v>0.148790436</v>
      </c>
      <c r="T28">
        <v>68.869</v>
      </c>
      <c r="U28">
        <v>0</v>
      </c>
      <c r="V28" s="1" t="str">
        <f>IF(Energy_data_1990___2020[[#This Row],[CO2 emissions from fuel combustion (MtCO2)]]&gt;Energy_data_1990___2020[[#Totals],[CO2 emissions from fuel combustion (MtCO2)]],"Above Average","")</f>
        <v/>
      </c>
      <c r="W28" s="1">
        <f>SUM(Energy_data_1990___2020[[#This Row],[Coal and lignite production (Mt)]]-Energy_data_1990___2020[[#This Row],[Coal and lignite domestic consumption (Mt)]])</f>
        <v>0</v>
      </c>
    </row>
    <row r="29" spans="1:23">
      <c r="A29" t="s">
        <v>23</v>
      </c>
      <c r="B29">
        <v>2017</v>
      </c>
      <c r="C29" t="s">
        <v>24</v>
      </c>
      <c r="D29">
        <v>134.71126179999999</v>
      </c>
      <c r="E29">
        <v>2.3553582450000001</v>
      </c>
      <c r="F29">
        <v>0.26989590400000002</v>
      </c>
      <c r="G29">
        <v>156.26351819999999</v>
      </c>
      <c r="H29">
        <v>57.193533979999998</v>
      </c>
      <c r="I29">
        <v>0.76056101899999995</v>
      </c>
      <c r="J29">
        <v>12.785088399999999</v>
      </c>
      <c r="K29">
        <v>17.359287999999999</v>
      </c>
      <c r="L29">
        <v>37.075057999999999</v>
      </c>
      <c r="M29">
        <v>96.218621709999994</v>
      </c>
      <c r="N29">
        <v>42.126202749999997</v>
      </c>
      <c r="O29">
        <v>0.114588048</v>
      </c>
      <c r="P29">
        <v>83.491</v>
      </c>
      <c r="Q29">
        <v>64.42</v>
      </c>
      <c r="R29">
        <v>0.32937699999999998</v>
      </c>
      <c r="S29">
        <v>0.69348792100000001</v>
      </c>
      <c r="T29">
        <v>67.212000000000003</v>
      </c>
      <c r="U29">
        <v>0</v>
      </c>
      <c r="V29" s="1" t="str">
        <f>IF(Energy_data_1990___2020[[#This Row],[CO2 emissions from fuel combustion (MtCO2)]]&gt;Energy_data_1990___2020[[#Totals],[CO2 emissions from fuel combustion (MtCO2)]],"Above Average","")</f>
        <v/>
      </c>
      <c r="W29" s="1">
        <f>SUM(Energy_data_1990___2020[[#This Row],[Coal and lignite production (Mt)]]-Energy_data_1990___2020[[#This Row],[Coal and lignite domestic consumption (Mt)]])</f>
        <v>-0.32937699999999998</v>
      </c>
    </row>
    <row r="30" spans="1:23">
      <c r="A30" t="s">
        <v>23</v>
      </c>
      <c r="B30">
        <v>2018</v>
      </c>
      <c r="C30" t="s">
        <v>24</v>
      </c>
      <c r="D30">
        <v>143.42724229999999</v>
      </c>
      <c r="E30">
        <v>2.3533438470000001</v>
      </c>
      <c r="F30">
        <v>0.28339101900000002</v>
      </c>
      <c r="G30">
        <v>155.52842240000001</v>
      </c>
      <c r="H30">
        <v>60.946147940000003</v>
      </c>
      <c r="I30">
        <v>0.92810999800000005</v>
      </c>
      <c r="J30">
        <v>11.88889311</v>
      </c>
      <c r="K30">
        <v>17.746276999999999</v>
      </c>
      <c r="L30">
        <v>38.673710999999997</v>
      </c>
      <c r="M30">
        <v>97.15407759</v>
      </c>
      <c r="N30">
        <v>45.675432430000001</v>
      </c>
      <c r="O30">
        <v>0.120420575</v>
      </c>
      <c r="P30">
        <v>84.364999999999995</v>
      </c>
      <c r="Q30">
        <v>66.248000000000005</v>
      </c>
      <c r="R30">
        <v>0.55395799999999995</v>
      </c>
      <c r="S30">
        <v>0.78937948199999997</v>
      </c>
      <c r="T30">
        <v>65.808000000000007</v>
      </c>
      <c r="U30">
        <v>0</v>
      </c>
      <c r="V30" s="1" t="str">
        <f>IF(Energy_data_1990___2020[[#This Row],[CO2 emissions from fuel combustion (MtCO2)]]&gt;Energy_data_1990___2020[[#Totals],[CO2 emissions from fuel combustion (MtCO2)]],"Above Average","")</f>
        <v/>
      </c>
      <c r="W30" s="1">
        <f>SUM(Energy_data_1990___2020[[#This Row],[Coal and lignite production (Mt)]]-Energy_data_1990___2020[[#This Row],[Coal and lignite domestic consumption (Mt)]])</f>
        <v>-0.55395799999999995</v>
      </c>
    </row>
    <row r="31" spans="1:23">
      <c r="A31" t="s">
        <v>23</v>
      </c>
      <c r="B31">
        <v>2019</v>
      </c>
      <c r="C31" t="s">
        <v>24</v>
      </c>
      <c r="D31">
        <v>148.3877607</v>
      </c>
      <c r="E31">
        <v>2.273698032</v>
      </c>
      <c r="F31">
        <v>0.290865347</v>
      </c>
      <c r="G31">
        <v>150.1538755</v>
      </c>
      <c r="H31">
        <v>65.262738769999999</v>
      </c>
      <c r="I31">
        <v>0.92756329599999998</v>
      </c>
      <c r="J31">
        <v>12.266239860000001</v>
      </c>
      <c r="K31">
        <v>18.492266390000001</v>
      </c>
      <c r="L31">
        <v>37.009513890000001</v>
      </c>
      <c r="M31">
        <v>90.058930270000005</v>
      </c>
      <c r="N31">
        <v>47.22343283</v>
      </c>
      <c r="O31">
        <v>0.12792611100000001</v>
      </c>
      <c r="P31">
        <v>89.967784159999994</v>
      </c>
      <c r="Q31">
        <v>70.608716549999997</v>
      </c>
      <c r="R31">
        <v>0.45665599600000001</v>
      </c>
      <c r="S31">
        <v>0.75911211499999998</v>
      </c>
      <c r="T31">
        <v>66.187742319999998</v>
      </c>
      <c r="U31">
        <v>0</v>
      </c>
      <c r="V31" s="1" t="str">
        <f>IF(Energy_data_1990___2020[[#This Row],[CO2 emissions from fuel combustion (MtCO2)]]&gt;Energy_data_1990___2020[[#Totals],[CO2 emissions from fuel combustion (MtCO2)]],"Above Average","")</f>
        <v/>
      </c>
      <c r="W31" s="1">
        <f>SUM(Energy_data_1990___2020[[#This Row],[Coal and lignite production (Mt)]]-Energy_data_1990___2020[[#This Row],[Coal and lignite domestic consumption (Mt)]])</f>
        <v>-0.45665599600000001</v>
      </c>
    </row>
    <row r="32" spans="1:23">
      <c r="A32" t="s">
        <v>23</v>
      </c>
      <c r="B32">
        <v>2020</v>
      </c>
      <c r="C32" t="s">
        <v>24</v>
      </c>
      <c r="D32">
        <v>135.08910109999999</v>
      </c>
      <c r="E32">
        <v>2.282281915</v>
      </c>
      <c r="F32">
        <v>0.28009361599999999</v>
      </c>
      <c r="G32">
        <v>137.58091250000001</v>
      </c>
      <c r="H32">
        <v>59.190365669999998</v>
      </c>
      <c r="I32">
        <v>0.97402448399999997</v>
      </c>
      <c r="J32">
        <v>12.575430900000001</v>
      </c>
      <c r="K32">
        <v>16.094351199999998</v>
      </c>
      <c r="L32">
        <v>34.488394290000002</v>
      </c>
      <c r="M32">
        <v>83.969154689999996</v>
      </c>
      <c r="N32">
        <v>43.91779253</v>
      </c>
      <c r="O32">
        <v>0.12272524899999999</v>
      </c>
      <c r="P32">
        <v>87.600210899999993</v>
      </c>
      <c r="Q32">
        <v>67.478643239999997</v>
      </c>
      <c r="R32">
        <v>0.42644496300000001</v>
      </c>
      <c r="S32">
        <v>0.80102056799999999</v>
      </c>
      <c r="T32">
        <v>59.745805570000002</v>
      </c>
      <c r="U32">
        <v>0</v>
      </c>
      <c r="V32" s="1" t="str">
        <f>IF(Energy_data_1990___2020[[#This Row],[CO2 emissions from fuel combustion (MtCO2)]]&gt;Energy_data_1990___2020[[#Totals],[CO2 emissions from fuel combustion (MtCO2)]],"Above Average","")</f>
        <v/>
      </c>
      <c r="W32" s="1">
        <f>SUM(Energy_data_1990___2020[[#This Row],[Coal and lignite production (Mt)]]-Energy_data_1990___2020[[#This Row],[Coal and lignite domestic consumption (Mt)]])</f>
        <v>-0.42644496300000001</v>
      </c>
    </row>
    <row r="33" spans="1:23">
      <c r="A33" t="s">
        <v>25</v>
      </c>
      <c r="B33">
        <v>1990</v>
      </c>
      <c r="C33" t="s">
        <v>26</v>
      </c>
      <c r="D33">
        <v>93.453461450000006</v>
      </c>
      <c r="E33">
        <v>2.1297610009999999</v>
      </c>
      <c r="F33">
        <v>0.24215048</v>
      </c>
      <c r="G33">
        <v>47.107338400000003</v>
      </c>
      <c r="H33">
        <v>43.879788099999999</v>
      </c>
      <c r="I33">
        <v>35.81957894</v>
      </c>
      <c r="J33">
        <v>11.628868260000001</v>
      </c>
      <c r="K33">
        <v>18.37</v>
      </c>
      <c r="L33">
        <v>23.585999999999999</v>
      </c>
      <c r="M33">
        <v>18.6280058</v>
      </c>
      <c r="N33">
        <v>20.570993519999998</v>
      </c>
      <c r="O33">
        <v>0.113698429</v>
      </c>
      <c r="P33">
        <v>51.014000000000003</v>
      </c>
      <c r="Q33">
        <v>40.463999999999999</v>
      </c>
      <c r="R33">
        <v>1.304015519</v>
      </c>
      <c r="S33">
        <v>0</v>
      </c>
      <c r="T33">
        <v>26.318999999999999</v>
      </c>
      <c r="U33">
        <v>0.27400000000000002</v>
      </c>
      <c r="V33" s="1" t="str">
        <f>IF(Energy_data_1990___2020[[#This Row],[CO2 emissions from fuel combustion (MtCO2)]]&gt;Energy_data_1990___2020[[#Totals],[CO2 emissions from fuel combustion (MtCO2)]],"Above Average","")</f>
        <v/>
      </c>
      <c r="W33" s="1">
        <f>SUM(Energy_data_1990___2020[[#This Row],[Coal and lignite production (Mt)]]-Energy_data_1990___2020[[#This Row],[Coal and lignite domestic consumption (Mt)]])</f>
        <v>-1.030015519</v>
      </c>
    </row>
    <row r="34" spans="1:23">
      <c r="A34" t="s">
        <v>25</v>
      </c>
      <c r="B34">
        <v>1991</v>
      </c>
      <c r="C34" t="s">
        <v>26</v>
      </c>
      <c r="D34">
        <v>99.11433289</v>
      </c>
      <c r="E34">
        <v>2.1695859469999998</v>
      </c>
      <c r="F34">
        <v>0.23532597699999999</v>
      </c>
      <c r="G34">
        <v>48.613222200000003</v>
      </c>
      <c r="H34">
        <v>45.683524550000001</v>
      </c>
      <c r="I34">
        <v>30.797935540000001</v>
      </c>
      <c r="J34">
        <v>11.596494399999999</v>
      </c>
      <c r="K34">
        <v>20.207000000000001</v>
      </c>
      <c r="L34">
        <v>23.699000000000002</v>
      </c>
      <c r="M34">
        <v>19.358024310000001</v>
      </c>
      <c r="N34">
        <v>21.397978680000001</v>
      </c>
      <c r="O34">
        <v>0.108465847</v>
      </c>
      <c r="P34">
        <v>53.863999999999997</v>
      </c>
      <c r="Q34">
        <v>42.286999999999999</v>
      </c>
      <c r="R34">
        <v>1.0398200660000001</v>
      </c>
      <c r="S34">
        <v>0</v>
      </c>
      <c r="T34">
        <v>27.100999999999999</v>
      </c>
      <c r="U34">
        <v>0.28899999999999998</v>
      </c>
      <c r="V34" s="1" t="str">
        <f>IF(Energy_data_1990___2020[[#This Row],[CO2 emissions from fuel combustion (MtCO2)]]&gt;Energy_data_1990___2020[[#Totals],[CO2 emissions from fuel combustion (MtCO2)]],"Above Average","")</f>
        <v/>
      </c>
      <c r="W34" s="1">
        <f>SUM(Energy_data_1990___2020[[#This Row],[Coal and lignite production (Mt)]]-Energy_data_1990___2020[[#This Row],[Coal and lignite domestic consumption (Mt)]])</f>
        <v>-0.75082006600000017</v>
      </c>
    </row>
    <row r="35" spans="1:23">
      <c r="A35" t="s">
        <v>25</v>
      </c>
      <c r="B35">
        <v>1992</v>
      </c>
      <c r="C35" t="s">
        <v>26</v>
      </c>
      <c r="D35">
        <v>101.0933022</v>
      </c>
      <c r="E35">
        <v>2.1511349919999998</v>
      </c>
      <c r="F35">
        <v>0.222374137</v>
      </c>
      <c r="G35">
        <v>52.261418560000003</v>
      </c>
      <c r="H35">
        <v>46.995331579999998</v>
      </c>
      <c r="I35">
        <v>35.176506230000001</v>
      </c>
      <c r="J35">
        <v>11.779398580000001</v>
      </c>
      <c r="K35">
        <v>20.861999999999998</v>
      </c>
      <c r="L35">
        <v>24.704000000000001</v>
      </c>
      <c r="M35">
        <v>19.73899625</v>
      </c>
      <c r="N35">
        <v>21.881022869999999</v>
      </c>
      <c r="O35">
        <v>0.103375259</v>
      </c>
      <c r="P35">
        <v>56.116999999999997</v>
      </c>
      <c r="Q35">
        <v>45.16</v>
      </c>
      <c r="R35">
        <v>0.87352562499999997</v>
      </c>
      <c r="S35">
        <v>0</v>
      </c>
      <c r="T35">
        <v>30.369</v>
      </c>
      <c r="U35">
        <v>0.2</v>
      </c>
      <c r="V35" s="1" t="str">
        <f>IF(Energy_data_1990___2020[[#This Row],[CO2 emissions from fuel combustion (MtCO2)]]&gt;Energy_data_1990___2020[[#Totals],[CO2 emissions from fuel combustion (MtCO2)]],"Above Average","")</f>
        <v/>
      </c>
      <c r="W35" s="1">
        <f>SUM(Energy_data_1990___2020[[#This Row],[Coal and lignite production (Mt)]]-Energy_data_1990___2020[[#This Row],[Coal and lignite domestic consumption (Mt)]])</f>
        <v>-0.67352562499999991</v>
      </c>
    </row>
    <row r="36" spans="1:23">
      <c r="A36" t="s">
        <v>25</v>
      </c>
      <c r="B36">
        <v>1993</v>
      </c>
      <c r="C36" t="s">
        <v>26</v>
      </c>
      <c r="D36">
        <v>105.3457076</v>
      </c>
      <c r="E36">
        <v>2.1761601129999999</v>
      </c>
      <c r="F36">
        <v>0.214152656</v>
      </c>
      <c r="G36">
        <v>56.297709210000001</v>
      </c>
      <c r="H36">
        <v>48.408987449999998</v>
      </c>
      <c r="I36">
        <v>39.19844861</v>
      </c>
      <c r="J36">
        <v>11.981460350000001</v>
      </c>
      <c r="K36">
        <v>20.5</v>
      </c>
      <c r="L36">
        <v>25.317</v>
      </c>
      <c r="M36">
        <v>21.869973600000002</v>
      </c>
      <c r="N36">
        <v>23.478015259999999</v>
      </c>
      <c r="O36">
        <v>9.8408500999999995E-2</v>
      </c>
      <c r="P36">
        <v>61.88</v>
      </c>
      <c r="Q36">
        <v>48.567999999999998</v>
      </c>
      <c r="R36">
        <v>1.046</v>
      </c>
      <c r="S36">
        <v>0</v>
      </c>
      <c r="T36">
        <v>31.978000000000002</v>
      </c>
      <c r="U36">
        <v>0.16600000000000001</v>
      </c>
      <c r="V36" s="1" t="str">
        <f>IF(Energy_data_1990___2020[[#This Row],[CO2 emissions from fuel combustion (MtCO2)]]&gt;Energy_data_1990___2020[[#Totals],[CO2 emissions from fuel combustion (MtCO2)]],"Above Average","")</f>
        <v/>
      </c>
      <c r="W36" s="1">
        <f>SUM(Energy_data_1990___2020[[#This Row],[Coal and lignite production (Mt)]]-Energy_data_1990___2020[[#This Row],[Coal and lignite domestic consumption (Mt)]])</f>
        <v>-0.88</v>
      </c>
    </row>
    <row r="37" spans="1:23">
      <c r="A37" t="s">
        <v>25</v>
      </c>
      <c r="B37">
        <v>1994</v>
      </c>
      <c r="C37" t="s">
        <v>26</v>
      </c>
      <c r="D37">
        <v>107.9728126</v>
      </c>
      <c r="E37">
        <v>2.061220542</v>
      </c>
      <c r="F37">
        <v>0.207389513</v>
      </c>
      <c r="G37">
        <v>61.818207719999997</v>
      </c>
      <c r="H37">
        <v>52.382950000000001</v>
      </c>
      <c r="I37">
        <v>42.30581711</v>
      </c>
      <c r="J37">
        <v>12.15728863</v>
      </c>
      <c r="K37">
        <v>21.129000000000001</v>
      </c>
      <c r="L37">
        <v>23.414999999999999</v>
      </c>
      <c r="M37">
        <v>22.679972679999999</v>
      </c>
      <c r="N37">
        <v>24.39803105</v>
      </c>
      <c r="O37">
        <v>0.100614907</v>
      </c>
      <c r="P37">
        <v>65.634</v>
      </c>
      <c r="Q37">
        <v>52.375999999999998</v>
      </c>
      <c r="R37">
        <v>1.530031154</v>
      </c>
      <c r="S37">
        <v>0</v>
      </c>
      <c r="T37">
        <v>36.283000000000001</v>
      </c>
      <c r="U37">
        <v>0.34399999999999997</v>
      </c>
      <c r="V37" s="1" t="str">
        <f>IF(Energy_data_1990___2020[[#This Row],[CO2 emissions from fuel combustion (MtCO2)]]&gt;Energy_data_1990___2020[[#Totals],[CO2 emissions from fuel combustion (MtCO2)]],"Above Average","")</f>
        <v/>
      </c>
      <c r="W37" s="1">
        <f>SUM(Energy_data_1990___2020[[#This Row],[Coal and lignite production (Mt)]]-Energy_data_1990___2020[[#This Row],[Coal and lignite domestic consumption (Mt)]])</f>
        <v>-1.1860311540000001</v>
      </c>
    </row>
    <row r="38" spans="1:23">
      <c r="A38" t="s">
        <v>25</v>
      </c>
      <c r="B38">
        <v>1995</v>
      </c>
      <c r="C38" t="s">
        <v>26</v>
      </c>
      <c r="D38">
        <v>108.8263334</v>
      </c>
      <c r="E38">
        <v>2.0816839140000001</v>
      </c>
      <c r="F38">
        <v>0.21515039899999999</v>
      </c>
      <c r="G38">
        <v>65.754374150000004</v>
      </c>
      <c r="H38">
        <v>52.278029660000001</v>
      </c>
      <c r="I38">
        <v>40.359625489999999</v>
      </c>
      <c r="J38">
        <v>12.74594607</v>
      </c>
      <c r="K38">
        <v>20.375</v>
      </c>
      <c r="L38">
        <v>22.763000000000002</v>
      </c>
      <c r="M38">
        <v>24.325014830000001</v>
      </c>
      <c r="N38">
        <v>25.700996010000001</v>
      </c>
      <c r="O38">
        <v>0.10335401900000001</v>
      </c>
      <c r="P38">
        <v>67.180999999999997</v>
      </c>
      <c r="Q38">
        <v>56.006</v>
      </c>
      <c r="R38">
        <v>1.3631255170000001</v>
      </c>
      <c r="S38">
        <v>0</v>
      </c>
      <c r="T38">
        <v>39.04</v>
      </c>
      <c r="U38">
        <v>0.30199999999999999</v>
      </c>
      <c r="V38" s="1" t="str">
        <f>IF(Energy_data_1990___2020[[#This Row],[CO2 emissions from fuel combustion (MtCO2)]]&gt;Energy_data_1990___2020[[#Totals],[CO2 emissions from fuel combustion (MtCO2)]],"Above Average","")</f>
        <v/>
      </c>
      <c r="W38" s="1">
        <f>SUM(Energy_data_1990___2020[[#This Row],[Coal and lignite production (Mt)]]-Energy_data_1990___2020[[#This Row],[Coal and lignite domestic consumption (Mt)]])</f>
        <v>-1.061125517</v>
      </c>
    </row>
    <row r="39" spans="1:23">
      <c r="A39" t="s">
        <v>25</v>
      </c>
      <c r="B39">
        <v>1996</v>
      </c>
      <c r="C39" t="s">
        <v>26</v>
      </c>
      <c r="D39">
        <v>118.89832130000001</v>
      </c>
      <c r="E39">
        <v>2.2023039149999999</v>
      </c>
      <c r="F39">
        <v>0.22275197699999999</v>
      </c>
      <c r="G39">
        <v>70.833525890000004</v>
      </c>
      <c r="H39">
        <v>53.988153269999998</v>
      </c>
      <c r="I39">
        <v>33.278392480000001</v>
      </c>
      <c r="J39">
        <v>12.621022160000001</v>
      </c>
      <c r="K39">
        <v>22.044</v>
      </c>
      <c r="L39">
        <v>24.834</v>
      </c>
      <c r="M39">
        <v>26.436008640000001</v>
      </c>
      <c r="N39">
        <v>28.505004540000002</v>
      </c>
      <c r="O39">
        <v>0.101144976</v>
      </c>
      <c r="P39">
        <v>69.772000000000006</v>
      </c>
      <c r="Q39">
        <v>58.975999999999999</v>
      </c>
      <c r="R39">
        <v>1.26273773</v>
      </c>
      <c r="S39">
        <v>1.4332397E-2</v>
      </c>
      <c r="T39">
        <v>42.582999999999998</v>
      </c>
      <c r="U39">
        <v>0.307</v>
      </c>
      <c r="V39" s="1" t="str">
        <f>IF(Energy_data_1990___2020[[#This Row],[CO2 emissions from fuel combustion (MtCO2)]]&gt;Energy_data_1990___2020[[#Totals],[CO2 emissions from fuel combustion (MtCO2)]],"Above Average","")</f>
        <v/>
      </c>
      <c r="W39" s="1">
        <f>SUM(Energy_data_1990___2020[[#This Row],[Coal and lignite production (Mt)]]-Energy_data_1990___2020[[#This Row],[Coal and lignite domestic consumption (Mt)]])</f>
        <v>-0.95573773000000006</v>
      </c>
    </row>
    <row r="40" spans="1:23">
      <c r="A40" t="s">
        <v>25</v>
      </c>
      <c r="B40">
        <v>1997</v>
      </c>
      <c r="C40" t="s">
        <v>26</v>
      </c>
      <c r="D40">
        <v>121.4134612</v>
      </c>
      <c r="E40">
        <v>2.178231072</v>
      </c>
      <c r="F40">
        <v>0.210398486</v>
      </c>
      <c r="G40">
        <v>74.870915120000006</v>
      </c>
      <c r="H40">
        <v>55.739477200000003</v>
      </c>
      <c r="I40">
        <v>39.286650569999999</v>
      </c>
      <c r="J40">
        <v>13.073679800000001</v>
      </c>
      <c r="K40">
        <v>22.739000000000001</v>
      </c>
      <c r="L40">
        <v>26.831</v>
      </c>
      <c r="M40">
        <v>27.91398126</v>
      </c>
      <c r="N40">
        <v>29.39198558</v>
      </c>
      <c r="O40">
        <v>9.6591444999999998E-2</v>
      </c>
      <c r="P40">
        <v>72.474999999999994</v>
      </c>
      <c r="Q40">
        <v>63.405999999999999</v>
      </c>
      <c r="R40">
        <v>1.132754638</v>
      </c>
      <c r="S40">
        <v>2.0696791999999999E-2</v>
      </c>
      <c r="T40">
        <v>44.936</v>
      </c>
      <c r="U40">
        <v>0.249</v>
      </c>
      <c r="V40" s="1" t="str">
        <f>IF(Energy_data_1990___2020[[#This Row],[CO2 emissions from fuel combustion (MtCO2)]]&gt;Energy_data_1990___2020[[#Totals],[CO2 emissions from fuel combustion (MtCO2)]],"Above Average","")</f>
        <v/>
      </c>
      <c r="W40" s="1">
        <f>SUM(Energy_data_1990___2020[[#This Row],[Coal and lignite production (Mt)]]-Energy_data_1990___2020[[#This Row],[Coal and lignite domestic consumption (Mt)]])</f>
        <v>-0.88375463799999998</v>
      </c>
    </row>
    <row r="41" spans="1:23">
      <c r="A41" t="s">
        <v>25</v>
      </c>
      <c r="B41">
        <v>1998</v>
      </c>
      <c r="C41" t="s">
        <v>26</v>
      </c>
      <c r="D41">
        <v>127.05108799999999</v>
      </c>
      <c r="E41">
        <v>2.1397823050000002</v>
      </c>
      <c r="F41">
        <v>0.21200539400000001</v>
      </c>
      <c r="G41">
        <v>79.188497190000007</v>
      </c>
      <c r="H41">
        <v>59.375707409999997</v>
      </c>
      <c r="I41">
        <v>36.284593510000001</v>
      </c>
      <c r="J41">
        <v>13.61117808</v>
      </c>
      <c r="K41">
        <v>23.856999999999999</v>
      </c>
      <c r="L41">
        <v>27.969000000000001</v>
      </c>
      <c r="M41">
        <v>32.197010159999998</v>
      </c>
      <c r="N41">
        <v>32.015965860000001</v>
      </c>
      <c r="O41">
        <v>9.9078020000000003E-2</v>
      </c>
      <c r="P41">
        <v>74.183000000000007</v>
      </c>
      <c r="Q41">
        <v>68.647000000000006</v>
      </c>
      <c r="R41">
        <v>0.99250927600000005</v>
      </c>
      <c r="S41">
        <v>4.4484585E-2</v>
      </c>
      <c r="T41">
        <v>45.805</v>
      </c>
      <c r="U41">
        <v>0.28699999999999998</v>
      </c>
      <c r="V41" s="1" t="str">
        <f>IF(Energy_data_1990___2020[[#This Row],[CO2 emissions from fuel combustion (MtCO2)]]&gt;Energy_data_1990___2020[[#Totals],[CO2 emissions from fuel combustion (MtCO2)]],"Above Average","")</f>
        <v/>
      </c>
      <c r="W41" s="1">
        <f>SUM(Energy_data_1990___2020[[#This Row],[Coal and lignite production (Mt)]]-Energy_data_1990___2020[[#This Row],[Coal and lignite domestic consumption (Mt)]])</f>
        <v>-0.70550927600000013</v>
      </c>
    </row>
    <row r="42" spans="1:23">
      <c r="A42" t="s">
        <v>25</v>
      </c>
      <c r="B42">
        <v>1999</v>
      </c>
      <c r="C42" t="s">
        <v>26</v>
      </c>
      <c r="D42">
        <v>128.47960370000001</v>
      </c>
      <c r="E42">
        <v>2.1109007989999999</v>
      </c>
      <c r="F42">
        <v>0.22190148400000001</v>
      </c>
      <c r="G42">
        <v>80.708078169999993</v>
      </c>
      <c r="H42">
        <v>60.864823090000002</v>
      </c>
      <c r="I42">
        <v>27.20811303</v>
      </c>
      <c r="J42">
        <v>14.58942646</v>
      </c>
      <c r="K42">
        <v>22.053000000000001</v>
      </c>
      <c r="L42">
        <v>27.498999999999999</v>
      </c>
      <c r="M42">
        <v>36.741969439999998</v>
      </c>
      <c r="N42">
        <v>35.032006269999997</v>
      </c>
      <c r="O42">
        <v>0.105121702</v>
      </c>
      <c r="P42">
        <v>80.759</v>
      </c>
      <c r="Q42">
        <v>71.313000000000002</v>
      </c>
      <c r="R42">
        <v>1.002540888</v>
      </c>
      <c r="S42">
        <v>4.3338822999999999E-2</v>
      </c>
      <c r="T42">
        <v>43.966000000000001</v>
      </c>
      <c r="U42">
        <v>0.33300000000000002</v>
      </c>
      <c r="V42" s="1" t="str">
        <f>IF(Energy_data_1990___2020[[#This Row],[CO2 emissions from fuel combustion (MtCO2)]]&gt;Energy_data_1990___2020[[#Totals],[CO2 emissions from fuel combustion (MtCO2)]],"Above Average","")</f>
        <v/>
      </c>
      <c r="W42" s="1">
        <f>SUM(Energy_data_1990___2020[[#This Row],[Coal and lignite production (Mt)]]-Energy_data_1990___2020[[#This Row],[Coal and lignite domestic consumption (Mt)]])</f>
        <v>-0.669540888</v>
      </c>
    </row>
    <row r="43" spans="1:23">
      <c r="A43" t="s">
        <v>25</v>
      </c>
      <c r="B43">
        <v>2000</v>
      </c>
      <c r="C43" t="s">
        <v>26</v>
      </c>
      <c r="D43">
        <v>126.6782331</v>
      </c>
      <c r="E43">
        <v>2.0926342309999999</v>
      </c>
      <c r="F43">
        <v>0.22053025700000001</v>
      </c>
      <c r="G43">
        <v>82.669969330000001</v>
      </c>
      <c r="H43">
        <v>60.53529623</v>
      </c>
      <c r="I43">
        <v>32.880868370000002</v>
      </c>
      <c r="J43">
        <v>15.40261857</v>
      </c>
      <c r="K43">
        <v>20.489000000000001</v>
      </c>
      <c r="L43">
        <v>26.574000000000002</v>
      </c>
      <c r="M43">
        <v>40.996959850000003</v>
      </c>
      <c r="N43">
        <v>36.586972879999998</v>
      </c>
      <c r="O43">
        <v>0.105384044</v>
      </c>
      <c r="P43">
        <v>88.994</v>
      </c>
      <c r="Q43">
        <v>75.153000000000006</v>
      </c>
      <c r="R43">
        <v>0.82557470399999999</v>
      </c>
      <c r="S43">
        <v>3.9328493999999999E-2</v>
      </c>
      <c r="T43">
        <v>41.966000000000001</v>
      </c>
      <c r="U43">
        <v>0.25700000000000001</v>
      </c>
      <c r="V43" s="1" t="str">
        <f>IF(Energy_data_1990___2020[[#This Row],[CO2 emissions from fuel combustion (MtCO2)]]&gt;Energy_data_1990___2020[[#Totals],[CO2 emissions from fuel combustion (MtCO2)]],"Above Average","")</f>
        <v/>
      </c>
      <c r="W43" s="1">
        <f>SUM(Energy_data_1990___2020[[#This Row],[Coal and lignite production (Mt)]]-Energy_data_1990___2020[[#This Row],[Coal and lignite domestic consumption (Mt)]])</f>
        <v>-0.56857470399999999</v>
      </c>
    </row>
    <row r="44" spans="1:23">
      <c r="A44" t="s">
        <v>25</v>
      </c>
      <c r="B44">
        <v>2001</v>
      </c>
      <c r="C44" t="s">
        <v>26</v>
      </c>
      <c r="D44">
        <v>120.4482263</v>
      </c>
      <c r="E44">
        <v>2.138020617</v>
      </c>
      <c r="F44">
        <v>0.219355669</v>
      </c>
      <c r="G44">
        <v>83.494723789999995</v>
      </c>
      <c r="H44">
        <v>56.336325899999999</v>
      </c>
      <c r="I44">
        <v>41.552232850000003</v>
      </c>
      <c r="J44">
        <v>16.32725443</v>
      </c>
      <c r="K44">
        <v>18.844999999999999</v>
      </c>
      <c r="L44">
        <v>27.198</v>
      </c>
      <c r="M44">
        <v>40.882958619999997</v>
      </c>
      <c r="N44">
        <v>35.773971230000001</v>
      </c>
      <c r="O44">
        <v>0.102597546</v>
      </c>
      <c r="P44">
        <v>90.153999999999996</v>
      </c>
      <c r="Q44">
        <v>76.259</v>
      </c>
      <c r="R44">
        <v>0.57532769699999997</v>
      </c>
      <c r="S44">
        <v>5.4351442999999999E-2</v>
      </c>
      <c r="T44">
        <v>42.103999999999999</v>
      </c>
      <c r="U44">
        <v>0.186</v>
      </c>
      <c r="V44" s="1" t="str">
        <f>IF(Energy_data_1990___2020[[#This Row],[CO2 emissions from fuel combustion (MtCO2)]]&gt;Energy_data_1990___2020[[#Totals],[CO2 emissions from fuel combustion (MtCO2)]],"Above Average","")</f>
        <v/>
      </c>
      <c r="W44" s="1">
        <f>SUM(Energy_data_1990___2020[[#This Row],[Coal and lignite production (Mt)]]-Energy_data_1990___2020[[#This Row],[Coal and lignite domestic consumption (Mt)]])</f>
        <v>-0.38932769699999997</v>
      </c>
    </row>
    <row r="45" spans="1:23">
      <c r="A45" t="s">
        <v>25</v>
      </c>
      <c r="B45">
        <v>2002</v>
      </c>
      <c r="C45" t="s">
        <v>26</v>
      </c>
      <c r="D45">
        <v>113.9342273</v>
      </c>
      <c r="E45">
        <v>2.0441349610000001</v>
      </c>
      <c r="F45">
        <v>0.232861709</v>
      </c>
      <c r="G45">
        <v>82.081333240000006</v>
      </c>
      <c r="H45">
        <v>55.737135500000001</v>
      </c>
      <c r="I45">
        <v>43.140476329999998</v>
      </c>
      <c r="J45">
        <v>16.655891180000001</v>
      </c>
      <c r="K45">
        <v>17.207999999999998</v>
      </c>
      <c r="L45">
        <v>25.024000000000001</v>
      </c>
      <c r="M45">
        <v>40.269048849999997</v>
      </c>
      <c r="N45">
        <v>34.930966220000002</v>
      </c>
      <c r="O45">
        <v>0.11391699299999999</v>
      </c>
      <c r="P45">
        <v>84.605000000000004</v>
      </c>
      <c r="Q45">
        <v>74.888999999999996</v>
      </c>
      <c r="R45">
        <v>0.55100000000000005</v>
      </c>
      <c r="S45">
        <v>8.6283316999999998E-2</v>
      </c>
      <c r="T45">
        <v>41.784999999999997</v>
      </c>
      <c r="U45">
        <v>9.7000000000000003E-2</v>
      </c>
      <c r="V45" s="1" t="str">
        <f>IF(Energy_data_1990___2020[[#This Row],[CO2 emissions from fuel combustion (MtCO2)]]&gt;Energy_data_1990___2020[[#Totals],[CO2 emissions from fuel combustion (MtCO2)]],"Above Average","")</f>
        <v/>
      </c>
      <c r="W45" s="1">
        <f>SUM(Energy_data_1990___2020[[#This Row],[Coal and lignite production (Mt)]]-Energy_data_1990___2020[[#This Row],[Coal and lignite domestic consumption (Mt)]])</f>
        <v>-0.45400000000000007</v>
      </c>
    </row>
    <row r="46" spans="1:23">
      <c r="A46" t="s">
        <v>25</v>
      </c>
      <c r="B46">
        <v>2003</v>
      </c>
      <c r="C46" t="s">
        <v>26</v>
      </c>
      <c r="D46">
        <v>124.3021803</v>
      </c>
      <c r="E46">
        <v>2.060408587</v>
      </c>
      <c r="F46">
        <v>0.233424206</v>
      </c>
      <c r="G46">
        <v>86.244979630000003</v>
      </c>
      <c r="H46">
        <v>60.328898379999998</v>
      </c>
      <c r="I46">
        <v>37.811155999999997</v>
      </c>
      <c r="J46">
        <v>16.41400093</v>
      </c>
      <c r="K46">
        <v>18.568999999999999</v>
      </c>
      <c r="L46">
        <v>26.814</v>
      </c>
      <c r="M46">
        <v>44.937013409999999</v>
      </c>
      <c r="N46">
        <v>38.673953849999997</v>
      </c>
      <c r="O46">
        <v>0.11329025099999999</v>
      </c>
      <c r="P46">
        <v>92.075999999999993</v>
      </c>
      <c r="Q46">
        <v>79.873000000000005</v>
      </c>
      <c r="R46">
        <v>0.67900000000000005</v>
      </c>
      <c r="S46">
        <v>8.4712628999999998E-2</v>
      </c>
      <c r="T46">
        <v>41.457999999999998</v>
      </c>
      <c r="U46">
        <v>0.09</v>
      </c>
      <c r="V46" s="1" t="str">
        <f>IF(Energy_data_1990___2020[[#This Row],[CO2 emissions from fuel combustion (MtCO2)]]&gt;Energy_data_1990___2020[[#Totals],[CO2 emissions from fuel combustion (MtCO2)]],"Above Average","")</f>
        <v/>
      </c>
      <c r="W46" s="1">
        <f>SUM(Energy_data_1990___2020[[#This Row],[Coal and lignite production (Mt)]]-Energy_data_1990___2020[[#This Row],[Coal and lignite domestic consumption (Mt)]])</f>
        <v>-0.58900000000000008</v>
      </c>
    </row>
    <row r="47" spans="1:23">
      <c r="A47" t="s">
        <v>25</v>
      </c>
      <c r="B47">
        <v>2004</v>
      </c>
      <c r="C47" t="s">
        <v>26</v>
      </c>
      <c r="D47">
        <v>138.61737500000001</v>
      </c>
      <c r="E47">
        <v>2.069304732</v>
      </c>
      <c r="F47">
        <v>0.23874841699999999</v>
      </c>
      <c r="G47">
        <v>86.785536620000002</v>
      </c>
      <c r="H47">
        <v>66.987415089999999</v>
      </c>
      <c r="I47">
        <v>31.333579310000001</v>
      </c>
      <c r="J47">
        <v>16.22918267</v>
      </c>
      <c r="K47">
        <v>21.001999999999999</v>
      </c>
      <c r="L47">
        <v>27.402000000000001</v>
      </c>
      <c r="M47">
        <v>47.913951330000003</v>
      </c>
      <c r="N47">
        <v>41.700047249999997</v>
      </c>
      <c r="O47">
        <v>0.115376152</v>
      </c>
      <c r="P47">
        <v>100.279</v>
      </c>
      <c r="Q47">
        <v>84.542000000000002</v>
      </c>
      <c r="R47">
        <v>1.2969999999999999</v>
      </c>
      <c r="S47">
        <v>7.1799679000000005E-2</v>
      </c>
      <c r="T47">
        <v>39.823</v>
      </c>
      <c r="U47">
        <v>4.8000000000000001E-2</v>
      </c>
      <c r="V47" s="1" t="str">
        <f>IF(Energy_data_1990___2020[[#This Row],[CO2 emissions from fuel combustion (MtCO2)]]&gt;Energy_data_1990___2020[[#Totals],[CO2 emissions from fuel combustion (MtCO2)]],"Above Average","")</f>
        <v/>
      </c>
      <c r="W47" s="1">
        <f>SUM(Energy_data_1990___2020[[#This Row],[Coal and lignite production (Mt)]]-Energy_data_1990___2020[[#This Row],[Coal and lignite domestic consumption (Mt)]])</f>
        <v>-1.2489999999999999</v>
      </c>
    </row>
    <row r="48" spans="1:23">
      <c r="A48" t="s">
        <v>25</v>
      </c>
      <c r="B48">
        <v>2005</v>
      </c>
      <c r="C48" t="s">
        <v>26</v>
      </c>
      <c r="D48">
        <v>141.55856349999999</v>
      </c>
      <c r="E48">
        <v>2.129165296</v>
      </c>
      <c r="F48">
        <v>0.223987572</v>
      </c>
      <c r="G48">
        <v>84.411226859999999</v>
      </c>
      <c r="H48">
        <v>66.485473810000002</v>
      </c>
      <c r="I48">
        <v>33.290472629999996</v>
      </c>
      <c r="J48">
        <v>16.751685819999999</v>
      </c>
      <c r="K48">
        <v>20.521999999999998</v>
      </c>
      <c r="L48">
        <v>27.199000000000002</v>
      </c>
      <c r="M48">
        <v>47.69099817</v>
      </c>
      <c r="N48">
        <v>43.700969569999998</v>
      </c>
      <c r="O48">
        <v>0.10519971</v>
      </c>
      <c r="P48">
        <v>105.76900000000001</v>
      </c>
      <c r="Q48">
        <v>89.391000000000005</v>
      </c>
      <c r="R48">
        <v>1.4359999999999999</v>
      </c>
      <c r="S48">
        <v>6.8072876000000004E-2</v>
      </c>
      <c r="T48">
        <v>37.491</v>
      </c>
      <c r="U48">
        <v>2.4E-2</v>
      </c>
      <c r="V48" s="1" t="str">
        <f>IF(Energy_data_1990___2020[[#This Row],[CO2 emissions from fuel combustion (MtCO2)]]&gt;Energy_data_1990___2020[[#Totals],[CO2 emissions from fuel combustion (MtCO2)]],"Above Average","")</f>
        <v/>
      </c>
      <c r="W48" s="1">
        <f>SUM(Energy_data_1990___2020[[#This Row],[Coal and lignite production (Mt)]]-Energy_data_1990___2020[[#This Row],[Coal and lignite domestic consumption (Mt)]])</f>
        <v>-1.4119999999999999</v>
      </c>
    </row>
    <row r="49" spans="1:23">
      <c r="A49" t="s">
        <v>25</v>
      </c>
      <c r="B49">
        <v>2006</v>
      </c>
      <c r="C49" t="s">
        <v>26</v>
      </c>
      <c r="D49">
        <v>149.95036630000001</v>
      </c>
      <c r="E49">
        <v>2.1442223349999998</v>
      </c>
      <c r="F49">
        <v>0.219594766</v>
      </c>
      <c r="G49">
        <v>84.932647360000004</v>
      </c>
      <c r="H49">
        <v>69.932284449999997</v>
      </c>
      <c r="I49">
        <v>34.41609957</v>
      </c>
      <c r="J49">
        <v>17.081228849999999</v>
      </c>
      <c r="K49">
        <v>22.594999999999999</v>
      </c>
      <c r="L49">
        <v>28.734999999999999</v>
      </c>
      <c r="M49">
        <v>48.053029170000002</v>
      </c>
      <c r="N49">
        <v>44.752986249999999</v>
      </c>
      <c r="O49">
        <v>0.10241231100000001</v>
      </c>
      <c r="P49">
        <v>113.444</v>
      </c>
      <c r="Q49">
        <v>95.489000000000004</v>
      </c>
      <c r="R49">
        <v>1.3360000000000001</v>
      </c>
      <c r="S49">
        <v>6.1704452999999999E-2</v>
      </c>
      <c r="T49">
        <v>37.427999999999997</v>
      </c>
      <c r="U49">
        <v>8.4000000000000005E-2</v>
      </c>
      <c r="V49" s="1" t="str">
        <f>IF(Energy_data_1990___2020[[#This Row],[CO2 emissions from fuel combustion (MtCO2)]]&gt;Energy_data_1990___2020[[#Totals],[CO2 emissions from fuel combustion (MtCO2)]],"Above Average","")</f>
        <v/>
      </c>
      <c r="W49" s="1">
        <f>SUM(Energy_data_1990___2020[[#This Row],[Coal and lignite production (Mt)]]-Energy_data_1990___2020[[#This Row],[Coal and lignite domestic consumption (Mt)]])</f>
        <v>-1.252</v>
      </c>
    </row>
    <row r="50" spans="1:23">
      <c r="A50" t="s">
        <v>25</v>
      </c>
      <c r="B50">
        <v>2007</v>
      </c>
      <c r="C50" t="s">
        <v>26</v>
      </c>
      <c r="D50">
        <v>158.76930870000001</v>
      </c>
      <c r="E50">
        <v>2.163097273</v>
      </c>
      <c r="F50">
        <v>0.21329664600000001</v>
      </c>
      <c r="G50">
        <v>81.334430549999993</v>
      </c>
      <c r="H50">
        <v>73.399060989999995</v>
      </c>
      <c r="I50">
        <v>28.714606539999998</v>
      </c>
      <c r="J50">
        <v>16.83987574</v>
      </c>
      <c r="K50">
        <v>25.058</v>
      </c>
      <c r="L50">
        <v>30.033999999999999</v>
      </c>
      <c r="M50">
        <v>45.363014739999997</v>
      </c>
      <c r="N50">
        <v>45.225020729999997</v>
      </c>
      <c r="O50">
        <v>9.8607052000000001E-2</v>
      </c>
      <c r="P50">
        <v>113.545</v>
      </c>
      <c r="Q50">
        <v>99.944000000000003</v>
      </c>
      <c r="R50">
        <v>1.7310000000000001</v>
      </c>
      <c r="S50">
        <v>5.4603902000000003E-2</v>
      </c>
      <c r="T50">
        <v>36.639000000000003</v>
      </c>
      <c r="U50">
        <v>0.105</v>
      </c>
      <c r="V50" s="1" t="str">
        <f>IF(Energy_data_1990___2020[[#This Row],[CO2 emissions from fuel combustion (MtCO2)]]&gt;Energy_data_1990___2020[[#Totals],[CO2 emissions from fuel combustion (MtCO2)]],"Above Average","")</f>
        <v/>
      </c>
      <c r="W50" s="1">
        <f>SUM(Energy_data_1990___2020[[#This Row],[Coal and lignite production (Mt)]]-Energy_data_1990___2020[[#This Row],[Coal and lignite domestic consumption (Mt)]])</f>
        <v>-1.6260000000000001</v>
      </c>
    </row>
    <row r="51" spans="1:23">
      <c r="A51" t="s">
        <v>25</v>
      </c>
      <c r="B51">
        <v>2008</v>
      </c>
      <c r="C51" t="s">
        <v>26</v>
      </c>
      <c r="D51">
        <v>164.2559483</v>
      </c>
      <c r="E51">
        <v>2.165847925</v>
      </c>
      <c r="F51">
        <v>0.212063685</v>
      </c>
      <c r="G51">
        <v>82.413330189999996</v>
      </c>
      <c r="H51">
        <v>75.839095830000005</v>
      </c>
      <c r="I51">
        <v>26.720906769999999</v>
      </c>
      <c r="J51">
        <v>17.3231088</v>
      </c>
      <c r="K51">
        <v>26.789000000000001</v>
      </c>
      <c r="L51">
        <v>29.713000000000001</v>
      </c>
      <c r="M51">
        <v>45.465992890000003</v>
      </c>
      <c r="N51">
        <v>45.980038460000003</v>
      </c>
      <c r="O51">
        <v>9.7912546000000003E-2</v>
      </c>
      <c r="P51">
        <v>121.92700000000001</v>
      </c>
      <c r="Q51">
        <v>105.158</v>
      </c>
      <c r="R51">
        <v>2.165</v>
      </c>
      <c r="S51">
        <v>3.4446840999999999E-2</v>
      </c>
      <c r="T51">
        <v>37.076000000000001</v>
      </c>
      <c r="U51">
        <v>9.0999999999999998E-2</v>
      </c>
      <c r="V51" s="1" t="str">
        <f>IF(Energy_data_1990___2020[[#This Row],[CO2 emissions from fuel combustion (MtCO2)]]&gt;Energy_data_1990___2020[[#Totals],[CO2 emissions from fuel combustion (MtCO2)]],"Above Average","")</f>
        <v/>
      </c>
      <c r="W51" s="1">
        <f>SUM(Energy_data_1990___2020[[#This Row],[Coal and lignite production (Mt)]]-Energy_data_1990___2020[[#This Row],[Coal and lignite domestic consumption (Mt)]])</f>
        <v>-2.0739999999999998</v>
      </c>
    </row>
    <row r="52" spans="1:23">
      <c r="A52" t="s">
        <v>25</v>
      </c>
      <c r="B52">
        <v>2009</v>
      </c>
      <c r="C52" t="s">
        <v>26</v>
      </c>
      <c r="D52">
        <v>152.56619620000001</v>
      </c>
      <c r="E52">
        <v>2.1892053310000001</v>
      </c>
      <c r="F52">
        <v>0.20936274299999999</v>
      </c>
      <c r="G52">
        <v>79.200836580000001</v>
      </c>
      <c r="H52">
        <v>69.690217739999994</v>
      </c>
      <c r="I52">
        <v>29.60244548</v>
      </c>
      <c r="J52">
        <v>18.61238217</v>
      </c>
      <c r="K52">
        <v>23.806000000000001</v>
      </c>
      <c r="L52">
        <v>27.609000000000002</v>
      </c>
      <c r="M52">
        <v>42.643986589999997</v>
      </c>
      <c r="N52">
        <v>44.451990780000003</v>
      </c>
      <c r="O52">
        <v>9.5634127999999999E-2</v>
      </c>
      <c r="P52">
        <v>122.348</v>
      </c>
      <c r="Q52">
        <v>105.349</v>
      </c>
      <c r="R52">
        <v>1.2130000000000001</v>
      </c>
      <c r="S52">
        <v>3.0241606000000001E-2</v>
      </c>
      <c r="T52">
        <v>35.335999999999999</v>
      </c>
      <c r="U52">
        <v>7.5999999999999998E-2</v>
      </c>
      <c r="V52" s="1" t="str">
        <f>IF(Energy_data_1990___2020[[#This Row],[CO2 emissions from fuel combustion (MtCO2)]]&gt;Energy_data_1990___2020[[#Totals],[CO2 emissions from fuel combustion (MtCO2)]],"Above Average","")</f>
        <v/>
      </c>
      <c r="W52" s="1">
        <f>SUM(Energy_data_1990___2020[[#This Row],[Coal and lignite production (Mt)]]-Energy_data_1990___2020[[#This Row],[Coal and lignite domestic consumption (Mt)]])</f>
        <v>-1.137</v>
      </c>
    </row>
    <row r="53" spans="1:23">
      <c r="A53" t="s">
        <v>25</v>
      </c>
      <c r="B53">
        <v>2010</v>
      </c>
      <c r="C53" t="s">
        <v>26</v>
      </c>
      <c r="D53">
        <v>162.83339849999999</v>
      </c>
      <c r="E53">
        <v>2.17639863</v>
      </c>
      <c r="F53">
        <v>0.20290702199999999</v>
      </c>
      <c r="G53">
        <v>78.132159130000005</v>
      </c>
      <c r="H53">
        <v>74.817818869999996</v>
      </c>
      <c r="I53">
        <v>27.849065589999999</v>
      </c>
      <c r="J53">
        <v>18.034485780000001</v>
      </c>
      <c r="K53">
        <v>27.34</v>
      </c>
      <c r="L53">
        <v>27.96</v>
      </c>
      <c r="M53">
        <v>41.340978360000001</v>
      </c>
      <c r="N53">
        <v>44.591974819999997</v>
      </c>
      <c r="O53">
        <v>9.3230632999999993E-2</v>
      </c>
      <c r="P53">
        <v>126.015</v>
      </c>
      <c r="Q53">
        <v>110.59399999999999</v>
      </c>
      <c r="R53">
        <v>1.68</v>
      </c>
      <c r="S53">
        <v>1.9838907999999999E-2</v>
      </c>
      <c r="T53">
        <v>35.046999999999997</v>
      </c>
      <c r="U53">
        <v>5.8999999999999997E-2</v>
      </c>
      <c r="V53" s="1" t="str">
        <f>IF(Energy_data_1990___2020[[#This Row],[CO2 emissions from fuel combustion (MtCO2)]]&gt;Energy_data_1990___2020[[#Totals],[CO2 emissions from fuel combustion (MtCO2)]],"Above Average","")</f>
        <v/>
      </c>
      <c r="W53" s="1">
        <f>SUM(Energy_data_1990___2020[[#This Row],[Coal and lignite production (Mt)]]-Energy_data_1990___2020[[#This Row],[Coal and lignite domestic consumption (Mt)]])</f>
        <v>-1.621</v>
      </c>
    </row>
    <row r="54" spans="1:23">
      <c r="A54" t="s">
        <v>25</v>
      </c>
      <c r="B54">
        <v>2011</v>
      </c>
      <c r="C54" t="s">
        <v>26</v>
      </c>
      <c r="D54">
        <v>170.76245130000001</v>
      </c>
      <c r="E54">
        <v>2.2073715950000001</v>
      </c>
      <c r="F54">
        <v>0.20073537499999999</v>
      </c>
      <c r="G54">
        <v>74.424513759999996</v>
      </c>
      <c r="H54">
        <v>77.360083689999996</v>
      </c>
      <c r="I54">
        <v>25.582598489999999</v>
      </c>
      <c r="J54">
        <v>18.32218907</v>
      </c>
      <c r="K54">
        <v>27.867999999999999</v>
      </c>
      <c r="L54">
        <v>27.373000000000001</v>
      </c>
      <c r="M54">
        <v>39.795018089999999</v>
      </c>
      <c r="N54">
        <v>46.444979099999998</v>
      </c>
      <c r="O54">
        <v>9.0938642E-2</v>
      </c>
      <c r="P54">
        <v>129.506</v>
      </c>
      <c r="Q54">
        <v>115.916</v>
      </c>
      <c r="R54">
        <v>1.8360000000000001</v>
      </c>
      <c r="S54">
        <v>4.7102064999999999E-2</v>
      </c>
      <c r="T54">
        <v>32.401000000000003</v>
      </c>
      <c r="U54">
        <v>8.5000000000000006E-2</v>
      </c>
      <c r="V54" s="1" t="str">
        <f>IF(Energy_data_1990___2020[[#This Row],[CO2 emissions from fuel combustion (MtCO2)]]&gt;Energy_data_1990___2020[[#Totals],[CO2 emissions from fuel combustion (MtCO2)]],"Above Average","")</f>
        <v/>
      </c>
      <c r="W54" s="1">
        <f>SUM(Energy_data_1990___2020[[#This Row],[Coal and lignite production (Mt)]]-Energy_data_1990___2020[[#This Row],[Coal and lignite domestic consumption (Mt)]])</f>
        <v>-1.7510000000000001</v>
      </c>
    </row>
    <row r="55" spans="1:23">
      <c r="A55" t="s">
        <v>25</v>
      </c>
      <c r="B55">
        <v>2012</v>
      </c>
      <c r="C55" t="s">
        <v>26</v>
      </c>
      <c r="D55">
        <v>172.83370009999999</v>
      </c>
      <c r="E55">
        <v>2.1726999130000002</v>
      </c>
      <c r="F55">
        <v>0.205277185</v>
      </c>
      <c r="G55">
        <v>75.118872379999999</v>
      </c>
      <c r="H55">
        <v>79.547892939999997</v>
      </c>
      <c r="I55">
        <v>23.462787930000001</v>
      </c>
      <c r="J55">
        <v>18.750965260000001</v>
      </c>
      <c r="K55">
        <v>27.72</v>
      </c>
      <c r="L55">
        <v>27.972000000000001</v>
      </c>
      <c r="M55">
        <v>40.794040840000001</v>
      </c>
      <c r="N55">
        <v>48.926055069999997</v>
      </c>
      <c r="O55">
        <v>9.4480228999999999E-2</v>
      </c>
      <c r="P55">
        <v>136.05799999999999</v>
      </c>
      <c r="Q55">
        <v>118.374</v>
      </c>
      <c r="R55">
        <v>1.7210000000000001</v>
      </c>
      <c r="S55">
        <v>0.61003395599999999</v>
      </c>
      <c r="T55">
        <v>32.39</v>
      </c>
      <c r="U55">
        <v>9.0999999999999998E-2</v>
      </c>
      <c r="V55" s="1" t="str">
        <f>IF(Energy_data_1990___2020[[#This Row],[CO2 emissions from fuel combustion (MtCO2)]]&gt;Energy_data_1990___2020[[#Totals],[CO2 emissions from fuel combustion (MtCO2)]],"Above Average","")</f>
        <v/>
      </c>
      <c r="W55" s="1">
        <f>SUM(Energy_data_1990___2020[[#This Row],[Coal and lignite production (Mt)]]-Energy_data_1990___2020[[#This Row],[Coal and lignite domestic consumption (Mt)]])</f>
        <v>-1.6300000000000001</v>
      </c>
    </row>
    <row r="56" spans="1:23">
      <c r="A56" t="s">
        <v>25</v>
      </c>
      <c r="B56">
        <v>2013</v>
      </c>
      <c r="C56" t="s">
        <v>26</v>
      </c>
      <c r="D56">
        <v>177.6705638</v>
      </c>
      <c r="E56">
        <v>2.1791360989999999</v>
      </c>
      <c r="F56">
        <v>0.20606546000000001</v>
      </c>
      <c r="G56">
        <v>72.557297539999993</v>
      </c>
      <c r="H56">
        <v>81.532568749999996</v>
      </c>
      <c r="I56">
        <v>25.57881076</v>
      </c>
      <c r="J56">
        <v>18.255328760000001</v>
      </c>
      <c r="K56">
        <v>28.263000000000002</v>
      </c>
      <c r="L56">
        <v>27.728999999999999</v>
      </c>
      <c r="M56">
        <v>38.841964689999998</v>
      </c>
      <c r="N56">
        <v>49.401006750000001</v>
      </c>
      <c r="O56">
        <v>9.4562913999999998E-2</v>
      </c>
      <c r="P56">
        <v>139.46700000000001</v>
      </c>
      <c r="Q56">
        <v>120.944</v>
      </c>
      <c r="R56">
        <v>1.8620000000000001</v>
      </c>
      <c r="S56">
        <v>0.73278983600000003</v>
      </c>
      <c r="T56">
        <v>31.367000000000001</v>
      </c>
      <c r="U56">
        <v>7.9000000000000001E-2</v>
      </c>
      <c r="V56" s="1" t="str">
        <f>IF(Energy_data_1990___2020[[#This Row],[CO2 emissions from fuel combustion (MtCO2)]]&gt;Energy_data_1990___2020[[#Totals],[CO2 emissions from fuel combustion (MtCO2)]],"Above Average","")</f>
        <v/>
      </c>
      <c r="W56" s="1">
        <f>SUM(Energy_data_1990___2020[[#This Row],[Coal and lignite production (Mt)]]-Energy_data_1990___2020[[#This Row],[Coal and lignite domestic consumption (Mt)]])</f>
        <v>-1.7830000000000001</v>
      </c>
    </row>
    <row r="57" spans="1:23">
      <c r="A57" t="s">
        <v>25</v>
      </c>
      <c r="B57">
        <v>2014</v>
      </c>
      <c r="C57" t="s">
        <v>26</v>
      </c>
      <c r="D57">
        <v>174.10359700000001</v>
      </c>
      <c r="E57">
        <v>2.1307966239999998</v>
      </c>
      <c r="F57">
        <v>0.20713288099999999</v>
      </c>
      <c r="G57">
        <v>72.208787779999994</v>
      </c>
      <c r="H57">
        <v>81.708218919999993</v>
      </c>
      <c r="I57">
        <v>25.086595079999999</v>
      </c>
      <c r="J57">
        <v>19.217017500000001</v>
      </c>
      <c r="K57">
        <v>27.623999999999999</v>
      </c>
      <c r="L57">
        <v>27.332999999999998</v>
      </c>
      <c r="M57">
        <v>37.889980119999997</v>
      </c>
      <c r="N57">
        <v>49.526024360000001</v>
      </c>
      <c r="O57">
        <v>9.7209128000000006E-2</v>
      </c>
      <c r="P57">
        <v>138.57599999999999</v>
      </c>
      <c r="Q57">
        <v>126.26600000000001</v>
      </c>
      <c r="R57">
        <v>1.9890000000000001</v>
      </c>
      <c r="S57">
        <v>0.45823230599999998</v>
      </c>
      <c r="T57">
        <v>31.536999999999999</v>
      </c>
      <c r="U57">
        <v>5.7000000000000002E-2</v>
      </c>
      <c r="V57" s="1" t="str">
        <f>IF(Energy_data_1990___2020[[#This Row],[CO2 emissions from fuel combustion (MtCO2)]]&gt;Energy_data_1990___2020[[#Totals],[CO2 emissions from fuel combustion (MtCO2)]],"Above Average","")</f>
        <v/>
      </c>
      <c r="W57" s="1">
        <f>SUM(Energy_data_1990___2020[[#This Row],[Coal and lignite production (Mt)]]-Energy_data_1990___2020[[#This Row],[Coal and lignite domestic consumption (Mt)]])</f>
        <v>-1.9320000000000002</v>
      </c>
    </row>
    <row r="58" spans="1:23">
      <c r="A58" t="s">
        <v>25</v>
      </c>
      <c r="B58">
        <v>2015</v>
      </c>
      <c r="C58" t="s">
        <v>26</v>
      </c>
      <c r="D58">
        <v>180.23232250000001</v>
      </c>
      <c r="E58">
        <v>2.1729973980000001</v>
      </c>
      <c r="F58">
        <v>0.20872371200000001</v>
      </c>
      <c r="G58">
        <v>73.43704975</v>
      </c>
      <c r="H58">
        <v>82.941803199999995</v>
      </c>
      <c r="I58">
        <v>23.81761054</v>
      </c>
      <c r="J58">
        <v>19.77940766</v>
      </c>
      <c r="K58">
        <v>28.274999999999999</v>
      </c>
      <c r="L58">
        <v>28.48</v>
      </c>
      <c r="M58">
        <v>39.926033410000002</v>
      </c>
      <c r="N58">
        <v>50.742969410000001</v>
      </c>
      <c r="O58">
        <v>9.6053365000000002E-2</v>
      </c>
      <c r="P58">
        <v>145.447</v>
      </c>
      <c r="Q58">
        <v>132.09</v>
      </c>
      <c r="R58">
        <v>1.9750000000000001</v>
      </c>
      <c r="S58">
        <v>0.41802168499999998</v>
      </c>
      <c r="T58">
        <v>31.315999999999999</v>
      </c>
      <c r="U58">
        <v>3.4000000000000002E-2</v>
      </c>
      <c r="V58" s="1" t="str">
        <f>IF(Energy_data_1990___2020[[#This Row],[CO2 emissions from fuel combustion (MtCO2)]]&gt;Energy_data_1990___2020[[#Totals],[CO2 emissions from fuel combustion (MtCO2)]],"Above Average","")</f>
        <v/>
      </c>
      <c r="W58" s="1">
        <f>SUM(Energy_data_1990___2020[[#This Row],[Coal and lignite production (Mt)]]-Energy_data_1990___2020[[#This Row],[Coal and lignite domestic consumption (Mt)]])</f>
        <v>-1.9410000000000001</v>
      </c>
    </row>
    <row r="59" spans="1:23">
      <c r="A59" t="s">
        <v>25</v>
      </c>
      <c r="B59">
        <v>2016</v>
      </c>
      <c r="C59" t="s">
        <v>26</v>
      </c>
      <c r="D59">
        <v>179.07714089999999</v>
      </c>
      <c r="E59">
        <v>2.1716606430000001</v>
      </c>
      <c r="F59">
        <v>0.21179188299999999</v>
      </c>
      <c r="G59">
        <v>74.097249809999994</v>
      </c>
      <c r="H59">
        <v>82.460922929999995</v>
      </c>
      <c r="I59">
        <v>21.747045239999999</v>
      </c>
      <c r="J59">
        <v>19.945883800000001</v>
      </c>
      <c r="K59">
        <v>27.896999999999998</v>
      </c>
      <c r="L59">
        <v>27.324999999999999</v>
      </c>
      <c r="M59">
        <v>40.997010590000002</v>
      </c>
      <c r="N59">
        <v>51.203017170000003</v>
      </c>
      <c r="O59">
        <v>9.7525313000000002E-2</v>
      </c>
      <c r="P59">
        <v>147.22</v>
      </c>
      <c r="Q59">
        <v>131.95099999999999</v>
      </c>
      <c r="R59">
        <v>1.524</v>
      </c>
      <c r="S59">
        <v>0.38174161099999998</v>
      </c>
      <c r="T59">
        <v>30.129000000000001</v>
      </c>
      <c r="U59">
        <v>2.3E-2</v>
      </c>
      <c r="V59" s="1" t="str">
        <f>IF(Energy_data_1990___2020[[#This Row],[CO2 emissions from fuel combustion (MtCO2)]]&gt;Energy_data_1990___2020[[#Totals],[CO2 emissions from fuel combustion (MtCO2)]],"Above Average","")</f>
        <v/>
      </c>
      <c r="W59" s="1">
        <f>SUM(Energy_data_1990___2020[[#This Row],[Coal and lignite production (Mt)]]-Energy_data_1990___2020[[#This Row],[Coal and lignite domestic consumption (Mt)]])</f>
        <v>-1.5010000000000001</v>
      </c>
    </row>
    <row r="60" spans="1:23">
      <c r="A60" t="s">
        <v>25</v>
      </c>
      <c r="B60">
        <v>2017</v>
      </c>
      <c r="C60" t="s">
        <v>26</v>
      </c>
      <c r="D60">
        <v>174.80985390000001</v>
      </c>
      <c r="E60">
        <v>2.1198941269999998</v>
      </c>
      <c r="F60">
        <v>0.201371252</v>
      </c>
      <c r="G60">
        <v>73.152940999999998</v>
      </c>
      <c r="H60">
        <v>82.461596409999999</v>
      </c>
      <c r="I60">
        <v>23.47851739</v>
      </c>
      <c r="J60">
        <v>19.608020570000001</v>
      </c>
      <c r="K60">
        <v>26.619911999999999</v>
      </c>
      <c r="L60">
        <v>26.820592000000001</v>
      </c>
      <c r="M60">
        <v>41.651479360000003</v>
      </c>
      <c r="N60">
        <v>51.85244307</v>
      </c>
      <c r="O60">
        <v>9.4991184000000006E-2</v>
      </c>
      <c r="P60">
        <v>145.644665</v>
      </c>
      <c r="Q60">
        <v>129.022333</v>
      </c>
      <c r="R60">
        <v>1.5589710000000001</v>
      </c>
      <c r="S60">
        <v>0.43125300900000002</v>
      </c>
      <c r="T60">
        <v>28.532651999999999</v>
      </c>
      <c r="U60">
        <v>1.9643000000000001E-2</v>
      </c>
      <c r="V60" s="1" t="str">
        <f>IF(Energy_data_1990___2020[[#This Row],[CO2 emissions from fuel combustion (MtCO2)]]&gt;Energy_data_1990___2020[[#Totals],[CO2 emissions from fuel combustion (MtCO2)]],"Above Average","")</f>
        <v/>
      </c>
      <c r="W60" s="1">
        <f>SUM(Energy_data_1990___2020[[#This Row],[Coal and lignite production (Mt)]]-Energy_data_1990___2020[[#This Row],[Coal and lignite domestic consumption (Mt)]])</f>
        <v>-1.539328</v>
      </c>
    </row>
    <row r="61" spans="1:23">
      <c r="A61" t="s">
        <v>25</v>
      </c>
      <c r="B61">
        <v>2018</v>
      </c>
      <c r="C61" t="s">
        <v>26</v>
      </c>
      <c r="D61">
        <v>171.41187339999999</v>
      </c>
      <c r="E61">
        <v>2.1397226159999998</v>
      </c>
      <c r="F61">
        <v>0.202482154</v>
      </c>
      <c r="G61">
        <v>74.925667200000007</v>
      </c>
      <c r="H61">
        <v>80.109389969999995</v>
      </c>
      <c r="I61">
        <v>24.147252569999999</v>
      </c>
      <c r="J61">
        <v>19.473883529999998</v>
      </c>
      <c r="K61">
        <v>25.499696</v>
      </c>
      <c r="L61">
        <v>25.38984</v>
      </c>
      <c r="M61">
        <v>42.710632169999997</v>
      </c>
      <c r="N61">
        <v>52.002587910000003</v>
      </c>
      <c r="O61">
        <v>9.4630094999999997E-2</v>
      </c>
      <c r="P61">
        <v>146.80029500000001</v>
      </c>
      <c r="Q61">
        <v>128.77270300000001</v>
      </c>
      <c r="R61">
        <v>1.703854</v>
      </c>
      <c r="S61">
        <v>1.036200915</v>
      </c>
      <c r="T61">
        <v>29.461334999999998</v>
      </c>
      <c r="U61">
        <v>0.06</v>
      </c>
      <c r="V61" s="1" t="str">
        <f>IF(Energy_data_1990___2020[[#This Row],[CO2 emissions from fuel combustion (MtCO2)]]&gt;Energy_data_1990___2020[[#Totals],[CO2 emissions from fuel combustion (MtCO2)]],"Above Average","")</f>
        <v/>
      </c>
      <c r="W61" s="1">
        <f>SUM(Energy_data_1990___2020[[#This Row],[Coal and lignite production (Mt)]]-Energy_data_1990___2020[[#This Row],[Coal and lignite domestic consumption (Mt)]])</f>
        <v>-1.6438539999999999</v>
      </c>
    </row>
    <row r="62" spans="1:23">
      <c r="A62" t="s">
        <v>25</v>
      </c>
      <c r="B62">
        <v>2019</v>
      </c>
      <c r="C62" t="s">
        <v>26</v>
      </c>
      <c r="D62">
        <v>192.21500839999999</v>
      </c>
      <c r="E62">
        <v>2.4344909210000001</v>
      </c>
      <c r="F62">
        <v>0.23189811799999999</v>
      </c>
      <c r="G62">
        <v>77.861535079999996</v>
      </c>
      <c r="H62">
        <v>78.954908689999996</v>
      </c>
      <c r="I62">
        <v>24.015061280000001</v>
      </c>
      <c r="J62">
        <v>19.137519600000001</v>
      </c>
      <c r="K62">
        <v>24.66572824</v>
      </c>
      <c r="L62">
        <v>25.634388749999999</v>
      </c>
      <c r="M62">
        <v>44.808238340000003</v>
      </c>
      <c r="N62">
        <v>51.724383109999998</v>
      </c>
      <c r="O62">
        <v>9.5255280999999997E-2</v>
      </c>
      <c r="P62">
        <v>139.555038</v>
      </c>
      <c r="Q62">
        <v>125.6475128</v>
      </c>
      <c r="R62">
        <v>1.0096941370000001</v>
      </c>
      <c r="S62">
        <v>2.8315593940000001</v>
      </c>
      <c r="T62">
        <v>30.779095999999999</v>
      </c>
      <c r="U62">
        <v>0.105</v>
      </c>
      <c r="V62" s="1" t="str">
        <f>IF(Energy_data_1990___2020[[#This Row],[CO2 emissions from fuel combustion (MtCO2)]]&gt;Energy_data_1990___2020[[#Totals],[CO2 emissions from fuel combustion (MtCO2)]],"Above Average","")</f>
        <v/>
      </c>
      <c r="W62" s="1">
        <f>SUM(Energy_data_1990___2020[[#This Row],[Coal and lignite production (Mt)]]-Energy_data_1990___2020[[#This Row],[Coal and lignite domestic consumption (Mt)]])</f>
        <v>-0.90469413700000012</v>
      </c>
    </row>
    <row r="63" spans="1:23">
      <c r="A63" t="s">
        <v>25</v>
      </c>
      <c r="B63">
        <v>2020</v>
      </c>
      <c r="C63" t="s">
        <v>26</v>
      </c>
      <c r="D63">
        <v>166.8502225</v>
      </c>
      <c r="E63">
        <v>2.317391781</v>
      </c>
      <c r="F63">
        <v>0.22491254699999999</v>
      </c>
      <c r="G63">
        <v>72.449192030000006</v>
      </c>
      <c r="H63">
        <v>71.999143099999998</v>
      </c>
      <c r="I63">
        <v>22.791098059999999</v>
      </c>
      <c r="J63">
        <v>21.229554100000001</v>
      </c>
      <c r="K63">
        <v>21.243107970000001</v>
      </c>
      <c r="L63">
        <v>22.026921640000001</v>
      </c>
      <c r="M63">
        <v>40.831469900000002</v>
      </c>
      <c r="N63">
        <v>48.681772340000002</v>
      </c>
      <c r="O63">
        <v>9.7054175000000006E-2</v>
      </c>
      <c r="P63">
        <v>142.76192560000001</v>
      </c>
      <c r="Q63">
        <v>124.0498386</v>
      </c>
      <c r="R63">
        <v>0.89833897200000001</v>
      </c>
      <c r="S63">
        <v>5.1712893050000002</v>
      </c>
      <c r="T63">
        <v>29.144183999999999</v>
      </c>
      <c r="U63">
        <v>9.3419965999999993E-2</v>
      </c>
      <c r="V63" s="1" t="str">
        <f>IF(Energy_data_1990___2020[[#This Row],[CO2 emissions from fuel combustion (MtCO2)]]&gt;Energy_data_1990___2020[[#Totals],[CO2 emissions from fuel combustion (MtCO2)]],"Above Average","")</f>
        <v/>
      </c>
      <c r="W63" s="1">
        <f>SUM(Energy_data_1990___2020[[#This Row],[Coal and lignite production (Mt)]]-Energy_data_1990___2020[[#This Row],[Coal and lignite domestic consumption (Mt)]])</f>
        <v>-0.80491900599999999</v>
      </c>
    </row>
    <row r="64" spans="1:23">
      <c r="A64" t="s">
        <v>27</v>
      </c>
      <c r="B64">
        <v>1990</v>
      </c>
      <c r="C64" t="s">
        <v>28</v>
      </c>
      <c r="D64">
        <v>261.38501869999999</v>
      </c>
      <c r="E64">
        <v>3.0342179979999999</v>
      </c>
      <c r="F64">
        <v>0.50765139800000003</v>
      </c>
      <c r="G64">
        <v>157.52583960000001</v>
      </c>
      <c r="H64">
        <v>86.145761059999998</v>
      </c>
      <c r="I64">
        <v>10.08263503</v>
      </c>
      <c r="J64">
        <v>19.27076083</v>
      </c>
      <c r="K64">
        <v>31.085999999999999</v>
      </c>
      <c r="L64">
        <v>32.781999999999996</v>
      </c>
      <c r="M64">
        <v>20.475012899999999</v>
      </c>
      <c r="N64">
        <v>17.683994089999999</v>
      </c>
      <c r="O64">
        <v>0.167308808</v>
      </c>
      <c r="P64">
        <v>155.01900000000001</v>
      </c>
      <c r="Q64">
        <v>134.339</v>
      </c>
      <c r="R64">
        <v>94.1</v>
      </c>
      <c r="S64">
        <v>0</v>
      </c>
      <c r="T64">
        <v>27.492999999999999</v>
      </c>
      <c r="U64">
        <v>204.56200000000001</v>
      </c>
      <c r="V64" s="1" t="str">
        <f>IF(Energy_data_1990___2020[[#This Row],[CO2 emissions from fuel combustion (MtCO2)]]&gt;Energy_data_1990___2020[[#Totals],[CO2 emissions from fuel combustion (MtCO2)]],"Above Average","")</f>
        <v/>
      </c>
      <c r="W64" s="1">
        <f>SUM(Energy_data_1990___2020[[#This Row],[Coal and lignite production (Mt)]]-Energy_data_1990___2020[[#This Row],[Coal and lignite domestic consumption (Mt)]])</f>
        <v>110.46200000000002</v>
      </c>
    </row>
    <row r="65" spans="1:23">
      <c r="A65" t="s">
        <v>27</v>
      </c>
      <c r="B65">
        <v>1991</v>
      </c>
      <c r="C65" t="s">
        <v>28</v>
      </c>
      <c r="D65">
        <v>262.7206999</v>
      </c>
      <c r="E65">
        <v>3.0860659450000001</v>
      </c>
      <c r="F65">
        <v>0.51228044399999995</v>
      </c>
      <c r="G65">
        <v>167.01535190000001</v>
      </c>
      <c r="H65">
        <v>85.1312657</v>
      </c>
      <c r="I65">
        <v>10.758969</v>
      </c>
      <c r="J65">
        <v>19.808693290000001</v>
      </c>
      <c r="K65">
        <v>30.515999999999998</v>
      </c>
      <c r="L65">
        <v>33.475000000000001</v>
      </c>
      <c r="M65">
        <v>21.311006089999999</v>
      </c>
      <c r="N65">
        <v>16.55100127</v>
      </c>
      <c r="O65">
        <v>0.16599789300000001</v>
      </c>
      <c r="P65">
        <v>156.81800000000001</v>
      </c>
      <c r="Q65">
        <v>136.94900000000001</v>
      </c>
      <c r="R65">
        <v>97.971999999999994</v>
      </c>
      <c r="S65">
        <v>0</v>
      </c>
      <c r="T65">
        <v>27.513000000000002</v>
      </c>
      <c r="U65">
        <v>219.607</v>
      </c>
      <c r="V65" s="1" t="str">
        <f>IF(Energy_data_1990___2020[[#This Row],[CO2 emissions from fuel combustion (MtCO2)]]&gt;Energy_data_1990___2020[[#Totals],[CO2 emissions from fuel combustion (MtCO2)]],"Above Average","")</f>
        <v/>
      </c>
      <c r="W65" s="1">
        <f>SUM(Energy_data_1990___2020[[#This Row],[Coal and lignite production (Mt)]]-Energy_data_1990___2020[[#This Row],[Coal and lignite domestic consumption (Mt)]])</f>
        <v>121.63500000000001</v>
      </c>
    </row>
    <row r="66" spans="1:23">
      <c r="A66" t="s">
        <v>27</v>
      </c>
      <c r="B66">
        <v>1992</v>
      </c>
      <c r="C66" t="s">
        <v>28</v>
      </c>
      <c r="D66">
        <v>266.70948479999998</v>
      </c>
      <c r="E66">
        <v>3.0763387010000001</v>
      </c>
      <c r="F66">
        <v>0.517921619</v>
      </c>
      <c r="G66">
        <v>172.14556339999999</v>
      </c>
      <c r="H66">
        <v>86.697048249999995</v>
      </c>
      <c r="I66">
        <v>10.3030493</v>
      </c>
      <c r="J66">
        <v>19.807925050000001</v>
      </c>
      <c r="K66">
        <v>30.352</v>
      </c>
      <c r="L66">
        <v>32.862000000000002</v>
      </c>
      <c r="M66">
        <v>22.789006069999999</v>
      </c>
      <c r="N66">
        <v>17.094992250000001</v>
      </c>
      <c r="O66">
        <v>0.16835650099999999</v>
      </c>
      <c r="P66">
        <v>159.54499999999999</v>
      </c>
      <c r="Q66">
        <v>138.566</v>
      </c>
      <c r="R66">
        <v>100.72</v>
      </c>
      <c r="S66">
        <v>0</v>
      </c>
      <c r="T66">
        <v>26.927</v>
      </c>
      <c r="U66">
        <v>228.339</v>
      </c>
      <c r="V66" s="1" t="str">
        <f>IF(Energy_data_1990___2020[[#This Row],[CO2 emissions from fuel combustion (MtCO2)]]&gt;Energy_data_1990___2020[[#Totals],[CO2 emissions from fuel combustion (MtCO2)]],"Above Average","")</f>
        <v/>
      </c>
      <c r="W66" s="1">
        <f>SUM(Energy_data_1990___2020[[#This Row],[Coal and lignite production (Mt)]]-Energy_data_1990___2020[[#This Row],[Coal and lignite domestic consumption (Mt)]])</f>
        <v>127.619</v>
      </c>
    </row>
    <row r="67" spans="1:23">
      <c r="A67" t="s">
        <v>27</v>
      </c>
      <c r="B67">
        <v>1993</v>
      </c>
      <c r="C67" t="s">
        <v>28</v>
      </c>
      <c r="D67">
        <v>270.70512350000001</v>
      </c>
      <c r="E67">
        <v>2.969222593</v>
      </c>
      <c r="F67">
        <v>0.50531934499999998</v>
      </c>
      <c r="G67">
        <v>174.93376660000001</v>
      </c>
      <c r="H67">
        <v>91.170370349999999</v>
      </c>
      <c r="I67">
        <v>10.775435379999999</v>
      </c>
      <c r="J67">
        <v>19.69135288</v>
      </c>
      <c r="K67">
        <v>31.08</v>
      </c>
      <c r="L67">
        <v>34.414999999999999</v>
      </c>
      <c r="M67">
        <v>24.46000317</v>
      </c>
      <c r="N67">
        <v>17.843992480000001</v>
      </c>
      <c r="O67">
        <v>0.17018574</v>
      </c>
      <c r="P67">
        <v>163.65</v>
      </c>
      <c r="Q67">
        <v>142.69</v>
      </c>
      <c r="R67">
        <v>98.927000000000007</v>
      </c>
      <c r="S67">
        <v>6.7216619999999998E-3</v>
      </c>
      <c r="T67">
        <v>26.654</v>
      </c>
      <c r="U67">
        <v>226.065</v>
      </c>
      <c r="V67" s="1" t="str">
        <f>IF(Energy_data_1990___2020[[#This Row],[CO2 emissions from fuel combustion (MtCO2)]]&gt;Energy_data_1990___2020[[#Totals],[CO2 emissions from fuel combustion (MtCO2)]],"Above Average","")</f>
        <v/>
      </c>
      <c r="W67" s="1">
        <f>SUM(Energy_data_1990___2020[[#This Row],[Coal and lignite production (Mt)]]-Energy_data_1990___2020[[#This Row],[Coal and lignite domestic consumption (Mt)]])</f>
        <v>127.13799999999999</v>
      </c>
    </row>
    <row r="68" spans="1:23">
      <c r="A68" t="s">
        <v>27</v>
      </c>
      <c r="B68">
        <v>1994</v>
      </c>
      <c r="C68" t="s">
        <v>28</v>
      </c>
      <c r="D68">
        <v>275.24760570000001</v>
      </c>
      <c r="E68">
        <v>3.0153045440000001</v>
      </c>
      <c r="F68">
        <v>0.49411942599999997</v>
      </c>
      <c r="G68">
        <v>173.46790590000001</v>
      </c>
      <c r="H68">
        <v>91.283517680000003</v>
      </c>
      <c r="I68">
        <v>10.35213749</v>
      </c>
      <c r="J68">
        <v>19.743029969999998</v>
      </c>
      <c r="K68">
        <v>31.884</v>
      </c>
      <c r="L68">
        <v>35.08</v>
      </c>
      <c r="M68">
        <v>26.404031280000002</v>
      </c>
      <c r="N68">
        <v>18.725985739999999</v>
      </c>
      <c r="O68">
        <v>0.16387048800000001</v>
      </c>
      <c r="P68">
        <v>167.46299999999999</v>
      </c>
      <c r="Q68">
        <v>146.499</v>
      </c>
      <c r="R68">
        <v>99.435000000000002</v>
      </c>
      <c r="S68">
        <v>1.0151495999999999E-2</v>
      </c>
      <c r="T68">
        <v>25.067</v>
      </c>
      <c r="U68">
        <v>225.40199999999999</v>
      </c>
      <c r="V68" s="1" t="str">
        <f>IF(Energy_data_1990___2020[[#This Row],[CO2 emissions from fuel combustion (MtCO2)]]&gt;Energy_data_1990___2020[[#Totals],[CO2 emissions from fuel combustion (MtCO2)]],"Above Average","")</f>
        <v/>
      </c>
      <c r="W68" s="1">
        <f>SUM(Energy_data_1990___2020[[#This Row],[Coal and lignite production (Mt)]]-Energy_data_1990___2020[[#This Row],[Coal and lignite domestic consumption (Mt)]])</f>
        <v>125.96699999999998</v>
      </c>
    </row>
    <row r="69" spans="1:23">
      <c r="A69" t="s">
        <v>27</v>
      </c>
      <c r="B69">
        <v>1995</v>
      </c>
      <c r="C69" t="s">
        <v>28</v>
      </c>
      <c r="D69">
        <v>285.40071640000002</v>
      </c>
      <c r="E69">
        <v>3.0839290410000002</v>
      </c>
      <c r="F69">
        <v>0.49341828599999998</v>
      </c>
      <c r="G69">
        <v>186.906487</v>
      </c>
      <c r="H69">
        <v>92.544514669999998</v>
      </c>
      <c r="I69">
        <v>9.8089039549999999</v>
      </c>
      <c r="J69">
        <v>19.66450567</v>
      </c>
      <c r="K69">
        <v>33.027999999999999</v>
      </c>
      <c r="L69">
        <v>35.982999999999997</v>
      </c>
      <c r="M69">
        <v>29.260009409999999</v>
      </c>
      <c r="N69">
        <v>20.095978200000001</v>
      </c>
      <c r="O69">
        <v>0.159996641</v>
      </c>
      <c r="P69">
        <v>173.15899999999999</v>
      </c>
      <c r="Q69">
        <v>151.119</v>
      </c>
      <c r="R69">
        <v>101.706</v>
      </c>
      <c r="S69">
        <v>1.328259E-2</v>
      </c>
      <c r="T69">
        <v>26.87</v>
      </c>
      <c r="U69">
        <v>241.80699999999999</v>
      </c>
      <c r="V69" s="1" t="str">
        <f>IF(Energy_data_1990___2020[[#This Row],[CO2 emissions from fuel combustion (MtCO2)]]&gt;Energy_data_1990___2020[[#Totals],[CO2 emissions from fuel combustion (MtCO2)]],"Above Average","")</f>
        <v/>
      </c>
      <c r="W69" s="1">
        <f>SUM(Energy_data_1990___2020[[#This Row],[Coal and lignite production (Mt)]]-Energy_data_1990___2020[[#This Row],[Coal and lignite domestic consumption (Mt)]])</f>
        <v>140.101</v>
      </c>
    </row>
    <row r="70" spans="1:23">
      <c r="A70" t="s">
        <v>27</v>
      </c>
      <c r="B70">
        <v>1996</v>
      </c>
      <c r="C70" t="s">
        <v>28</v>
      </c>
      <c r="D70">
        <v>295.35614809999998</v>
      </c>
      <c r="E70">
        <v>2.983712116</v>
      </c>
      <c r="F70">
        <v>0.49156395800000002</v>
      </c>
      <c r="G70">
        <v>189.76361829999999</v>
      </c>
      <c r="H70">
        <v>98.989492499999997</v>
      </c>
      <c r="I70">
        <v>9.3948130049999996</v>
      </c>
      <c r="J70">
        <v>19.62757804</v>
      </c>
      <c r="K70">
        <v>34.229999999999997</v>
      </c>
      <c r="L70">
        <v>37.238999999999997</v>
      </c>
      <c r="M70">
        <v>30.14799528</v>
      </c>
      <c r="N70">
        <v>20.365010649999999</v>
      </c>
      <c r="O70">
        <v>0.164749124</v>
      </c>
      <c r="P70">
        <v>177.59800000000001</v>
      </c>
      <c r="Q70">
        <v>155.14699999999999</v>
      </c>
      <c r="R70">
        <v>109.236</v>
      </c>
      <c r="S70">
        <v>1.4639805000000001E-2</v>
      </c>
      <c r="T70">
        <v>26.366</v>
      </c>
      <c r="U70">
        <v>247.149</v>
      </c>
      <c r="V70" s="1" t="str">
        <f>IF(Energy_data_1990___2020[[#This Row],[CO2 emissions from fuel combustion (MtCO2)]]&gt;Energy_data_1990___2020[[#Totals],[CO2 emissions from fuel combustion (MtCO2)]],"Above Average","")</f>
        <v/>
      </c>
      <c r="W70" s="1">
        <f>SUM(Energy_data_1990___2020[[#This Row],[Coal and lignite production (Mt)]]-Energy_data_1990___2020[[#This Row],[Coal and lignite domestic consumption (Mt)]])</f>
        <v>137.91300000000001</v>
      </c>
    </row>
    <row r="71" spans="1:23">
      <c r="A71" t="s">
        <v>27</v>
      </c>
      <c r="B71">
        <v>1997</v>
      </c>
      <c r="C71" t="s">
        <v>28</v>
      </c>
      <c r="D71">
        <v>304.25032249999998</v>
      </c>
      <c r="E71">
        <v>3.002280915</v>
      </c>
      <c r="F71">
        <v>0.48704787700000002</v>
      </c>
      <c r="G71">
        <v>201.0230459</v>
      </c>
      <c r="H71">
        <v>101.3397251</v>
      </c>
      <c r="I71">
        <v>9.7557109200000003</v>
      </c>
      <c r="J71">
        <v>19.806314960000002</v>
      </c>
      <c r="K71">
        <v>34.353000000000002</v>
      </c>
      <c r="L71">
        <v>36.936</v>
      </c>
      <c r="M71">
        <v>29.907967429999999</v>
      </c>
      <c r="N71">
        <v>20.330998439999998</v>
      </c>
      <c r="O71">
        <v>0.16222595100000001</v>
      </c>
      <c r="P71">
        <v>182.93899999999999</v>
      </c>
      <c r="Q71">
        <v>160.346</v>
      </c>
      <c r="R71">
        <v>114.97799999999999</v>
      </c>
      <c r="S71">
        <v>1.6398909E-2</v>
      </c>
      <c r="T71">
        <v>26.686</v>
      </c>
      <c r="U71">
        <v>264.45800000000003</v>
      </c>
      <c r="V71" s="1" t="str">
        <f>IF(Energy_data_1990___2020[[#This Row],[CO2 emissions from fuel combustion (MtCO2)]]&gt;Energy_data_1990___2020[[#Totals],[CO2 emissions from fuel combustion (MtCO2)]],"Above Average","")</f>
        <v/>
      </c>
      <c r="W71" s="1">
        <f>SUM(Energy_data_1990___2020[[#This Row],[Coal and lignite production (Mt)]]-Energy_data_1990___2020[[#This Row],[Coal and lignite domestic consumption (Mt)]])</f>
        <v>149.48000000000002</v>
      </c>
    </row>
    <row r="72" spans="1:23">
      <c r="A72" t="s">
        <v>27</v>
      </c>
      <c r="B72">
        <v>1998</v>
      </c>
      <c r="C72" t="s">
        <v>28</v>
      </c>
      <c r="D72">
        <v>324.09466379999998</v>
      </c>
      <c r="E72">
        <v>3.1171219059999999</v>
      </c>
      <c r="F72">
        <v>0.49610954200000001</v>
      </c>
      <c r="G72">
        <v>216.48398839999999</v>
      </c>
      <c r="H72">
        <v>103.9724058</v>
      </c>
      <c r="I72">
        <v>8.5980887450000001</v>
      </c>
      <c r="J72">
        <v>20.72839918</v>
      </c>
      <c r="K72">
        <v>34.783999999999999</v>
      </c>
      <c r="L72">
        <v>37.829000000000001</v>
      </c>
      <c r="M72">
        <v>31.05403768</v>
      </c>
      <c r="N72">
        <v>21.156015790000001</v>
      </c>
      <c r="O72">
        <v>0.15915628500000001</v>
      </c>
      <c r="P72">
        <v>195.369</v>
      </c>
      <c r="Q72">
        <v>170.054</v>
      </c>
      <c r="R72">
        <v>125.08</v>
      </c>
      <c r="S72">
        <v>1.8426669999999999E-2</v>
      </c>
      <c r="T72">
        <v>29.431999999999999</v>
      </c>
      <c r="U72">
        <v>287.351</v>
      </c>
      <c r="V72" s="1" t="str">
        <f>IF(Energy_data_1990___2020[[#This Row],[CO2 emissions from fuel combustion (MtCO2)]]&gt;Energy_data_1990___2020[[#Totals],[CO2 emissions from fuel combustion (MtCO2)]],"Above Average","")</f>
        <v/>
      </c>
      <c r="W72" s="1">
        <f>SUM(Energy_data_1990___2020[[#This Row],[Coal and lignite production (Mt)]]-Energy_data_1990___2020[[#This Row],[Coal and lignite domestic consumption (Mt)]])</f>
        <v>162.27100000000002</v>
      </c>
    </row>
    <row r="73" spans="1:23">
      <c r="A73" t="s">
        <v>27</v>
      </c>
      <c r="B73">
        <v>1999</v>
      </c>
      <c r="C73" t="s">
        <v>28</v>
      </c>
      <c r="D73">
        <v>329.71066969999998</v>
      </c>
      <c r="E73">
        <v>3.1037396180000001</v>
      </c>
      <c r="F73">
        <v>0.48033601399999998</v>
      </c>
      <c r="G73">
        <v>213.54113050000001</v>
      </c>
      <c r="H73">
        <v>106.23013210000001</v>
      </c>
      <c r="I73">
        <v>8.7054567200000008</v>
      </c>
      <c r="J73">
        <v>21.054225689999999</v>
      </c>
      <c r="K73">
        <v>35.232999999999997</v>
      </c>
      <c r="L73">
        <v>37.036000000000001</v>
      </c>
      <c r="M73">
        <v>31.61302916</v>
      </c>
      <c r="N73">
        <v>21.494984169999999</v>
      </c>
      <c r="O73">
        <v>0.15476040899999999</v>
      </c>
      <c r="P73">
        <v>203.98699999999999</v>
      </c>
      <c r="Q73">
        <v>175.45699999999999</v>
      </c>
      <c r="R73">
        <v>127.636</v>
      </c>
      <c r="S73">
        <v>3.0394094E-2</v>
      </c>
      <c r="T73">
        <v>23.657</v>
      </c>
      <c r="U73">
        <v>291.00200000000001</v>
      </c>
      <c r="V73" s="1" t="str">
        <f>IF(Energy_data_1990___2020[[#This Row],[CO2 emissions from fuel combustion (MtCO2)]]&gt;Energy_data_1990___2020[[#Totals],[CO2 emissions from fuel combustion (MtCO2)]],"Above Average","")</f>
        <v/>
      </c>
      <c r="W73" s="1">
        <f>SUM(Energy_data_1990___2020[[#This Row],[Coal and lignite production (Mt)]]-Energy_data_1990___2020[[#This Row],[Coal and lignite domestic consumption (Mt)]])</f>
        <v>163.36600000000001</v>
      </c>
    </row>
    <row r="74" spans="1:23">
      <c r="A74" t="s">
        <v>27</v>
      </c>
      <c r="B74">
        <v>2000</v>
      </c>
      <c r="C74" t="s">
        <v>28</v>
      </c>
      <c r="D74">
        <v>335.85441020000002</v>
      </c>
      <c r="E74">
        <v>3.1053535299999999</v>
      </c>
      <c r="F74">
        <v>0.47077060199999998</v>
      </c>
      <c r="G74">
        <v>233.5537483</v>
      </c>
      <c r="H74">
        <v>108.1533574</v>
      </c>
      <c r="I74">
        <v>8.5385113019999999</v>
      </c>
      <c r="J74">
        <v>21.053350510000001</v>
      </c>
      <c r="K74">
        <v>36.314</v>
      </c>
      <c r="L74">
        <v>38.298000000000002</v>
      </c>
      <c r="M74">
        <v>32.819008779999997</v>
      </c>
      <c r="N74">
        <v>22.56700266</v>
      </c>
      <c r="O74">
        <v>0.15159967999999999</v>
      </c>
      <c r="P74">
        <v>210.22399999999999</v>
      </c>
      <c r="Q74">
        <v>179.852</v>
      </c>
      <c r="R74">
        <v>127.871</v>
      </c>
      <c r="S74">
        <v>4.5665575999999999E-2</v>
      </c>
      <c r="T74">
        <v>32.076000000000001</v>
      </c>
      <c r="U74">
        <v>306.72199999999998</v>
      </c>
      <c r="V74" s="1" t="str">
        <f>IF(Energy_data_1990___2020[[#This Row],[CO2 emissions from fuel combustion (MtCO2)]]&gt;Energy_data_1990___2020[[#Totals],[CO2 emissions from fuel combustion (MtCO2)]],"Above Average","")</f>
        <v/>
      </c>
      <c r="W74" s="1">
        <f>SUM(Energy_data_1990___2020[[#This Row],[Coal and lignite production (Mt)]]-Energy_data_1990___2020[[#This Row],[Coal and lignite domestic consumption (Mt)]])</f>
        <v>178.851</v>
      </c>
    </row>
    <row r="75" spans="1:23">
      <c r="A75" t="s">
        <v>27</v>
      </c>
      <c r="B75">
        <v>2001</v>
      </c>
      <c r="C75" t="s">
        <v>28</v>
      </c>
      <c r="D75">
        <v>342.11317750000001</v>
      </c>
      <c r="E75">
        <v>3.2335566660000001</v>
      </c>
      <c r="F75">
        <v>0.47045956</v>
      </c>
      <c r="G75">
        <v>249.17866599999999</v>
      </c>
      <c r="H75">
        <v>105.8008913</v>
      </c>
      <c r="I75">
        <v>8.2498274980000001</v>
      </c>
      <c r="J75">
        <v>21.82788914</v>
      </c>
      <c r="K75">
        <v>36.076000000000001</v>
      </c>
      <c r="L75">
        <v>37.156999999999996</v>
      </c>
      <c r="M75">
        <v>33.561022379999997</v>
      </c>
      <c r="N75">
        <v>23.81699669</v>
      </c>
      <c r="O75">
        <v>0.145492907</v>
      </c>
      <c r="P75">
        <v>224.63499999999999</v>
      </c>
      <c r="Q75">
        <v>188.035</v>
      </c>
      <c r="R75">
        <v>128.06700000000001</v>
      </c>
      <c r="S75">
        <v>0.11307231700000001</v>
      </c>
      <c r="T75">
        <v>33.137999999999998</v>
      </c>
      <c r="U75">
        <v>329.17700000000002</v>
      </c>
      <c r="V75" s="1" t="str">
        <f>IF(Energy_data_1990___2020[[#This Row],[CO2 emissions from fuel combustion (MtCO2)]]&gt;Energy_data_1990___2020[[#Totals],[CO2 emissions from fuel combustion (MtCO2)]],"Above Average","")</f>
        <v/>
      </c>
      <c r="W75" s="1">
        <f>SUM(Energy_data_1990___2020[[#This Row],[Coal and lignite production (Mt)]]-Energy_data_1990___2020[[#This Row],[Coal and lignite domestic consumption (Mt)]])</f>
        <v>201.11</v>
      </c>
    </row>
    <row r="76" spans="1:23">
      <c r="A76" t="s">
        <v>27</v>
      </c>
      <c r="B76">
        <v>2002</v>
      </c>
      <c r="C76" t="s">
        <v>28</v>
      </c>
      <c r="D76">
        <v>354.10295000000002</v>
      </c>
      <c r="E76">
        <v>3.2349645100000002</v>
      </c>
      <c r="F76">
        <v>0.46821244200000001</v>
      </c>
      <c r="G76">
        <v>254.07236330000001</v>
      </c>
      <c r="H76">
        <v>109.46115450000001</v>
      </c>
      <c r="I76">
        <v>7.9325877260000004</v>
      </c>
      <c r="J76">
        <v>23.29377113</v>
      </c>
      <c r="K76">
        <v>35.554000000000002</v>
      </c>
      <c r="L76">
        <v>37.098999999999997</v>
      </c>
      <c r="M76">
        <v>34.969995789999999</v>
      </c>
      <c r="N76">
        <v>26.15797281</v>
      </c>
      <c r="O76">
        <v>0.144734955</v>
      </c>
      <c r="P76">
        <v>227.55500000000001</v>
      </c>
      <c r="Q76">
        <v>197.74199999999999</v>
      </c>
      <c r="R76">
        <v>130.01400000000001</v>
      </c>
      <c r="S76">
        <v>0.18193403799999999</v>
      </c>
      <c r="T76">
        <v>31.321000000000002</v>
      </c>
      <c r="U76">
        <v>339.89800000000002</v>
      </c>
      <c r="V76" s="1" t="str">
        <f>IF(Energy_data_1990___2020[[#This Row],[CO2 emissions from fuel combustion (MtCO2)]]&gt;Energy_data_1990___2020[[#Totals],[CO2 emissions from fuel combustion (MtCO2)]],"Above Average","")</f>
        <v/>
      </c>
      <c r="W76" s="1">
        <f>SUM(Energy_data_1990___2020[[#This Row],[Coal and lignite production (Mt)]]-Energy_data_1990___2020[[#This Row],[Coal and lignite domestic consumption (Mt)]])</f>
        <v>209.88400000000001</v>
      </c>
    </row>
    <row r="77" spans="1:23">
      <c r="A77" t="s">
        <v>27</v>
      </c>
      <c r="B77">
        <v>2003</v>
      </c>
      <c r="C77" t="s">
        <v>28</v>
      </c>
      <c r="D77">
        <v>353.90459520000002</v>
      </c>
      <c r="E77">
        <v>3.1956708659999999</v>
      </c>
      <c r="F77">
        <v>0.45438257399999998</v>
      </c>
      <c r="G77">
        <v>252.42086739999999</v>
      </c>
      <c r="H77">
        <v>110.7450079</v>
      </c>
      <c r="I77">
        <v>8.5302669360000003</v>
      </c>
      <c r="J77">
        <v>22.01474962</v>
      </c>
      <c r="K77">
        <v>37.930999999999997</v>
      </c>
      <c r="L77">
        <v>37.014000000000003</v>
      </c>
      <c r="M77">
        <v>34.104989770000003</v>
      </c>
      <c r="N77">
        <v>25.004004460000001</v>
      </c>
      <c r="O77">
        <v>0.142186913</v>
      </c>
      <c r="P77">
        <v>220.80199999999999</v>
      </c>
      <c r="Q77">
        <v>193.791</v>
      </c>
      <c r="R77">
        <v>130.25381680000001</v>
      </c>
      <c r="S77">
        <v>0.34510556999999997</v>
      </c>
      <c r="T77">
        <v>30.545999999999999</v>
      </c>
      <c r="U77">
        <v>341.661</v>
      </c>
      <c r="V77" s="1" t="str">
        <f>IF(Energy_data_1990___2020[[#This Row],[CO2 emissions from fuel combustion (MtCO2)]]&gt;Energy_data_1990___2020[[#Totals],[CO2 emissions from fuel combustion (MtCO2)]],"Above Average","")</f>
        <v/>
      </c>
      <c r="W77" s="1">
        <f>SUM(Energy_data_1990___2020[[#This Row],[Coal and lignite production (Mt)]]-Energy_data_1990___2020[[#This Row],[Coal and lignite domestic consumption (Mt)]])</f>
        <v>211.40718319999999</v>
      </c>
    </row>
    <row r="78" spans="1:23">
      <c r="A78" t="s">
        <v>27</v>
      </c>
      <c r="B78">
        <v>2004</v>
      </c>
      <c r="C78" t="s">
        <v>28</v>
      </c>
      <c r="D78">
        <v>367.32125960000002</v>
      </c>
      <c r="E78">
        <v>3.2603510990000002</v>
      </c>
      <c r="F78">
        <v>0.45322752199999999</v>
      </c>
      <c r="G78">
        <v>254.1965198</v>
      </c>
      <c r="H78">
        <v>112.6630993</v>
      </c>
      <c r="I78">
        <v>8.2754756300000007</v>
      </c>
      <c r="J78">
        <v>22.01027728</v>
      </c>
      <c r="K78">
        <v>39.183</v>
      </c>
      <c r="L78">
        <v>36.503999999999998</v>
      </c>
      <c r="M78">
        <v>34.279997129999998</v>
      </c>
      <c r="N78">
        <v>25.757011599999998</v>
      </c>
      <c r="O78">
        <v>0.13901187600000001</v>
      </c>
      <c r="P78">
        <v>228.434</v>
      </c>
      <c r="Q78">
        <v>198.26599999999999</v>
      </c>
      <c r="R78">
        <v>135.62447649999999</v>
      </c>
      <c r="S78">
        <v>0.338828721</v>
      </c>
      <c r="T78">
        <v>27.079000000000001</v>
      </c>
      <c r="U78">
        <v>350.30399999999997</v>
      </c>
      <c r="V78" s="1" t="str">
        <f>IF(Energy_data_1990___2020[[#This Row],[CO2 emissions from fuel combustion (MtCO2)]]&gt;Energy_data_1990___2020[[#Totals],[CO2 emissions from fuel combustion (MtCO2)]],"Above Average","")</f>
        <v/>
      </c>
      <c r="W78" s="1">
        <f>SUM(Energy_data_1990___2020[[#This Row],[Coal and lignite production (Mt)]]-Energy_data_1990___2020[[#This Row],[Coal and lignite domestic consumption (Mt)]])</f>
        <v>214.67952349999999</v>
      </c>
    </row>
    <row r="79" spans="1:23">
      <c r="A79" t="s">
        <v>27</v>
      </c>
      <c r="B79">
        <v>2005</v>
      </c>
      <c r="C79" t="s">
        <v>28</v>
      </c>
      <c r="D79">
        <v>372.7144164</v>
      </c>
      <c r="E79">
        <v>3.284255307</v>
      </c>
      <c r="F79">
        <v>0.44560411900000002</v>
      </c>
      <c r="G79">
        <v>265.1662402</v>
      </c>
      <c r="H79">
        <v>113.485214</v>
      </c>
      <c r="I79">
        <v>8.9245571829999992</v>
      </c>
      <c r="J79">
        <v>22.06223761</v>
      </c>
      <c r="K79">
        <v>39.432000000000002</v>
      </c>
      <c r="L79">
        <v>34.768000000000001</v>
      </c>
      <c r="M79">
        <v>35.840031060000001</v>
      </c>
      <c r="N79">
        <v>25.493019820000001</v>
      </c>
      <c r="O79">
        <v>0.135678891</v>
      </c>
      <c r="P79">
        <v>228.65</v>
      </c>
      <c r="Q79">
        <v>198.66</v>
      </c>
      <c r="R79">
        <v>137.55693170000001</v>
      </c>
      <c r="S79">
        <v>0.421605073</v>
      </c>
      <c r="T79">
        <v>24.355</v>
      </c>
      <c r="U79">
        <v>370.59</v>
      </c>
      <c r="V79" s="1" t="str">
        <f>IF(Energy_data_1990___2020[[#This Row],[CO2 emissions from fuel combustion (MtCO2)]]&gt;Energy_data_1990___2020[[#Totals],[CO2 emissions from fuel combustion (MtCO2)]],"Above Average","")</f>
        <v/>
      </c>
      <c r="W79" s="1">
        <f>SUM(Energy_data_1990___2020[[#This Row],[Coal and lignite production (Mt)]]-Energy_data_1990___2020[[#This Row],[Coal and lignite domestic consumption (Mt)]])</f>
        <v>233.03306829999997</v>
      </c>
    </row>
    <row r="80" spans="1:23">
      <c r="A80" t="s">
        <v>27</v>
      </c>
      <c r="B80">
        <v>2006</v>
      </c>
      <c r="C80" t="s">
        <v>28</v>
      </c>
      <c r="D80">
        <v>376.43355860000003</v>
      </c>
      <c r="E80">
        <v>3.1917189829999999</v>
      </c>
      <c r="F80">
        <v>0.43781547500000001</v>
      </c>
      <c r="G80">
        <v>269.84824909999998</v>
      </c>
      <c r="H80">
        <v>117.9406961</v>
      </c>
      <c r="I80">
        <v>9.3394322039999995</v>
      </c>
      <c r="J80">
        <v>22.451845939999998</v>
      </c>
      <c r="K80">
        <v>39.783999999999999</v>
      </c>
      <c r="L80">
        <v>32.429000000000002</v>
      </c>
      <c r="M80">
        <v>42.701052179999998</v>
      </c>
      <c r="N80">
        <v>25.698972950000002</v>
      </c>
      <c r="O80">
        <v>0.13717231299999999</v>
      </c>
      <c r="P80">
        <v>232.83</v>
      </c>
      <c r="Q80">
        <v>202.51499999999999</v>
      </c>
      <c r="R80">
        <v>140.22349349999999</v>
      </c>
      <c r="S80">
        <v>0.77524373999999996</v>
      </c>
      <c r="T80">
        <v>22.013000000000002</v>
      </c>
      <c r="U80">
        <v>374.65300000000002</v>
      </c>
      <c r="V80" s="1" t="str">
        <f>IF(Energy_data_1990___2020[[#This Row],[CO2 emissions from fuel combustion (MtCO2)]]&gt;Energy_data_1990___2020[[#Totals],[CO2 emissions from fuel combustion (MtCO2)]],"Above Average","")</f>
        <v/>
      </c>
      <c r="W80" s="1">
        <f>SUM(Energy_data_1990___2020[[#This Row],[Coal and lignite production (Mt)]]-Energy_data_1990___2020[[#This Row],[Coal and lignite domestic consumption (Mt)]])</f>
        <v>234.42950650000003</v>
      </c>
    </row>
    <row r="81" spans="1:23">
      <c r="A81" t="s">
        <v>27</v>
      </c>
      <c r="B81">
        <v>2007</v>
      </c>
      <c r="C81" t="s">
        <v>28</v>
      </c>
      <c r="D81">
        <v>387.05713930000002</v>
      </c>
      <c r="E81">
        <v>3.1942742709999998</v>
      </c>
      <c r="F81">
        <v>0.43350604100000001</v>
      </c>
      <c r="G81">
        <v>286.13320249999998</v>
      </c>
      <c r="H81">
        <v>121.1721682</v>
      </c>
      <c r="I81">
        <v>8.7149454879999997</v>
      </c>
      <c r="J81">
        <v>22.819790520000002</v>
      </c>
      <c r="K81">
        <v>40.290999999999997</v>
      </c>
      <c r="L81">
        <v>33.058999999999997</v>
      </c>
      <c r="M81">
        <v>45.300977349999997</v>
      </c>
      <c r="N81">
        <v>29.293972709999998</v>
      </c>
      <c r="O81">
        <v>0.135713469</v>
      </c>
      <c r="P81">
        <v>243.15700000000001</v>
      </c>
      <c r="Q81">
        <v>212.14500000000001</v>
      </c>
      <c r="R81">
        <v>141.04836710000001</v>
      </c>
      <c r="S81">
        <v>1.119030092</v>
      </c>
      <c r="T81">
        <v>24.584</v>
      </c>
      <c r="U81">
        <v>391.03899999999999</v>
      </c>
      <c r="V81" s="1" t="str">
        <f>IF(Energy_data_1990___2020[[#This Row],[CO2 emissions from fuel combustion (MtCO2)]]&gt;Energy_data_1990___2020[[#Totals],[CO2 emissions from fuel combustion (MtCO2)]],"Above Average","")</f>
        <v/>
      </c>
      <c r="W81" s="1">
        <f>SUM(Energy_data_1990___2020[[#This Row],[Coal and lignite production (Mt)]]-Energy_data_1990___2020[[#This Row],[Coal and lignite domestic consumption (Mt)]])</f>
        <v>249.99063289999998</v>
      </c>
    </row>
    <row r="82" spans="1:23">
      <c r="A82" t="s">
        <v>27</v>
      </c>
      <c r="B82">
        <v>2008</v>
      </c>
      <c r="C82" t="s">
        <v>28</v>
      </c>
      <c r="D82">
        <v>390.33537910000001</v>
      </c>
      <c r="E82">
        <v>3.104012145</v>
      </c>
      <c r="F82">
        <v>0.42175042499999998</v>
      </c>
      <c r="G82">
        <v>286.79457739999998</v>
      </c>
      <c r="H82">
        <v>125.7518852</v>
      </c>
      <c r="I82">
        <v>8.1711694300000008</v>
      </c>
      <c r="J82">
        <v>22.558736010000001</v>
      </c>
      <c r="K82">
        <v>41.448</v>
      </c>
      <c r="L82">
        <v>33.204999999999998</v>
      </c>
      <c r="M82">
        <v>47.200059029999998</v>
      </c>
      <c r="N82">
        <v>30.284997799999999</v>
      </c>
      <c r="O82">
        <v>0.135872672</v>
      </c>
      <c r="P82">
        <v>243.221</v>
      </c>
      <c r="Q82">
        <v>213.00899999999999</v>
      </c>
      <c r="R82">
        <v>140.20716569999999</v>
      </c>
      <c r="S82">
        <v>1.3243099899999999</v>
      </c>
      <c r="T82">
        <v>22.635999999999999</v>
      </c>
      <c r="U82">
        <v>392.25099999999998</v>
      </c>
      <c r="V82" s="1" t="str">
        <f>IF(Energy_data_1990___2020[[#This Row],[CO2 emissions from fuel combustion (MtCO2)]]&gt;Energy_data_1990___2020[[#Totals],[CO2 emissions from fuel combustion (MtCO2)]],"Above Average","")</f>
        <v/>
      </c>
      <c r="W82" s="1">
        <f>SUM(Energy_data_1990___2020[[#This Row],[Coal and lignite production (Mt)]]-Energy_data_1990___2020[[#This Row],[Coal and lignite domestic consumption (Mt)]])</f>
        <v>252.04383429999999</v>
      </c>
    </row>
    <row r="83" spans="1:23">
      <c r="A83" t="s">
        <v>27</v>
      </c>
      <c r="B83">
        <v>2009</v>
      </c>
      <c r="C83" t="s">
        <v>28</v>
      </c>
      <c r="D83">
        <v>393.23459639999999</v>
      </c>
      <c r="E83">
        <v>3.1225928330000001</v>
      </c>
      <c r="F83">
        <v>0.41680970000000001</v>
      </c>
      <c r="G83">
        <v>295.30198239999999</v>
      </c>
      <c r="H83">
        <v>125.9320755</v>
      </c>
      <c r="I83">
        <v>7.5229084229999996</v>
      </c>
      <c r="J83">
        <v>23.59932542</v>
      </c>
      <c r="K83">
        <v>40.564</v>
      </c>
      <c r="L83">
        <v>33.235999999999997</v>
      </c>
      <c r="M83">
        <v>49.46901304</v>
      </c>
      <c r="N83">
        <v>31.16999397</v>
      </c>
      <c r="O83">
        <v>0.133481924</v>
      </c>
      <c r="P83">
        <v>248.16200000000001</v>
      </c>
      <c r="Q83">
        <v>217.36099999999999</v>
      </c>
      <c r="R83">
        <v>144.48941379999999</v>
      </c>
      <c r="S83">
        <v>1.6058058850000001</v>
      </c>
      <c r="T83">
        <v>23.26</v>
      </c>
      <c r="U83">
        <v>407.89800000000002</v>
      </c>
      <c r="V83" s="1" t="str">
        <f>IF(Energy_data_1990___2020[[#This Row],[CO2 emissions from fuel combustion (MtCO2)]]&gt;Energy_data_1990___2020[[#Totals],[CO2 emissions from fuel combustion (MtCO2)]],"Above Average","")</f>
        <v/>
      </c>
      <c r="W83" s="1">
        <f>SUM(Energy_data_1990___2020[[#This Row],[Coal and lignite production (Mt)]]-Energy_data_1990___2020[[#This Row],[Coal and lignite domestic consumption (Mt)]])</f>
        <v>263.40858620000006</v>
      </c>
    </row>
    <row r="84" spans="1:23">
      <c r="A84" t="s">
        <v>27</v>
      </c>
      <c r="B84">
        <v>2010</v>
      </c>
      <c r="C84" t="s">
        <v>28</v>
      </c>
      <c r="D84">
        <v>391.18767509999998</v>
      </c>
      <c r="E84">
        <v>3.0987269149999999</v>
      </c>
      <c r="F84">
        <v>0.40624116500000002</v>
      </c>
      <c r="G84">
        <v>323.35201169999999</v>
      </c>
      <c r="H84">
        <v>126.2414165</v>
      </c>
      <c r="I84">
        <v>8.6154966539999993</v>
      </c>
      <c r="J84">
        <v>23.510948379999999</v>
      </c>
      <c r="K84">
        <v>42.228999999999999</v>
      </c>
      <c r="L84">
        <v>32.984000000000002</v>
      </c>
      <c r="M84">
        <v>52.65097213</v>
      </c>
      <c r="N84">
        <v>31.961973929999999</v>
      </c>
      <c r="O84">
        <v>0.13109937599999999</v>
      </c>
      <c r="P84">
        <v>252.661</v>
      </c>
      <c r="Q84">
        <v>220.84800000000001</v>
      </c>
      <c r="R84">
        <v>133.1583589</v>
      </c>
      <c r="S84">
        <v>2.1538741629999998</v>
      </c>
      <c r="T84">
        <v>24.236000000000001</v>
      </c>
      <c r="U84">
        <v>435.87599999999998</v>
      </c>
      <c r="V84" s="1" t="str">
        <f>IF(Energy_data_1990___2020[[#This Row],[CO2 emissions from fuel combustion (MtCO2)]]&gt;Energy_data_1990___2020[[#Totals],[CO2 emissions from fuel combustion (MtCO2)]],"Above Average","")</f>
        <v/>
      </c>
      <c r="W84" s="1">
        <f>SUM(Energy_data_1990___2020[[#This Row],[Coal and lignite production (Mt)]]-Energy_data_1990___2020[[#This Row],[Coal and lignite domestic consumption (Mt)]])</f>
        <v>302.71764109999998</v>
      </c>
    </row>
    <row r="85" spans="1:23">
      <c r="A85" t="s">
        <v>27</v>
      </c>
      <c r="B85">
        <v>2011</v>
      </c>
      <c r="C85" t="s">
        <v>28</v>
      </c>
      <c r="D85">
        <v>389.39080410000003</v>
      </c>
      <c r="E85">
        <v>3.0667189509999999</v>
      </c>
      <c r="F85">
        <v>0.39465562399999998</v>
      </c>
      <c r="G85">
        <v>312.78628550000002</v>
      </c>
      <c r="H85">
        <v>126.9730974</v>
      </c>
      <c r="I85">
        <v>10.395555910000001</v>
      </c>
      <c r="J85">
        <v>23.015807909999999</v>
      </c>
      <c r="K85">
        <v>44.948999999999998</v>
      </c>
      <c r="L85">
        <v>34.466999999999999</v>
      </c>
      <c r="M85">
        <v>56.398066159999999</v>
      </c>
      <c r="N85">
        <v>32.383018409999998</v>
      </c>
      <c r="O85">
        <v>0.12868985699999999</v>
      </c>
      <c r="P85">
        <v>253.82</v>
      </c>
      <c r="Q85">
        <v>224.154</v>
      </c>
      <c r="R85">
        <v>128.28800000000001</v>
      </c>
      <c r="S85">
        <v>2.9457883539999998</v>
      </c>
      <c r="T85">
        <v>23.242000000000001</v>
      </c>
      <c r="U85">
        <v>414.803</v>
      </c>
      <c r="V85" s="1" t="str">
        <f>IF(Energy_data_1990___2020[[#This Row],[CO2 emissions from fuel combustion (MtCO2)]]&gt;Energy_data_1990___2020[[#Totals],[CO2 emissions from fuel combustion (MtCO2)]],"Above Average","")</f>
        <v/>
      </c>
      <c r="W85" s="1">
        <f>SUM(Energy_data_1990___2020[[#This Row],[Coal and lignite production (Mt)]]-Energy_data_1990___2020[[#This Row],[Coal and lignite domestic consumption (Mt)]])</f>
        <v>286.51499999999999</v>
      </c>
    </row>
    <row r="86" spans="1:23">
      <c r="A86" t="s">
        <v>27</v>
      </c>
      <c r="B86">
        <v>2012</v>
      </c>
      <c r="C86" t="s">
        <v>28</v>
      </c>
      <c r="D86">
        <v>388.00395730000002</v>
      </c>
      <c r="E86">
        <v>3.0894016309999999</v>
      </c>
      <c r="F86">
        <v>0.378422808</v>
      </c>
      <c r="G86">
        <v>320.95059409999999</v>
      </c>
      <c r="H86">
        <v>125.5919442</v>
      </c>
      <c r="I86">
        <v>10.529587810000001</v>
      </c>
      <c r="J86">
        <v>22.553205129999998</v>
      </c>
      <c r="K86">
        <v>46.122</v>
      </c>
      <c r="L86">
        <v>32.887</v>
      </c>
      <c r="M86">
        <v>54.017007679999999</v>
      </c>
      <c r="N86">
        <v>33.863960159999998</v>
      </c>
      <c r="O86">
        <v>0.12249064799999999</v>
      </c>
      <c r="P86">
        <v>250.93100000000001</v>
      </c>
      <c r="Q86">
        <v>222.05099999999999</v>
      </c>
      <c r="R86">
        <v>126.977</v>
      </c>
      <c r="S86">
        <v>3.7046040549999999</v>
      </c>
      <c r="T86">
        <v>21.800999999999998</v>
      </c>
      <c r="U86">
        <v>434.7</v>
      </c>
      <c r="V86" s="1" t="str">
        <f>IF(Energy_data_1990___2020[[#This Row],[CO2 emissions from fuel combustion (MtCO2)]]&gt;Energy_data_1990___2020[[#Totals],[CO2 emissions from fuel combustion (MtCO2)]],"Above Average","")</f>
        <v/>
      </c>
      <c r="W86" s="1">
        <f>SUM(Energy_data_1990___2020[[#This Row],[Coal and lignite production (Mt)]]-Energy_data_1990___2020[[#This Row],[Coal and lignite domestic consumption (Mt)]])</f>
        <v>307.72299999999996</v>
      </c>
    </row>
    <row r="87" spans="1:23">
      <c r="A87" t="s">
        <v>27</v>
      </c>
      <c r="B87">
        <v>2013</v>
      </c>
      <c r="C87" t="s">
        <v>28</v>
      </c>
      <c r="D87">
        <v>385.04168420000002</v>
      </c>
      <c r="E87">
        <v>3.0202000409999998</v>
      </c>
      <c r="F87">
        <v>0.36607120100000001</v>
      </c>
      <c r="G87">
        <v>346.44434710000002</v>
      </c>
      <c r="H87">
        <v>127.4888017</v>
      </c>
      <c r="I87">
        <v>13.17640454</v>
      </c>
      <c r="J87">
        <v>22.085536749999999</v>
      </c>
      <c r="K87">
        <v>47.558</v>
      </c>
      <c r="L87">
        <v>32.893999999999998</v>
      </c>
      <c r="M87">
        <v>62.974966469999998</v>
      </c>
      <c r="N87">
        <v>36.001990970000001</v>
      </c>
      <c r="O87">
        <v>0.121207601</v>
      </c>
      <c r="P87">
        <v>249.37</v>
      </c>
      <c r="Q87">
        <v>221.83099999999999</v>
      </c>
      <c r="R87">
        <v>116.078</v>
      </c>
      <c r="S87">
        <v>4.5859566110000003</v>
      </c>
      <c r="T87">
        <v>19.14</v>
      </c>
      <c r="U87">
        <v>458.43</v>
      </c>
      <c r="V87" s="1" t="str">
        <f>IF(Energy_data_1990___2020[[#This Row],[CO2 emissions from fuel combustion (MtCO2)]]&gt;Energy_data_1990___2020[[#Totals],[CO2 emissions from fuel combustion (MtCO2)]],"Above Average","")</f>
        <v/>
      </c>
      <c r="W87" s="1">
        <f>SUM(Energy_data_1990___2020[[#This Row],[Coal and lignite production (Mt)]]-Energy_data_1990___2020[[#This Row],[Coal and lignite domestic consumption (Mt)]])</f>
        <v>342.35199999999998</v>
      </c>
    </row>
    <row r="88" spans="1:23">
      <c r="A88" t="s">
        <v>27</v>
      </c>
      <c r="B88">
        <v>2014</v>
      </c>
      <c r="C88" t="s">
        <v>28</v>
      </c>
      <c r="D88">
        <v>375.33121699999998</v>
      </c>
      <c r="E88">
        <v>2.958720343</v>
      </c>
      <c r="F88">
        <v>0.34802332200000002</v>
      </c>
      <c r="G88">
        <v>368.18461129999997</v>
      </c>
      <c r="H88">
        <v>126.85592870000001</v>
      </c>
      <c r="I88">
        <v>14.6271383</v>
      </c>
      <c r="J88">
        <v>21.866477700000001</v>
      </c>
      <c r="K88">
        <v>47.170999999999999</v>
      </c>
      <c r="L88">
        <v>30.864999999999998</v>
      </c>
      <c r="M88">
        <v>64.767983040000004</v>
      </c>
      <c r="N88">
        <v>36.73004366</v>
      </c>
      <c r="O88">
        <v>0.117626299</v>
      </c>
      <c r="P88">
        <v>247.45099999999999</v>
      </c>
      <c r="Q88">
        <v>221.33099999999999</v>
      </c>
      <c r="R88">
        <v>111.004</v>
      </c>
      <c r="S88">
        <v>5.7639694319999997</v>
      </c>
      <c r="T88">
        <v>18.306999999999999</v>
      </c>
      <c r="U88">
        <v>488.79399999999998</v>
      </c>
      <c r="V88" s="1" t="str">
        <f>IF(Energy_data_1990___2020[[#This Row],[CO2 emissions from fuel combustion (MtCO2)]]&gt;Energy_data_1990___2020[[#Totals],[CO2 emissions from fuel combustion (MtCO2)]],"Above Average","")</f>
        <v/>
      </c>
      <c r="W88" s="1">
        <f>SUM(Energy_data_1990___2020[[#This Row],[Coal and lignite production (Mt)]]-Energy_data_1990___2020[[#This Row],[Coal and lignite domestic consumption (Mt)]])</f>
        <v>377.78999999999996</v>
      </c>
    </row>
    <row r="89" spans="1:23">
      <c r="A89" t="s">
        <v>27</v>
      </c>
      <c r="B89">
        <v>2015</v>
      </c>
      <c r="C89" t="s">
        <v>28</v>
      </c>
      <c r="D89">
        <v>380.822048</v>
      </c>
      <c r="E89">
        <v>3.006401071</v>
      </c>
      <c r="F89">
        <v>0.34553824799999999</v>
      </c>
      <c r="G89">
        <v>383.01841009999998</v>
      </c>
      <c r="H89">
        <v>126.67040729999999</v>
      </c>
      <c r="I89">
        <v>13.34208381</v>
      </c>
      <c r="J89">
        <v>22.338755339999999</v>
      </c>
      <c r="K89">
        <v>46.405999999999999</v>
      </c>
      <c r="L89">
        <v>27.497</v>
      </c>
      <c r="M89">
        <v>68.055971880000001</v>
      </c>
      <c r="N89">
        <v>37.134021109999999</v>
      </c>
      <c r="O89">
        <v>0.114934182</v>
      </c>
      <c r="P89">
        <v>251.41499999999999</v>
      </c>
      <c r="Q89">
        <v>225.31800000000001</v>
      </c>
      <c r="R89">
        <v>115.97</v>
      </c>
      <c r="S89">
        <v>6.5592745060000004</v>
      </c>
      <c r="T89">
        <v>17.241</v>
      </c>
      <c r="U89">
        <v>512.43100000000004</v>
      </c>
      <c r="V89" s="1" t="str">
        <f>IF(Energy_data_1990___2020[[#This Row],[CO2 emissions from fuel combustion (MtCO2)]]&gt;Energy_data_1990___2020[[#Totals],[CO2 emissions from fuel combustion (MtCO2)]],"Above Average","")</f>
        <v/>
      </c>
      <c r="W89" s="1">
        <f>SUM(Energy_data_1990___2020[[#This Row],[Coal and lignite production (Mt)]]-Energy_data_1990___2020[[#This Row],[Coal and lignite domestic consumption (Mt)]])</f>
        <v>396.46100000000001</v>
      </c>
    </row>
    <row r="90" spans="1:23">
      <c r="A90" t="s">
        <v>27</v>
      </c>
      <c r="B90">
        <v>2016</v>
      </c>
      <c r="C90" t="s">
        <v>28</v>
      </c>
      <c r="D90">
        <v>390.70921370000002</v>
      </c>
      <c r="E90">
        <v>3.0880179000000001</v>
      </c>
      <c r="F90">
        <v>0.34495191800000002</v>
      </c>
      <c r="G90">
        <v>387.16149619999999</v>
      </c>
      <c r="H90">
        <v>126.524271</v>
      </c>
      <c r="I90">
        <v>14.596025149999999</v>
      </c>
      <c r="J90">
        <v>22.19368338</v>
      </c>
      <c r="K90">
        <v>46.643999999999998</v>
      </c>
      <c r="L90">
        <v>23.516999999999999</v>
      </c>
      <c r="M90">
        <v>81.384994579999997</v>
      </c>
      <c r="N90">
        <v>38.134967349999997</v>
      </c>
      <c r="O90">
        <v>0.11170658</v>
      </c>
      <c r="P90">
        <v>256.56299999999999</v>
      </c>
      <c r="Q90">
        <v>226.38399999999999</v>
      </c>
      <c r="R90">
        <v>118.357</v>
      </c>
      <c r="S90">
        <v>7.1748459440000003</v>
      </c>
      <c r="T90">
        <v>16.8</v>
      </c>
      <c r="U90">
        <v>500.34300000000002</v>
      </c>
      <c r="V90" s="1" t="str">
        <f>IF(Energy_data_1990___2020[[#This Row],[CO2 emissions from fuel combustion (MtCO2)]]&gt;Energy_data_1990___2020[[#Totals],[CO2 emissions from fuel combustion (MtCO2)]],"Above Average","")</f>
        <v/>
      </c>
      <c r="W90" s="1">
        <f>SUM(Energy_data_1990___2020[[#This Row],[Coal and lignite production (Mt)]]-Energy_data_1990___2020[[#This Row],[Coal and lignite domestic consumption (Mt)]])</f>
        <v>381.98599999999999</v>
      </c>
    </row>
    <row r="91" spans="1:23">
      <c r="A91" t="s">
        <v>27</v>
      </c>
      <c r="B91">
        <v>2017</v>
      </c>
      <c r="C91" t="s">
        <v>28</v>
      </c>
      <c r="D91">
        <v>393.51011999999997</v>
      </c>
      <c r="E91">
        <v>3.083428133</v>
      </c>
      <c r="F91">
        <v>0.33938935999999997</v>
      </c>
      <c r="G91">
        <v>405.60192139999998</v>
      </c>
      <c r="H91">
        <v>127.62098</v>
      </c>
      <c r="I91">
        <v>15.67893527</v>
      </c>
      <c r="J91">
        <v>21.98724039</v>
      </c>
      <c r="K91">
        <v>47.361238999999998</v>
      </c>
      <c r="L91">
        <v>22.670871000000002</v>
      </c>
      <c r="M91">
        <v>103.6130994</v>
      </c>
      <c r="N91">
        <v>39.174051040000002</v>
      </c>
      <c r="O91">
        <v>0.110068841</v>
      </c>
      <c r="P91">
        <v>258.01900000000001</v>
      </c>
      <c r="Q91">
        <v>229.874</v>
      </c>
      <c r="R91">
        <v>113.99299999999999</v>
      </c>
      <c r="S91">
        <v>8.0105077530000006</v>
      </c>
      <c r="T91">
        <v>14.529712</v>
      </c>
      <c r="U91">
        <v>499.46699999999998</v>
      </c>
      <c r="V91" s="1" t="str">
        <f>IF(Energy_data_1990___2020[[#This Row],[CO2 emissions from fuel combustion (MtCO2)]]&gt;Energy_data_1990___2020[[#Totals],[CO2 emissions from fuel combustion (MtCO2)]],"Above Average","")</f>
        <v/>
      </c>
      <c r="W91" s="1">
        <f>SUM(Energy_data_1990___2020[[#This Row],[Coal and lignite production (Mt)]]-Energy_data_1990___2020[[#This Row],[Coal and lignite domestic consumption (Mt)]])</f>
        <v>385.47399999999999</v>
      </c>
    </row>
    <row r="92" spans="1:23">
      <c r="A92" t="s">
        <v>27</v>
      </c>
      <c r="B92">
        <v>2018</v>
      </c>
      <c r="C92" t="s">
        <v>28</v>
      </c>
      <c r="D92">
        <v>392.11924010000001</v>
      </c>
      <c r="E92">
        <v>3.0627587570000001</v>
      </c>
      <c r="F92">
        <v>0.32852989700000002</v>
      </c>
      <c r="G92">
        <v>411.54242169999998</v>
      </c>
      <c r="H92">
        <v>128.02811819999999</v>
      </c>
      <c r="I92">
        <v>17.100514180000001</v>
      </c>
      <c r="J92">
        <v>21.914660550000001</v>
      </c>
      <c r="K92">
        <v>48.433926999999997</v>
      </c>
      <c r="L92">
        <v>22.962195999999999</v>
      </c>
      <c r="M92">
        <v>117.9458881</v>
      </c>
      <c r="N92">
        <v>40.471968680000003</v>
      </c>
      <c r="O92">
        <v>0.107266005</v>
      </c>
      <c r="P92">
        <v>260.99799999999999</v>
      </c>
      <c r="Q92">
        <v>233.553</v>
      </c>
      <c r="R92">
        <v>105.21</v>
      </c>
      <c r="S92">
        <v>9.6142499200000007</v>
      </c>
      <c r="T92">
        <v>13.071529999999999</v>
      </c>
      <c r="U92">
        <v>485.09</v>
      </c>
      <c r="V92" s="1" t="str">
        <f>IF(Energy_data_1990___2020[[#This Row],[CO2 emissions from fuel combustion (MtCO2)]]&gt;Energy_data_1990___2020[[#Totals],[CO2 emissions from fuel combustion (MtCO2)]],"Above Average","")</f>
        <v/>
      </c>
      <c r="W92" s="1">
        <f>SUM(Energy_data_1990___2020[[#This Row],[Coal and lignite production (Mt)]]-Energy_data_1990___2020[[#This Row],[Coal and lignite domestic consumption (Mt)]])</f>
        <v>379.88</v>
      </c>
    </row>
    <row r="93" spans="1:23">
      <c r="A93" t="s">
        <v>27</v>
      </c>
      <c r="B93">
        <v>2019</v>
      </c>
      <c r="C93" t="s">
        <v>28</v>
      </c>
      <c r="D93">
        <v>387.31629830000003</v>
      </c>
      <c r="E93">
        <v>3.0104239430000002</v>
      </c>
      <c r="F93">
        <v>0.31863968399999998</v>
      </c>
      <c r="G93">
        <v>448.70370709999997</v>
      </c>
      <c r="H93">
        <v>128.65839020000001</v>
      </c>
      <c r="I93">
        <v>19.703368560000001</v>
      </c>
      <c r="J93">
        <v>21.963209599999999</v>
      </c>
      <c r="K93">
        <v>48.404081560000002</v>
      </c>
      <c r="L93">
        <v>23.329469410000002</v>
      </c>
      <c r="M93">
        <v>142.39545190000001</v>
      </c>
      <c r="N93">
        <v>41.382125219999999</v>
      </c>
      <c r="O93">
        <v>0.10584545200000001</v>
      </c>
      <c r="P93">
        <v>263.96797980000002</v>
      </c>
      <c r="Q93">
        <v>236.0824241</v>
      </c>
      <c r="R93">
        <v>102.63139219999999</v>
      </c>
      <c r="S93">
        <v>12.329866150000001</v>
      </c>
      <c r="T93">
        <v>15.4634678</v>
      </c>
      <c r="U93">
        <v>503.18400000000003</v>
      </c>
      <c r="V93" s="1" t="str">
        <f>IF(Energy_data_1990___2020[[#This Row],[CO2 emissions from fuel combustion (MtCO2)]]&gt;Energy_data_1990___2020[[#Totals],[CO2 emissions from fuel combustion (MtCO2)]],"Above Average","")</f>
        <v/>
      </c>
      <c r="W93" s="1">
        <f>SUM(Energy_data_1990___2020[[#This Row],[Coal and lignite production (Mt)]]-Energy_data_1990___2020[[#This Row],[Coal and lignite domestic consumption (Mt)]])</f>
        <v>400.55260780000003</v>
      </c>
    </row>
    <row r="94" spans="1:23">
      <c r="A94" t="s">
        <v>27</v>
      </c>
      <c r="B94">
        <v>2020</v>
      </c>
      <c r="C94" t="s">
        <v>28</v>
      </c>
      <c r="D94">
        <v>371.77014220000001</v>
      </c>
      <c r="E94">
        <v>2.948092919</v>
      </c>
      <c r="F94">
        <v>0.31369238900000002</v>
      </c>
      <c r="G94">
        <v>443.43505219999997</v>
      </c>
      <c r="H94">
        <v>126.10530009999999</v>
      </c>
      <c r="I94">
        <v>22.97536903</v>
      </c>
      <c r="J94">
        <v>22.01596851</v>
      </c>
      <c r="K94">
        <v>46.514254010000002</v>
      </c>
      <c r="L94">
        <v>20.997451460000001</v>
      </c>
      <c r="M94">
        <v>153.64439909999999</v>
      </c>
      <c r="N94">
        <v>40.059112759999998</v>
      </c>
      <c r="O94">
        <v>0.106405191</v>
      </c>
      <c r="P94">
        <v>256.5199222</v>
      </c>
      <c r="Q94">
        <v>229.3901339</v>
      </c>
      <c r="R94">
        <v>98.814398979999993</v>
      </c>
      <c r="S94">
        <v>15.25098098</v>
      </c>
      <c r="T94">
        <v>18.238758229999998</v>
      </c>
      <c r="U94">
        <v>473.26079379999999</v>
      </c>
      <c r="V94" s="1" t="str">
        <f>IF(Energy_data_1990___2020[[#This Row],[CO2 emissions from fuel combustion (MtCO2)]]&gt;Energy_data_1990___2020[[#Totals],[CO2 emissions from fuel combustion (MtCO2)]],"Above Average","")</f>
        <v/>
      </c>
      <c r="W94" s="1">
        <f>SUM(Energy_data_1990___2020[[#This Row],[Coal and lignite production (Mt)]]-Energy_data_1990___2020[[#This Row],[Coal and lignite domestic consumption (Mt)]])</f>
        <v>374.44639482000002</v>
      </c>
    </row>
    <row r="95" spans="1:23">
      <c r="A95" t="s">
        <v>29</v>
      </c>
      <c r="B95">
        <v>1990</v>
      </c>
      <c r="C95" t="s">
        <v>30</v>
      </c>
      <c r="D95">
        <v>106.4454169</v>
      </c>
      <c r="E95">
        <v>2.2227658250000002</v>
      </c>
      <c r="F95">
        <v>0.32184878</v>
      </c>
      <c r="G95">
        <v>13.10412024</v>
      </c>
      <c r="H95">
        <v>47.888722989999998</v>
      </c>
      <c r="I95">
        <v>1.6722360869999999</v>
      </c>
      <c r="J95">
        <v>14.70290453</v>
      </c>
      <c r="K95">
        <v>17.597000000000001</v>
      </c>
      <c r="L95">
        <v>29.37</v>
      </c>
      <c r="M95">
        <v>1.2E-2</v>
      </c>
      <c r="N95">
        <v>9.6082976599999999</v>
      </c>
      <c r="O95">
        <v>0.14479653000000001</v>
      </c>
      <c r="P95">
        <v>70.923000000000002</v>
      </c>
      <c r="Q95">
        <v>59.107999999999997</v>
      </c>
      <c r="R95">
        <v>16.620146479999999</v>
      </c>
      <c r="S95">
        <v>9.8698589999999999E-3</v>
      </c>
      <c r="T95">
        <v>0</v>
      </c>
      <c r="U95">
        <v>0</v>
      </c>
      <c r="V95" s="1" t="str">
        <f>IF(Energy_data_1990___2020[[#This Row],[CO2 emissions from fuel combustion (MtCO2)]]&gt;Energy_data_1990___2020[[#Totals],[CO2 emissions from fuel combustion (MtCO2)]],"Above Average","")</f>
        <v/>
      </c>
      <c r="W95" s="1">
        <f>SUM(Energy_data_1990___2020[[#This Row],[Coal and lignite production (Mt)]]-Energy_data_1990___2020[[#This Row],[Coal and lignite domestic consumption (Mt)]])</f>
        <v>-16.620146479999999</v>
      </c>
    </row>
    <row r="96" spans="1:23">
      <c r="A96" t="s">
        <v>29</v>
      </c>
      <c r="B96">
        <v>1991</v>
      </c>
      <c r="C96" t="s">
        <v>30</v>
      </c>
      <c r="D96">
        <v>111.1304056</v>
      </c>
      <c r="E96">
        <v>2.2204516239999998</v>
      </c>
      <c r="F96">
        <v>0.329965811</v>
      </c>
      <c r="G96">
        <v>12.972906999999999</v>
      </c>
      <c r="H96">
        <v>50.048559679999997</v>
      </c>
      <c r="I96">
        <v>1.7877001779999999</v>
      </c>
      <c r="J96">
        <v>14.55764168</v>
      </c>
      <c r="K96">
        <v>19.187999999999999</v>
      </c>
      <c r="L96">
        <v>32.494</v>
      </c>
      <c r="M96">
        <v>8.9999910000000006E-3</v>
      </c>
      <c r="N96">
        <v>10.243044530000001</v>
      </c>
      <c r="O96">
        <v>0.148603017</v>
      </c>
      <c r="P96">
        <v>71.936000000000007</v>
      </c>
      <c r="Q96">
        <v>61.783000000000001</v>
      </c>
      <c r="R96">
        <v>16.023028490000002</v>
      </c>
      <c r="S96">
        <v>1.1120995999999999E-2</v>
      </c>
      <c r="T96">
        <v>0</v>
      </c>
      <c r="U96">
        <v>0</v>
      </c>
      <c r="V96" s="1" t="str">
        <f>IF(Energy_data_1990___2020[[#This Row],[CO2 emissions from fuel combustion (MtCO2)]]&gt;Energy_data_1990___2020[[#Totals],[CO2 emissions from fuel combustion (MtCO2)]],"Above Average","")</f>
        <v/>
      </c>
      <c r="W96" s="1">
        <f>SUM(Energy_data_1990___2020[[#This Row],[Coal and lignite production (Mt)]]-Energy_data_1990___2020[[#This Row],[Coal and lignite domestic consumption (Mt)]])</f>
        <v>-16.023028490000002</v>
      </c>
    </row>
    <row r="97" spans="1:23">
      <c r="A97" t="s">
        <v>29</v>
      </c>
      <c r="B97">
        <v>1992</v>
      </c>
      <c r="C97" t="s">
        <v>30</v>
      </c>
      <c r="D97">
        <v>109.8310433</v>
      </c>
      <c r="E97">
        <v>2.168333133</v>
      </c>
      <c r="F97">
        <v>0.32119144300000002</v>
      </c>
      <c r="G97">
        <v>12.72497894</v>
      </c>
      <c r="H97">
        <v>50.652292119999998</v>
      </c>
      <c r="I97">
        <v>1.982692973</v>
      </c>
      <c r="J97">
        <v>14.96165304</v>
      </c>
      <c r="K97">
        <v>19.640999999999998</v>
      </c>
      <c r="L97">
        <v>32.222999999999999</v>
      </c>
      <c r="M97">
        <v>6.0000050000000001E-3</v>
      </c>
      <c r="N97">
        <v>10.55942188</v>
      </c>
      <c r="O97">
        <v>0.148128273</v>
      </c>
      <c r="P97">
        <v>72.224999999999994</v>
      </c>
      <c r="Q97">
        <v>63.871000000000002</v>
      </c>
      <c r="R97">
        <v>14.235689669999999</v>
      </c>
      <c r="S97">
        <v>1.2461059E-2</v>
      </c>
      <c r="T97">
        <v>0</v>
      </c>
      <c r="U97">
        <v>0</v>
      </c>
      <c r="V97" s="1" t="str">
        <f>IF(Energy_data_1990___2020[[#This Row],[CO2 emissions from fuel combustion (MtCO2)]]&gt;Energy_data_1990___2020[[#Totals],[CO2 emissions from fuel combustion (MtCO2)]],"Above Average","")</f>
        <v/>
      </c>
      <c r="W97" s="1">
        <f>SUM(Energy_data_1990___2020[[#This Row],[Coal and lignite production (Mt)]]-Energy_data_1990___2020[[#This Row],[Coal and lignite domestic consumption (Mt)]])</f>
        <v>-14.235689669999999</v>
      </c>
    </row>
    <row r="98" spans="1:23">
      <c r="A98" t="s">
        <v>29</v>
      </c>
      <c r="B98">
        <v>1993</v>
      </c>
      <c r="C98" t="s">
        <v>30</v>
      </c>
      <c r="D98">
        <v>108.2185758</v>
      </c>
      <c r="E98">
        <v>2.1903984090000002</v>
      </c>
      <c r="F98">
        <v>0.319549582</v>
      </c>
      <c r="G98">
        <v>12.10260263</v>
      </c>
      <c r="H98">
        <v>49.405886780000003</v>
      </c>
      <c r="I98">
        <v>1.797159556</v>
      </c>
      <c r="J98">
        <v>15.351587459999999</v>
      </c>
      <c r="K98">
        <v>19.167000000000002</v>
      </c>
      <c r="L98">
        <v>31.216000000000001</v>
      </c>
      <c r="M98">
        <v>4.0000000000000001E-3</v>
      </c>
      <c r="N98">
        <v>11.03637165</v>
      </c>
      <c r="O98">
        <v>0.145886511</v>
      </c>
      <c r="P98">
        <v>70.834000000000003</v>
      </c>
      <c r="Q98">
        <v>64.644000000000005</v>
      </c>
      <c r="R98">
        <v>13.51357655</v>
      </c>
      <c r="S98">
        <v>1.1294011E-2</v>
      </c>
      <c r="T98">
        <v>0</v>
      </c>
      <c r="U98">
        <v>2.3570000000000002</v>
      </c>
      <c r="V98" s="1" t="str">
        <f>IF(Energy_data_1990___2020[[#This Row],[CO2 emissions from fuel combustion (MtCO2)]]&gt;Energy_data_1990___2020[[#Totals],[CO2 emissions from fuel combustion (MtCO2)]],"Above Average","")</f>
        <v/>
      </c>
      <c r="W98" s="1">
        <f>SUM(Energy_data_1990___2020[[#This Row],[Coal and lignite production (Mt)]]-Energy_data_1990___2020[[#This Row],[Coal and lignite domestic consumption (Mt)]])</f>
        <v>-11.15657655</v>
      </c>
    </row>
    <row r="99" spans="1:23">
      <c r="A99" t="s">
        <v>29</v>
      </c>
      <c r="B99">
        <v>1994</v>
      </c>
      <c r="C99" t="s">
        <v>30</v>
      </c>
      <c r="D99">
        <v>113.5517455</v>
      </c>
      <c r="E99">
        <v>2.1643087489999999</v>
      </c>
      <c r="F99">
        <v>0.32481574099999999</v>
      </c>
      <c r="G99">
        <v>11.62765093</v>
      </c>
      <c r="H99">
        <v>52.465594639999999</v>
      </c>
      <c r="I99">
        <v>1.9922692200000001</v>
      </c>
      <c r="J99">
        <v>14.809461880000001</v>
      </c>
      <c r="K99">
        <v>21.558</v>
      </c>
      <c r="L99">
        <v>31.734999999999999</v>
      </c>
      <c r="M99">
        <v>1E-3</v>
      </c>
      <c r="N99">
        <v>11.23836661</v>
      </c>
      <c r="O99">
        <v>0.15007828300000001</v>
      </c>
      <c r="P99">
        <v>72.179000000000002</v>
      </c>
      <c r="Q99">
        <v>67.822000000000003</v>
      </c>
      <c r="R99">
        <v>14.47283569</v>
      </c>
      <c r="S99">
        <v>1.2469001E-2</v>
      </c>
      <c r="T99">
        <v>0</v>
      </c>
      <c r="U99">
        <v>2.1070000000000002</v>
      </c>
      <c r="V99" s="1" t="str">
        <f>IF(Energy_data_1990___2020[[#This Row],[CO2 emissions from fuel combustion (MtCO2)]]&gt;Energy_data_1990___2020[[#Totals],[CO2 emissions from fuel combustion (MtCO2)]],"Above Average","")</f>
        <v/>
      </c>
      <c r="W99" s="1">
        <f>SUM(Energy_data_1990___2020[[#This Row],[Coal and lignite production (Mt)]]-Energy_data_1990___2020[[#This Row],[Coal and lignite domestic consumption (Mt)]])</f>
        <v>-12.365835690000001</v>
      </c>
    </row>
    <row r="100" spans="1:23">
      <c r="A100" t="s">
        <v>29</v>
      </c>
      <c r="B100">
        <v>1995</v>
      </c>
      <c r="C100" t="s">
        <v>30</v>
      </c>
      <c r="D100">
        <v>113.96060540000001</v>
      </c>
      <c r="E100">
        <v>2.1364148250000001</v>
      </c>
      <c r="F100">
        <v>0.31839240299999999</v>
      </c>
      <c r="G100">
        <v>11.933697329999999</v>
      </c>
      <c r="H100">
        <v>53.341983999999997</v>
      </c>
      <c r="I100">
        <v>2.096548758</v>
      </c>
      <c r="J100">
        <v>14.9083141</v>
      </c>
      <c r="K100">
        <v>21.454999999999998</v>
      </c>
      <c r="L100">
        <v>28.940999999999999</v>
      </c>
      <c r="M100">
        <v>2.6315799999999999E-4</v>
      </c>
      <c r="N100">
        <v>12.755185409999999</v>
      </c>
      <c r="O100">
        <v>0.14903117099999999</v>
      </c>
      <c r="P100">
        <v>74.408000000000001</v>
      </c>
      <c r="Q100">
        <v>69.828999999999994</v>
      </c>
      <c r="R100">
        <v>13.79664914</v>
      </c>
      <c r="S100">
        <v>1.2095474E-2</v>
      </c>
      <c r="T100">
        <v>0</v>
      </c>
      <c r="U100">
        <v>1.1970000000000001</v>
      </c>
      <c r="V100" s="1" t="str">
        <f>IF(Energy_data_1990___2020[[#This Row],[CO2 emissions from fuel combustion (MtCO2)]]&gt;Energy_data_1990___2020[[#Totals],[CO2 emissions from fuel combustion (MtCO2)]],"Above Average","")</f>
        <v/>
      </c>
      <c r="W100" s="1">
        <f>SUM(Energy_data_1990___2020[[#This Row],[Coal and lignite production (Mt)]]-Energy_data_1990___2020[[#This Row],[Coal and lignite domestic consumption (Mt)]])</f>
        <v>-12.59964914</v>
      </c>
    </row>
    <row r="101" spans="1:23">
      <c r="A101" t="s">
        <v>29</v>
      </c>
      <c r="B101">
        <v>1996</v>
      </c>
      <c r="C101" t="s">
        <v>30</v>
      </c>
      <c r="D101">
        <v>119.4241091</v>
      </c>
      <c r="E101">
        <v>2.1271239959999999</v>
      </c>
      <c r="F101">
        <v>0.329305087</v>
      </c>
      <c r="G101">
        <v>12.355228719999999</v>
      </c>
      <c r="H101">
        <v>56.14346381</v>
      </c>
      <c r="I101">
        <v>2.0000262819999999</v>
      </c>
      <c r="J101">
        <v>14.42679143</v>
      </c>
      <c r="K101">
        <v>22.873999999999999</v>
      </c>
      <c r="L101">
        <v>35.164000000000001</v>
      </c>
      <c r="M101">
        <v>2E-3</v>
      </c>
      <c r="N101">
        <v>14.237328919999999</v>
      </c>
      <c r="O101">
        <v>0.15481236100000001</v>
      </c>
      <c r="P101">
        <v>76.099000000000004</v>
      </c>
      <c r="Q101">
        <v>71.405000000000001</v>
      </c>
      <c r="R101">
        <v>13.12545102</v>
      </c>
      <c r="S101">
        <v>1.0512621999999999E-2</v>
      </c>
      <c r="T101">
        <v>0</v>
      </c>
      <c r="U101">
        <v>0.97099999999999997</v>
      </c>
      <c r="V101" s="1" t="str">
        <f>IF(Energy_data_1990___2020[[#This Row],[CO2 emissions from fuel combustion (MtCO2)]]&gt;Energy_data_1990___2020[[#Totals],[CO2 emissions from fuel combustion (MtCO2)]],"Above Average","")</f>
        <v/>
      </c>
      <c r="W101" s="1">
        <f>SUM(Energy_data_1990___2020[[#This Row],[Coal and lignite production (Mt)]]-Energy_data_1990___2020[[#This Row],[Coal and lignite domestic consumption (Mt)]])</f>
        <v>-12.15445102</v>
      </c>
    </row>
    <row r="102" spans="1:23">
      <c r="A102" t="s">
        <v>29</v>
      </c>
      <c r="B102">
        <v>1997</v>
      </c>
      <c r="C102" t="s">
        <v>30</v>
      </c>
      <c r="D102">
        <v>115.9620097</v>
      </c>
      <c r="E102">
        <v>2.0581886639999998</v>
      </c>
      <c r="F102">
        <v>0.30807141300000002</v>
      </c>
      <c r="G102">
        <v>13.401386179999999</v>
      </c>
      <c r="H102">
        <v>56.34177845</v>
      </c>
      <c r="I102">
        <v>1.9788667179999999</v>
      </c>
      <c r="J102">
        <v>14.98568214</v>
      </c>
      <c r="K102">
        <v>22.89</v>
      </c>
      <c r="L102">
        <v>36.552999999999997</v>
      </c>
      <c r="M102">
        <v>1.5789499999999999E-4</v>
      </c>
      <c r="N102">
        <v>13.47588502</v>
      </c>
      <c r="O102">
        <v>0.14968084200000001</v>
      </c>
      <c r="P102">
        <v>78.832999999999998</v>
      </c>
      <c r="Q102">
        <v>73.320999999999998</v>
      </c>
      <c r="R102">
        <v>12.190577469999999</v>
      </c>
      <c r="S102">
        <v>1.0148034E-2</v>
      </c>
      <c r="T102">
        <v>0</v>
      </c>
      <c r="U102">
        <v>0.753</v>
      </c>
      <c r="V102" s="1" t="str">
        <f>IF(Energy_data_1990___2020[[#This Row],[CO2 emissions from fuel combustion (MtCO2)]]&gt;Energy_data_1990___2020[[#Totals],[CO2 emissions from fuel combustion (MtCO2)]],"Above Average","")</f>
        <v/>
      </c>
      <c r="W102" s="1">
        <f>SUM(Energy_data_1990___2020[[#This Row],[Coal and lignite production (Mt)]]-Energy_data_1990___2020[[#This Row],[Coal and lignite domestic consumption (Mt)]])</f>
        <v>-11.437577469999999</v>
      </c>
    </row>
    <row r="103" spans="1:23">
      <c r="A103" t="s">
        <v>29</v>
      </c>
      <c r="B103">
        <v>1998</v>
      </c>
      <c r="C103" t="s">
        <v>30</v>
      </c>
      <c r="D103">
        <v>118.5562855</v>
      </c>
      <c r="E103">
        <v>2.0674199510000002</v>
      </c>
      <c r="F103">
        <v>0.30890332500000001</v>
      </c>
      <c r="G103">
        <v>13.10683929</v>
      </c>
      <c r="H103">
        <v>57.345042749999998</v>
      </c>
      <c r="I103">
        <v>2.2444489860000001</v>
      </c>
      <c r="J103">
        <v>15.185563800000001</v>
      </c>
      <c r="K103">
        <v>22.922999999999998</v>
      </c>
      <c r="L103">
        <v>37.895000000000003</v>
      </c>
      <c r="M103">
        <v>0</v>
      </c>
      <c r="N103">
        <v>14.80757</v>
      </c>
      <c r="O103">
        <v>0.14941488999999999</v>
      </c>
      <c r="P103">
        <v>83.183000000000007</v>
      </c>
      <c r="Q103">
        <v>75.527000000000001</v>
      </c>
      <c r="R103">
        <v>12.144</v>
      </c>
      <c r="S103">
        <v>1.3223856000000001E-2</v>
      </c>
      <c r="T103">
        <v>0</v>
      </c>
      <c r="U103">
        <v>0.63700000000000001</v>
      </c>
      <c r="V103" s="1" t="str">
        <f>IF(Energy_data_1990___2020[[#This Row],[CO2 emissions from fuel combustion (MtCO2)]]&gt;Energy_data_1990___2020[[#Totals],[CO2 emissions from fuel combustion (MtCO2)]],"Above Average","")</f>
        <v/>
      </c>
      <c r="W103" s="1">
        <f>SUM(Energy_data_1990___2020[[#This Row],[Coal and lignite production (Mt)]]-Energy_data_1990___2020[[#This Row],[Coal and lignite domestic consumption (Mt)]])</f>
        <v>-11.507</v>
      </c>
    </row>
    <row r="104" spans="1:23">
      <c r="A104" t="s">
        <v>29</v>
      </c>
      <c r="B104">
        <v>1999</v>
      </c>
      <c r="C104" t="s">
        <v>30</v>
      </c>
      <c r="D104">
        <v>114.2759202</v>
      </c>
      <c r="E104">
        <v>1.9914095000000001</v>
      </c>
      <c r="F104">
        <v>0.28756306100000001</v>
      </c>
      <c r="G104">
        <v>13.905022969999999</v>
      </c>
      <c r="H104">
        <v>57.38444063</v>
      </c>
      <c r="I104">
        <v>2.364105355</v>
      </c>
      <c r="J104">
        <v>15.204205290000001</v>
      </c>
      <c r="K104">
        <v>22.564</v>
      </c>
      <c r="L104">
        <v>35.691000000000003</v>
      </c>
      <c r="M104">
        <v>4.4736800000000002E-4</v>
      </c>
      <c r="N104">
        <v>15.666446909999999</v>
      </c>
      <c r="O104">
        <v>0.14440177200000001</v>
      </c>
      <c r="P104">
        <v>84.513999999999996</v>
      </c>
      <c r="Q104">
        <v>76.05</v>
      </c>
      <c r="R104">
        <v>10.545</v>
      </c>
      <c r="S104">
        <v>1.5382066999999999E-2</v>
      </c>
      <c r="T104">
        <v>0</v>
      </c>
      <c r="U104">
        <v>0.56000000000000005</v>
      </c>
      <c r="V104" s="1" t="str">
        <f>IF(Energy_data_1990___2020[[#This Row],[CO2 emissions from fuel combustion (MtCO2)]]&gt;Energy_data_1990___2020[[#Totals],[CO2 emissions from fuel combustion (MtCO2)]],"Above Average","")</f>
        <v/>
      </c>
      <c r="W104" s="1">
        <f>SUM(Energy_data_1990___2020[[#This Row],[Coal and lignite production (Mt)]]-Energy_data_1990___2020[[#This Row],[Coal and lignite domestic consumption (Mt)]])</f>
        <v>-9.9849999999999994</v>
      </c>
    </row>
    <row r="105" spans="1:23">
      <c r="A105" t="s">
        <v>29</v>
      </c>
      <c r="B105">
        <v>2000</v>
      </c>
      <c r="C105" t="s">
        <v>30</v>
      </c>
      <c r="D105">
        <v>116.3659107</v>
      </c>
      <c r="E105">
        <v>2.0046535670000001</v>
      </c>
      <c r="F105">
        <v>0.28232903799999998</v>
      </c>
      <c r="G105">
        <v>13.73288732</v>
      </c>
      <c r="H105">
        <v>58.047890459999998</v>
      </c>
      <c r="I105">
        <v>2.7174689330000001</v>
      </c>
      <c r="J105">
        <v>15.41701986</v>
      </c>
      <c r="K105">
        <v>22.574000000000002</v>
      </c>
      <c r="L105">
        <v>38.173999999999999</v>
      </c>
      <c r="M105">
        <v>2E-3</v>
      </c>
      <c r="N105">
        <v>15.84220073</v>
      </c>
      <c r="O105">
        <v>0.140836822</v>
      </c>
      <c r="P105">
        <v>84.012</v>
      </c>
      <c r="Q105">
        <v>79.165999999999997</v>
      </c>
      <c r="R105">
        <v>11.614000000000001</v>
      </c>
      <c r="S105">
        <v>1.9044898000000001E-2</v>
      </c>
      <c r="T105">
        <v>0</v>
      </c>
      <c r="U105">
        <v>0.42699999999999999</v>
      </c>
      <c r="V105" s="1" t="str">
        <f>IF(Energy_data_1990___2020[[#This Row],[CO2 emissions from fuel combustion (MtCO2)]]&gt;Energy_data_1990___2020[[#Totals],[CO2 emissions from fuel combustion (MtCO2)]],"Above Average","")</f>
        <v/>
      </c>
      <c r="W105" s="1">
        <f>SUM(Energy_data_1990___2020[[#This Row],[Coal and lignite production (Mt)]]-Energy_data_1990___2020[[#This Row],[Coal and lignite domestic consumption (Mt)]])</f>
        <v>-11.187000000000001</v>
      </c>
    </row>
    <row r="106" spans="1:23">
      <c r="A106" t="s">
        <v>29</v>
      </c>
      <c r="B106">
        <v>2001</v>
      </c>
      <c r="C106" t="s">
        <v>30</v>
      </c>
      <c r="D106">
        <v>116.1275516</v>
      </c>
      <c r="E106">
        <v>2.0136581859999998</v>
      </c>
      <c r="F106">
        <v>0.27868624800000003</v>
      </c>
      <c r="G106">
        <v>13.323356670000001</v>
      </c>
      <c r="H106">
        <v>57.66994236</v>
      </c>
      <c r="I106">
        <v>2.853885569</v>
      </c>
      <c r="J106">
        <v>15.254583800000001</v>
      </c>
      <c r="K106">
        <v>23.152999999999999</v>
      </c>
      <c r="L106">
        <v>39.993000000000002</v>
      </c>
      <c r="M106">
        <v>0</v>
      </c>
      <c r="N106">
        <v>15.84267826</v>
      </c>
      <c r="O106">
        <v>0.138397991</v>
      </c>
      <c r="P106">
        <v>79.820999999999998</v>
      </c>
      <c r="Q106">
        <v>79.816000000000003</v>
      </c>
      <c r="R106">
        <v>10.974</v>
      </c>
      <c r="S106">
        <v>4.6353716000000003E-2</v>
      </c>
      <c r="T106">
        <v>0</v>
      </c>
      <c r="U106">
        <v>0.312</v>
      </c>
      <c r="V106" s="1" t="str">
        <f>IF(Energy_data_1990___2020[[#This Row],[CO2 emissions from fuel combustion (MtCO2)]]&gt;Energy_data_1990___2020[[#Totals],[CO2 emissions from fuel combustion (MtCO2)]],"Above Average","")</f>
        <v/>
      </c>
      <c r="W106" s="1">
        <f>SUM(Energy_data_1990___2020[[#This Row],[Coal and lignite production (Mt)]]-Energy_data_1990___2020[[#This Row],[Coal and lignite domestic consumption (Mt)]])</f>
        <v>-10.662000000000001</v>
      </c>
    </row>
    <row r="107" spans="1:23">
      <c r="A107" t="s">
        <v>29</v>
      </c>
      <c r="B107">
        <v>2002</v>
      </c>
      <c r="C107" t="s">
        <v>30</v>
      </c>
      <c r="D107">
        <v>110.65665389999999</v>
      </c>
      <c r="E107">
        <v>1.9840101080000001</v>
      </c>
      <c r="F107">
        <v>0.26110033700000002</v>
      </c>
      <c r="G107">
        <v>13.496157459999999</v>
      </c>
      <c r="H107">
        <v>55.774238990000001</v>
      </c>
      <c r="I107">
        <v>2.7635282509999999</v>
      </c>
      <c r="J107">
        <v>16.061111230000002</v>
      </c>
      <c r="K107">
        <v>21.956</v>
      </c>
      <c r="L107">
        <v>46.145000000000003</v>
      </c>
      <c r="M107">
        <v>0</v>
      </c>
      <c r="N107">
        <v>16.225502410000001</v>
      </c>
      <c r="O107">
        <v>0.13160232199999999</v>
      </c>
      <c r="P107">
        <v>82.069000000000003</v>
      </c>
      <c r="Q107">
        <v>80.438000000000002</v>
      </c>
      <c r="R107">
        <v>9.5289999999999999</v>
      </c>
      <c r="S107">
        <v>6.9453751999999994E-2</v>
      </c>
      <c r="T107">
        <v>0</v>
      </c>
      <c r="U107">
        <v>0.36399999999999999</v>
      </c>
      <c r="V107" s="1" t="str">
        <f>IF(Energy_data_1990___2020[[#This Row],[CO2 emissions from fuel combustion (MtCO2)]]&gt;Energy_data_1990___2020[[#Totals],[CO2 emissions from fuel combustion (MtCO2)]],"Above Average","")</f>
        <v/>
      </c>
      <c r="W107" s="1">
        <f>SUM(Energy_data_1990___2020[[#This Row],[Coal and lignite production (Mt)]]-Energy_data_1990___2020[[#This Row],[Coal and lignite domestic consumption (Mt)]])</f>
        <v>-9.1649999999999991</v>
      </c>
    </row>
    <row r="108" spans="1:23">
      <c r="A108" t="s">
        <v>29</v>
      </c>
      <c r="B108">
        <v>2003</v>
      </c>
      <c r="C108" t="s">
        <v>30</v>
      </c>
      <c r="D108">
        <v>114.3261809</v>
      </c>
      <c r="E108">
        <v>1.9641573269999999</v>
      </c>
      <c r="F108">
        <v>0.266987578</v>
      </c>
      <c r="G108">
        <v>13.69625349</v>
      </c>
      <c r="H108">
        <v>58.206223790000003</v>
      </c>
      <c r="I108">
        <v>2.6716294459999999</v>
      </c>
      <c r="J108">
        <v>15.887435999999999</v>
      </c>
      <c r="K108">
        <v>22.89</v>
      </c>
      <c r="L108">
        <v>45.597000000000001</v>
      </c>
      <c r="M108">
        <v>0</v>
      </c>
      <c r="N108">
        <v>17.152938989999999</v>
      </c>
      <c r="O108">
        <v>0.135929833</v>
      </c>
      <c r="P108">
        <v>84.63</v>
      </c>
      <c r="Q108">
        <v>82.064999999999998</v>
      </c>
      <c r="R108">
        <v>9.2040000000000006</v>
      </c>
      <c r="S108">
        <v>0.103982039</v>
      </c>
      <c r="T108">
        <v>0</v>
      </c>
      <c r="U108">
        <v>0.375</v>
      </c>
      <c r="V108" s="1" t="str">
        <f>IF(Energy_data_1990___2020[[#This Row],[CO2 emissions from fuel combustion (MtCO2)]]&gt;Energy_data_1990___2020[[#Totals],[CO2 emissions from fuel combustion (MtCO2)]],"Above Average","")</f>
        <v/>
      </c>
      <c r="W108" s="1">
        <f>SUM(Energy_data_1990___2020[[#This Row],[Coal and lignite production (Mt)]]-Energy_data_1990___2020[[#This Row],[Coal and lignite domestic consumption (Mt)]])</f>
        <v>-8.8290000000000006</v>
      </c>
    </row>
    <row r="109" spans="1:23">
      <c r="A109" t="s">
        <v>29</v>
      </c>
      <c r="B109">
        <v>2004</v>
      </c>
      <c r="C109" t="s">
        <v>30</v>
      </c>
      <c r="D109">
        <v>114.0036491</v>
      </c>
      <c r="E109">
        <v>1.9521832690000001</v>
      </c>
      <c r="F109">
        <v>0.25705445399999999</v>
      </c>
      <c r="G109">
        <v>13.747161240000001</v>
      </c>
      <c r="H109">
        <v>58.398025910000001</v>
      </c>
      <c r="I109">
        <v>3.2542064150000001</v>
      </c>
      <c r="J109">
        <v>15.825222739999999</v>
      </c>
      <c r="K109">
        <v>23.202999999999999</v>
      </c>
      <c r="L109">
        <v>43.481000000000002</v>
      </c>
      <c r="M109">
        <v>0</v>
      </c>
      <c r="N109">
        <v>17.601986440000001</v>
      </c>
      <c r="O109">
        <v>0.13167537000000001</v>
      </c>
      <c r="P109">
        <v>85.643000000000001</v>
      </c>
      <c r="Q109">
        <v>83.76</v>
      </c>
      <c r="R109">
        <v>8.5267196169999995</v>
      </c>
      <c r="S109">
        <v>0.16697219899999999</v>
      </c>
      <c r="T109">
        <v>0</v>
      </c>
      <c r="U109">
        <v>0.218</v>
      </c>
      <c r="V109" s="1" t="str">
        <f>IF(Energy_data_1990___2020[[#This Row],[CO2 emissions from fuel combustion (MtCO2)]]&gt;Energy_data_1990___2020[[#Totals],[CO2 emissions from fuel combustion (MtCO2)]],"Above Average","")</f>
        <v/>
      </c>
      <c r="W109" s="1">
        <f>SUM(Energy_data_1990___2020[[#This Row],[Coal and lignite production (Mt)]]-Energy_data_1990___2020[[#This Row],[Coal and lignite domestic consumption (Mt)]])</f>
        <v>-8.3087196169999995</v>
      </c>
    </row>
    <row r="110" spans="1:23">
      <c r="A110" t="s">
        <v>29</v>
      </c>
      <c r="B110">
        <v>2005</v>
      </c>
      <c r="C110" t="s">
        <v>30</v>
      </c>
      <c r="D110">
        <v>111.2141613</v>
      </c>
      <c r="E110">
        <v>1.914864165</v>
      </c>
      <c r="F110">
        <v>0.24507474900000001</v>
      </c>
      <c r="G110">
        <v>13.90603692</v>
      </c>
      <c r="H110">
        <v>58.07939975</v>
      </c>
      <c r="I110">
        <v>3.9322033900000002</v>
      </c>
      <c r="J110">
        <v>16.04513541</v>
      </c>
      <c r="K110">
        <v>23.141999999999999</v>
      </c>
      <c r="L110">
        <v>37.250999999999998</v>
      </c>
      <c r="M110">
        <v>0</v>
      </c>
      <c r="N110">
        <v>17.093315740000001</v>
      </c>
      <c r="O110">
        <v>0.127985448</v>
      </c>
      <c r="P110">
        <v>87.025000000000006</v>
      </c>
      <c r="Q110">
        <v>83.635999999999996</v>
      </c>
      <c r="R110">
        <v>7.8849999999999998</v>
      </c>
      <c r="S110">
        <v>0.26199368000000001</v>
      </c>
      <c r="T110">
        <v>0</v>
      </c>
      <c r="U110">
        <v>0.17299999999999999</v>
      </c>
      <c r="V110" s="1" t="str">
        <f>IF(Energy_data_1990___2020[[#This Row],[CO2 emissions from fuel combustion (MtCO2)]]&gt;Energy_data_1990___2020[[#Totals],[CO2 emissions from fuel combustion (MtCO2)]],"Above Average","")</f>
        <v/>
      </c>
      <c r="W110" s="1">
        <f>SUM(Energy_data_1990___2020[[#This Row],[Coal and lignite production (Mt)]]-Energy_data_1990___2020[[#This Row],[Coal and lignite domestic consumption (Mt)]])</f>
        <v>-7.7119999999999997</v>
      </c>
    </row>
    <row r="111" spans="1:23">
      <c r="A111" t="s">
        <v>29</v>
      </c>
      <c r="B111">
        <v>2006</v>
      </c>
      <c r="C111" t="s">
        <v>30</v>
      </c>
      <c r="D111">
        <v>109.9231149</v>
      </c>
      <c r="E111">
        <v>1.915932787</v>
      </c>
      <c r="F111">
        <v>0.23620107400000001</v>
      </c>
      <c r="G111">
        <v>13.76958084</v>
      </c>
      <c r="H111">
        <v>57.373158199999999</v>
      </c>
      <c r="I111">
        <v>4.930095659</v>
      </c>
      <c r="J111">
        <v>16.70255242</v>
      </c>
      <c r="K111">
        <v>21.998000000000001</v>
      </c>
      <c r="L111">
        <v>36.750999999999998</v>
      </c>
      <c r="M111">
        <v>0</v>
      </c>
      <c r="N111">
        <v>17.632535860000001</v>
      </c>
      <c r="O111">
        <v>0.12328254700000001</v>
      </c>
      <c r="P111">
        <v>85.617000000000004</v>
      </c>
      <c r="Q111">
        <v>86.055000000000007</v>
      </c>
      <c r="R111">
        <v>7.6939688459999998</v>
      </c>
      <c r="S111">
        <v>0.42982118000000002</v>
      </c>
      <c r="T111">
        <v>0</v>
      </c>
      <c r="U111">
        <v>0.129</v>
      </c>
      <c r="V111" s="1" t="str">
        <f>IF(Energy_data_1990___2020[[#This Row],[CO2 emissions from fuel combustion (MtCO2)]]&gt;Energy_data_1990___2020[[#Totals],[CO2 emissions from fuel combustion (MtCO2)]],"Above Average","")</f>
        <v/>
      </c>
      <c r="W111" s="1">
        <f>SUM(Energy_data_1990___2020[[#This Row],[Coal and lignite production (Mt)]]-Energy_data_1990___2020[[#This Row],[Coal and lignite domestic consumption (Mt)]])</f>
        <v>-7.5649688459999993</v>
      </c>
    </row>
    <row r="112" spans="1:23">
      <c r="A112" t="s">
        <v>29</v>
      </c>
      <c r="B112">
        <v>2007</v>
      </c>
      <c r="C112" t="s">
        <v>30</v>
      </c>
      <c r="D112">
        <v>106.05132930000001</v>
      </c>
      <c r="E112">
        <v>1.8851580429999999</v>
      </c>
      <c r="F112">
        <v>0.21979959099999999</v>
      </c>
      <c r="G112">
        <v>14.39315624</v>
      </c>
      <c r="H112">
        <v>56.2559355</v>
      </c>
      <c r="I112">
        <v>5.381549616</v>
      </c>
      <c r="J112">
        <v>17.237684590000001</v>
      </c>
      <c r="K112">
        <v>21.085000000000001</v>
      </c>
      <c r="L112">
        <v>38.575000000000003</v>
      </c>
      <c r="M112">
        <v>0</v>
      </c>
      <c r="N112">
        <v>17.80619995</v>
      </c>
      <c r="O112">
        <v>0.11659478199999999</v>
      </c>
      <c r="P112">
        <v>88.822000000000003</v>
      </c>
      <c r="Q112">
        <v>86.084000000000003</v>
      </c>
      <c r="R112">
        <v>7.0229999999999997</v>
      </c>
      <c r="S112">
        <v>0.55954605800000001</v>
      </c>
      <c r="T112">
        <v>0</v>
      </c>
      <c r="U112">
        <v>0.18099999999999999</v>
      </c>
      <c r="V112" s="1" t="str">
        <f>IF(Energy_data_1990___2020[[#This Row],[CO2 emissions from fuel combustion (MtCO2)]]&gt;Energy_data_1990___2020[[#Totals],[CO2 emissions from fuel combustion (MtCO2)]],"Above Average","")</f>
        <v/>
      </c>
      <c r="W112" s="1">
        <f>SUM(Energy_data_1990___2020[[#This Row],[Coal and lignite production (Mt)]]-Energy_data_1990___2020[[#This Row],[Coal and lignite domestic consumption (Mt)]])</f>
        <v>-6.8419999999999996</v>
      </c>
    </row>
    <row r="113" spans="1:23">
      <c r="A113" t="s">
        <v>29</v>
      </c>
      <c r="B113">
        <v>2008</v>
      </c>
      <c r="C113" t="s">
        <v>30</v>
      </c>
      <c r="D113">
        <v>109.4185863</v>
      </c>
      <c r="E113">
        <v>1.8873604559999999</v>
      </c>
      <c r="F113">
        <v>0.22576948999999999</v>
      </c>
      <c r="G113">
        <v>13.96289535</v>
      </c>
      <c r="H113">
        <v>57.974398020000002</v>
      </c>
      <c r="I113">
        <v>6.7879430120000004</v>
      </c>
      <c r="J113">
        <v>16.257351140000001</v>
      </c>
      <c r="K113">
        <v>22.766999999999999</v>
      </c>
      <c r="L113">
        <v>37.985999999999997</v>
      </c>
      <c r="M113">
        <v>0</v>
      </c>
      <c r="N113">
        <v>18.47112705</v>
      </c>
      <c r="O113">
        <v>0.119621819</v>
      </c>
      <c r="P113">
        <v>84.93</v>
      </c>
      <c r="Q113">
        <v>85.822000000000003</v>
      </c>
      <c r="R113">
        <v>6.9009999999999998</v>
      </c>
      <c r="S113">
        <v>0.80183680700000004</v>
      </c>
      <c r="T113">
        <v>0</v>
      </c>
      <c r="U113">
        <v>0.109</v>
      </c>
      <c r="V113" s="1" t="str">
        <f>IF(Energy_data_1990___2020[[#This Row],[CO2 emissions from fuel combustion (MtCO2)]]&gt;Energy_data_1990___2020[[#Totals],[CO2 emissions from fuel combustion (MtCO2)]],"Above Average","")</f>
        <v/>
      </c>
      <c r="W113" s="1">
        <f>SUM(Energy_data_1990___2020[[#This Row],[Coal and lignite production (Mt)]]-Energy_data_1990___2020[[#This Row],[Coal and lignite domestic consumption (Mt)]])</f>
        <v>-6.7919999999999998</v>
      </c>
    </row>
    <row r="114" spans="1:23">
      <c r="A114" t="s">
        <v>29</v>
      </c>
      <c r="B114">
        <v>2009</v>
      </c>
      <c r="C114" t="s">
        <v>30</v>
      </c>
      <c r="D114">
        <v>105.2578343</v>
      </c>
      <c r="E114">
        <v>1.89276858</v>
      </c>
      <c r="F114">
        <v>0.22166359099999999</v>
      </c>
      <c r="G114">
        <v>14.777537300000001</v>
      </c>
      <c r="H114">
        <v>55.610514369999997</v>
      </c>
      <c r="I114">
        <v>7.5278127909999997</v>
      </c>
      <c r="J114">
        <v>16.601954200000002</v>
      </c>
      <c r="K114">
        <v>21.021999999999998</v>
      </c>
      <c r="L114">
        <v>34.624000000000002</v>
      </c>
      <c r="M114">
        <v>0</v>
      </c>
      <c r="N114">
        <v>21.310164489999998</v>
      </c>
      <c r="O114">
        <v>0.117110773</v>
      </c>
      <c r="P114">
        <v>91.234999999999999</v>
      </c>
      <c r="Q114">
        <v>79.662000000000006</v>
      </c>
      <c r="R114">
        <v>4.5049999999999999</v>
      </c>
      <c r="S114">
        <v>1.2758261630000001</v>
      </c>
      <c r="T114">
        <v>0</v>
      </c>
      <c r="U114">
        <v>2.9000000000000001E-2</v>
      </c>
      <c r="V114" s="1" t="str">
        <f>IF(Energy_data_1990___2020[[#This Row],[CO2 emissions from fuel combustion (MtCO2)]]&gt;Energy_data_1990___2020[[#Totals],[CO2 emissions from fuel combustion (MtCO2)]],"Above Average","")</f>
        <v/>
      </c>
      <c r="W114" s="1">
        <f>SUM(Energy_data_1990___2020[[#This Row],[Coal and lignite production (Mt)]]-Energy_data_1990___2020[[#This Row],[Coal and lignite domestic consumption (Mt)]])</f>
        <v>-4.476</v>
      </c>
    </row>
    <row r="115" spans="1:23">
      <c r="A115" t="s">
        <v>29</v>
      </c>
      <c r="B115">
        <v>2010</v>
      </c>
      <c r="C115" t="s">
        <v>30</v>
      </c>
      <c r="D115">
        <v>114.2312941</v>
      </c>
      <c r="E115">
        <v>1.909489829</v>
      </c>
      <c r="F115">
        <v>0.23386240899999999</v>
      </c>
      <c r="G115">
        <v>15.572405870000001</v>
      </c>
      <c r="H115">
        <v>59.822939290000001</v>
      </c>
      <c r="I115">
        <v>8.2467512000000003</v>
      </c>
      <c r="J115">
        <v>16.589044560000001</v>
      </c>
      <c r="K115">
        <v>21.538</v>
      </c>
      <c r="L115">
        <v>35.094000000000001</v>
      </c>
      <c r="M115">
        <v>0</v>
      </c>
      <c r="N115">
        <v>23.25280081</v>
      </c>
      <c r="O115">
        <v>0.122473765</v>
      </c>
      <c r="P115">
        <v>95.188999999999993</v>
      </c>
      <c r="Q115">
        <v>85.918000000000006</v>
      </c>
      <c r="R115">
        <v>5.7108947570000002</v>
      </c>
      <c r="S115">
        <v>1.945602958</v>
      </c>
      <c r="T115">
        <v>0</v>
      </c>
      <c r="U115">
        <v>1.6E-2</v>
      </c>
      <c r="V115" s="1" t="str">
        <f>IF(Energy_data_1990___2020[[#This Row],[CO2 emissions from fuel combustion (MtCO2)]]&gt;Energy_data_1990___2020[[#Totals],[CO2 emissions from fuel combustion (MtCO2)]],"Above Average","")</f>
        <v/>
      </c>
      <c r="W115" s="1">
        <f>SUM(Energy_data_1990___2020[[#This Row],[Coal and lignite production (Mt)]]-Energy_data_1990___2020[[#This Row],[Coal and lignite domestic consumption (Mt)]])</f>
        <v>-5.6948947570000001</v>
      </c>
    </row>
    <row r="116" spans="1:23">
      <c r="A116" t="s">
        <v>29</v>
      </c>
      <c r="B116">
        <v>2011</v>
      </c>
      <c r="C116" t="s">
        <v>30</v>
      </c>
      <c r="D116">
        <v>105.61527390000001</v>
      </c>
      <c r="E116">
        <v>1.886810369</v>
      </c>
      <c r="F116">
        <v>0.21262023699999999</v>
      </c>
      <c r="G116">
        <v>16.12204517</v>
      </c>
      <c r="H116">
        <v>55.975563630000003</v>
      </c>
      <c r="I116">
        <v>10.64261256</v>
      </c>
      <c r="J116">
        <v>17.200096599999998</v>
      </c>
      <c r="K116">
        <v>20.132000000000001</v>
      </c>
      <c r="L116">
        <v>32.776000000000003</v>
      </c>
      <c r="M116">
        <v>0</v>
      </c>
      <c r="N116">
        <v>21.427112940000001</v>
      </c>
      <c r="O116">
        <v>0.112687655</v>
      </c>
      <c r="P116">
        <v>90.241</v>
      </c>
      <c r="Q116">
        <v>83.894000000000005</v>
      </c>
      <c r="R116">
        <v>5.3725745060000003</v>
      </c>
      <c r="S116">
        <v>3.8574483879999999</v>
      </c>
      <c r="T116">
        <v>0</v>
      </c>
      <c r="U116">
        <v>1.4E-2</v>
      </c>
      <c r="V116" s="1" t="str">
        <f>IF(Energy_data_1990___2020[[#This Row],[CO2 emissions from fuel combustion (MtCO2)]]&gt;Energy_data_1990___2020[[#Totals],[CO2 emissions from fuel combustion (MtCO2)]],"Above Average","")</f>
        <v/>
      </c>
      <c r="W116" s="1">
        <f>SUM(Energy_data_1990___2020[[#This Row],[Coal and lignite production (Mt)]]-Energy_data_1990___2020[[#This Row],[Coal and lignite domestic consumption (Mt)]])</f>
        <v>-5.3585745060000001</v>
      </c>
    </row>
    <row r="117" spans="1:23">
      <c r="A117" t="s">
        <v>29</v>
      </c>
      <c r="B117">
        <v>2012</v>
      </c>
      <c r="C117" t="s">
        <v>30</v>
      </c>
      <c r="D117">
        <v>99.159951120000002</v>
      </c>
      <c r="E117">
        <v>1.8535705950000001</v>
      </c>
      <c r="F117">
        <v>0.198159795</v>
      </c>
      <c r="G117">
        <v>14.18560109</v>
      </c>
      <c r="H117">
        <v>53.496722140000003</v>
      </c>
      <c r="I117">
        <v>14.18183134</v>
      </c>
      <c r="J117">
        <v>17.2949427</v>
      </c>
      <c r="K117">
        <v>20.146999999999998</v>
      </c>
      <c r="L117">
        <v>34.828000000000003</v>
      </c>
      <c r="M117">
        <v>0</v>
      </c>
      <c r="N117">
        <v>18.735523789999998</v>
      </c>
      <c r="O117">
        <v>0.10690706699999999</v>
      </c>
      <c r="P117">
        <v>82.923000000000002</v>
      </c>
      <c r="Q117">
        <v>84.415999999999997</v>
      </c>
      <c r="R117">
        <v>5.1034936699999998</v>
      </c>
      <c r="S117">
        <v>5.9078904530000003</v>
      </c>
      <c r="T117">
        <v>0</v>
      </c>
      <c r="U117">
        <v>0.02</v>
      </c>
      <c r="V117" s="1" t="str">
        <f>IF(Energy_data_1990___2020[[#This Row],[CO2 emissions from fuel combustion (MtCO2)]]&gt;Energy_data_1990___2020[[#Totals],[CO2 emissions from fuel combustion (MtCO2)]],"Above Average","")</f>
        <v/>
      </c>
      <c r="W117" s="1">
        <f>SUM(Energy_data_1990___2020[[#This Row],[Coal and lignite production (Mt)]]-Energy_data_1990___2020[[#This Row],[Coal and lignite domestic consumption (Mt)]])</f>
        <v>-5.0834936700000002</v>
      </c>
    </row>
    <row r="118" spans="1:23">
      <c r="A118" t="s">
        <v>29</v>
      </c>
      <c r="B118">
        <v>2013</v>
      </c>
      <c r="C118" t="s">
        <v>30</v>
      </c>
      <c r="D118">
        <v>100.21459</v>
      </c>
      <c r="E118">
        <v>1.796622656</v>
      </c>
      <c r="F118">
        <v>0.199351891</v>
      </c>
      <c r="G118">
        <v>15.057826199999999</v>
      </c>
      <c r="H118">
        <v>55.779431299999999</v>
      </c>
      <c r="I118">
        <v>15.569902259999999</v>
      </c>
      <c r="J118">
        <v>16.704046760000001</v>
      </c>
      <c r="K118">
        <v>20.802</v>
      </c>
      <c r="L118">
        <v>32.145000000000003</v>
      </c>
      <c r="M118">
        <v>0</v>
      </c>
      <c r="N118">
        <v>18.691041259999999</v>
      </c>
      <c r="O118">
        <v>0.110959243</v>
      </c>
      <c r="P118">
        <v>83.488</v>
      </c>
      <c r="Q118">
        <v>84.46</v>
      </c>
      <c r="R118">
        <v>5.4453948030000001</v>
      </c>
      <c r="S118">
        <v>7.5699501720000004</v>
      </c>
      <c r="T118">
        <v>0</v>
      </c>
      <c r="U118">
        <v>0.11600000000000001</v>
      </c>
      <c r="V118" s="1" t="str">
        <f>IF(Energy_data_1990___2020[[#This Row],[CO2 emissions from fuel combustion (MtCO2)]]&gt;Energy_data_1990___2020[[#Totals],[CO2 emissions from fuel combustion (MtCO2)]],"Above Average","")</f>
        <v/>
      </c>
      <c r="W118" s="1">
        <f>SUM(Energy_data_1990___2020[[#This Row],[Coal and lignite production (Mt)]]-Energy_data_1990___2020[[#This Row],[Coal and lignite domestic consumption (Mt)]])</f>
        <v>-5.3293948030000005</v>
      </c>
    </row>
    <row r="119" spans="1:23">
      <c r="A119" t="s">
        <v>29</v>
      </c>
      <c r="B119">
        <v>2014</v>
      </c>
      <c r="C119" t="s">
        <v>30</v>
      </c>
      <c r="D119">
        <v>93.480321279999998</v>
      </c>
      <c r="E119">
        <v>1.776543083</v>
      </c>
      <c r="F119">
        <v>0.183066006</v>
      </c>
      <c r="G119">
        <v>12.71212965</v>
      </c>
      <c r="H119">
        <v>52.6192256</v>
      </c>
      <c r="I119">
        <v>18.497921430000002</v>
      </c>
      <c r="J119">
        <v>17.059511669999999</v>
      </c>
      <c r="K119">
        <v>20.75</v>
      </c>
      <c r="L119">
        <v>35.25</v>
      </c>
      <c r="M119">
        <v>0</v>
      </c>
      <c r="N119">
        <v>16.503206939999998</v>
      </c>
      <c r="O119">
        <v>0.10304619600000001</v>
      </c>
      <c r="P119">
        <v>72.646000000000001</v>
      </c>
      <c r="Q119">
        <v>82.691000000000003</v>
      </c>
      <c r="R119">
        <v>5.2026910910000002</v>
      </c>
      <c r="S119">
        <v>10.33642596</v>
      </c>
      <c r="T119">
        <v>0</v>
      </c>
      <c r="U119">
        <v>0.126</v>
      </c>
      <c r="V119" s="1" t="str">
        <f>IF(Energy_data_1990___2020[[#This Row],[CO2 emissions from fuel combustion (MtCO2)]]&gt;Energy_data_1990___2020[[#Totals],[CO2 emissions from fuel combustion (MtCO2)]],"Above Average","")</f>
        <v/>
      </c>
      <c r="W119" s="1">
        <f>SUM(Energy_data_1990___2020[[#This Row],[Coal and lignite production (Mt)]]-Energy_data_1990___2020[[#This Row],[Coal and lignite domestic consumption (Mt)]])</f>
        <v>-5.0766910909999998</v>
      </c>
    </row>
    <row r="120" spans="1:23">
      <c r="A120" t="s">
        <v>29</v>
      </c>
      <c r="B120">
        <v>2015</v>
      </c>
      <c r="C120" t="s">
        <v>30</v>
      </c>
      <c r="D120">
        <v>99.540695999999997</v>
      </c>
      <c r="E120">
        <v>1.8966596149999999</v>
      </c>
      <c r="F120">
        <v>0.19105060800000001</v>
      </c>
      <c r="G120">
        <v>10.746054669999999</v>
      </c>
      <c r="H120">
        <v>52.482108660000002</v>
      </c>
      <c r="I120">
        <v>22.360186179999999</v>
      </c>
      <c r="J120">
        <v>16.74213379</v>
      </c>
      <c r="K120">
        <v>21.138999999999999</v>
      </c>
      <c r="L120">
        <v>35.203000000000003</v>
      </c>
      <c r="M120">
        <v>0</v>
      </c>
      <c r="N120">
        <v>18.51517797</v>
      </c>
      <c r="O120">
        <v>0.100730045</v>
      </c>
      <c r="P120">
        <v>69.825000000000003</v>
      </c>
      <c r="Q120">
        <v>83.162000000000006</v>
      </c>
      <c r="R120">
        <v>5.062394716</v>
      </c>
      <c r="S120">
        <v>12.37522377</v>
      </c>
      <c r="T120">
        <v>0</v>
      </c>
      <c r="U120">
        <v>0.106</v>
      </c>
      <c r="V120" s="1" t="str">
        <f>IF(Energy_data_1990___2020[[#This Row],[CO2 emissions from fuel combustion (MtCO2)]]&gt;Energy_data_1990___2020[[#Totals],[CO2 emissions from fuel combustion (MtCO2)]],"Above Average","")</f>
        <v/>
      </c>
      <c r="W120" s="1">
        <f>SUM(Energy_data_1990___2020[[#This Row],[Coal and lignite production (Mt)]]-Energy_data_1990___2020[[#This Row],[Coal and lignite domestic consumption (Mt)]])</f>
        <v>-4.9563947160000001</v>
      </c>
    </row>
    <row r="121" spans="1:23">
      <c r="A121" t="s">
        <v>29</v>
      </c>
      <c r="B121">
        <v>2016</v>
      </c>
      <c r="C121" t="s">
        <v>30</v>
      </c>
      <c r="D121">
        <v>96.331708280000001</v>
      </c>
      <c r="E121">
        <v>1.7325556010000001</v>
      </c>
      <c r="F121">
        <v>0.18213921199999999</v>
      </c>
      <c r="G121">
        <v>15.40469369</v>
      </c>
      <c r="H121">
        <v>55.600933240000003</v>
      </c>
      <c r="I121">
        <v>18.029902230000001</v>
      </c>
      <c r="J121">
        <v>16.695042950000001</v>
      </c>
      <c r="K121">
        <v>20.797999999999998</v>
      </c>
      <c r="L121">
        <v>33.631</v>
      </c>
      <c r="M121">
        <v>0</v>
      </c>
      <c r="N121">
        <v>17.68119574</v>
      </c>
      <c r="O121">
        <v>0.10512748500000001</v>
      </c>
      <c r="P121">
        <v>85.813000000000002</v>
      </c>
      <c r="Q121">
        <v>83.680999999999997</v>
      </c>
      <c r="R121">
        <v>4.706761481</v>
      </c>
      <c r="S121">
        <v>9.9565333900000006</v>
      </c>
      <c r="T121">
        <v>0</v>
      </c>
      <c r="U121">
        <v>0.107</v>
      </c>
      <c r="V121" s="1" t="str">
        <f>IF(Energy_data_1990___2020[[#This Row],[CO2 emissions from fuel combustion (MtCO2)]]&gt;Energy_data_1990___2020[[#Totals],[CO2 emissions from fuel combustion (MtCO2)]],"Above Average","")</f>
        <v/>
      </c>
      <c r="W121" s="1">
        <f>SUM(Energy_data_1990___2020[[#This Row],[Coal and lignite production (Mt)]]-Energy_data_1990___2020[[#This Row],[Coal and lignite domestic consumption (Mt)]])</f>
        <v>-4.5997614809999998</v>
      </c>
    </row>
    <row r="122" spans="1:23">
      <c r="A122" t="s">
        <v>29</v>
      </c>
      <c r="B122">
        <v>2017</v>
      </c>
      <c r="C122" t="s">
        <v>30</v>
      </c>
      <c r="D122">
        <v>95.823536450000006</v>
      </c>
      <c r="E122">
        <v>1.7329605219999999</v>
      </c>
      <c r="F122">
        <v>0.17768824699999999</v>
      </c>
      <c r="G122">
        <v>15.134888719999999</v>
      </c>
      <c r="H122">
        <v>55.294702460000003</v>
      </c>
      <c r="I122">
        <v>19.585597320000002</v>
      </c>
      <c r="J122">
        <v>16.921903690000001</v>
      </c>
      <c r="K122">
        <v>20.148052</v>
      </c>
      <c r="L122">
        <v>35.283200000000001</v>
      </c>
      <c r="M122">
        <v>0</v>
      </c>
      <c r="N122">
        <v>18.122903149999999</v>
      </c>
      <c r="O122">
        <v>0.102534503</v>
      </c>
      <c r="P122">
        <v>86.775499999999994</v>
      </c>
      <c r="Q122">
        <v>83.865499999999997</v>
      </c>
      <c r="R122">
        <v>4.5666847559999999</v>
      </c>
      <c r="S122">
        <v>11.33015655</v>
      </c>
      <c r="T122">
        <v>0</v>
      </c>
      <c r="U122">
        <v>9.0300000000000005E-2</v>
      </c>
      <c r="V122" s="1" t="str">
        <f>IF(Energy_data_1990___2020[[#This Row],[CO2 emissions from fuel combustion (MtCO2)]]&gt;Energy_data_1990___2020[[#Totals],[CO2 emissions from fuel combustion (MtCO2)]],"Above Average","")</f>
        <v/>
      </c>
      <c r="W122" s="1">
        <f>SUM(Energy_data_1990___2020[[#This Row],[Coal and lignite production (Mt)]]-Energy_data_1990___2020[[#This Row],[Coal and lignite domestic consumption (Mt)]])</f>
        <v>-4.4763847559999999</v>
      </c>
    </row>
    <row r="123" spans="1:23">
      <c r="A123" t="s">
        <v>29</v>
      </c>
      <c r="B123">
        <v>2018</v>
      </c>
      <c r="C123" t="s">
        <v>30</v>
      </c>
      <c r="D123">
        <v>97.755485530000001</v>
      </c>
      <c r="E123">
        <v>1.835990945</v>
      </c>
      <c r="F123">
        <v>0.17866505299999999</v>
      </c>
      <c r="G123">
        <v>11.7556753</v>
      </c>
      <c r="H123">
        <v>53.243991080000001</v>
      </c>
      <c r="I123">
        <v>24.19095381</v>
      </c>
      <c r="J123">
        <v>16.840797980000001</v>
      </c>
      <c r="K123">
        <v>20.279081999999999</v>
      </c>
      <c r="L123">
        <v>34.069600000000001</v>
      </c>
      <c r="M123">
        <v>0</v>
      </c>
      <c r="N123">
        <v>19.223246830000001</v>
      </c>
      <c r="O123">
        <v>9.7312599999999999E-2</v>
      </c>
      <c r="P123">
        <v>75.0946</v>
      </c>
      <c r="Q123">
        <v>84.384100000000004</v>
      </c>
      <c r="R123">
        <v>4.5619511829999997</v>
      </c>
      <c r="S123">
        <v>15.148759030000001</v>
      </c>
      <c r="T123">
        <v>3.3500000000000002E-2</v>
      </c>
      <c r="U123">
        <v>0.1167</v>
      </c>
      <c r="V123" s="1" t="str">
        <f>IF(Energy_data_1990___2020[[#This Row],[CO2 emissions from fuel combustion (MtCO2)]]&gt;Energy_data_1990___2020[[#Totals],[CO2 emissions from fuel combustion (MtCO2)]],"Above Average","")</f>
        <v/>
      </c>
      <c r="W123" s="1">
        <f>SUM(Energy_data_1990___2020[[#This Row],[Coal and lignite production (Mt)]]-Energy_data_1990___2020[[#This Row],[Coal and lignite domestic consumption (Mt)]])</f>
        <v>-4.4452511829999999</v>
      </c>
    </row>
    <row r="124" spans="1:23">
      <c r="A124" t="s">
        <v>29</v>
      </c>
      <c r="B124">
        <v>2019</v>
      </c>
      <c r="C124" t="s">
        <v>30</v>
      </c>
      <c r="D124">
        <v>98.667249139999996</v>
      </c>
      <c r="E124">
        <v>1.7838984360000001</v>
      </c>
      <c r="F124">
        <v>0.17783466000000001</v>
      </c>
      <c r="G124">
        <v>15.88163022</v>
      </c>
      <c r="H124">
        <v>55.309902829999999</v>
      </c>
      <c r="I124">
        <v>21.135083460000001</v>
      </c>
      <c r="J124">
        <v>16.594163439999999</v>
      </c>
      <c r="K124">
        <v>19.36715534</v>
      </c>
      <c r="L124">
        <v>35.039588610000003</v>
      </c>
      <c r="M124">
        <v>0</v>
      </c>
      <c r="N124">
        <v>19.306078880000001</v>
      </c>
      <c r="O124">
        <v>9.9688781000000004E-2</v>
      </c>
      <c r="P124">
        <v>93.823955069999997</v>
      </c>
      <c r="Q124">
        <v>83.025536639999999</v>
      </c>
      <c r="R124">
        <v>4.4818621629999997</v>
      </c>
      <c r="S124">
        <v>14.325368729999999</v>
      </c>
      <c r="T124">
        <v>3.3500000000000002E-2</v>
      </c>
      <c r="U124">
        <v>9.9401702999999994E-2</v>
      </c>
      <c r="V124" s="1" t="str">
        <f>IF(Energy_data_1990___2020[[#This Row],[CO2 emissions from fuel combustion (MtCO2)]]&gt;Energy_data_1990___2020[[#Totals],[CO2 emissions from fuel combustion (MtCO2)]],"Above Average","")</f>
        <v/>
      </c>
      <c r="W124" s="1">
        <f>SUM(Energy_data_1990___2020[[#This Row],[Coal and lignite production (Mt)]]-Energy_data_1990___2020[[#This Row],[Coal and lignite domestic consumption (Mt)]])</f>
        <v>-4.3824604599999999</v>
      </c>
    </row>
    <row r="125" spans="1:23">
      <c r="A125" t="s">
        <v>29</v>
      </c>
      <c r="B125">
        <v>2020</v>
      </c>
      <c r="C125" t="s">
        <v>30</v>
      </c>
      <c r="D125">
        <v>90.674572729999994</v>
      </c>
      <c r="E125">
        <v>1.7653070710000001</v>
      </c>
      <c r="F125">
        <v>0.174231256</v>
      </c>
      <c r="G125">
        <v>13.86080896</v>
      </c>
      <c r="H125">
        <v>51.36475927</v>
      </c>
      <c r="I125">
        <v>27.194533270000001</v>
      </c>
      <c r="J125">
        <v>17.017888939999999</v>
      </c>
      <c r="K125">
        <v>18.207344339999999</v>
      </c>
      <c r="L125">
        <v>27.443311380000001</v>
      </c>
      <c r="M125">
        <v>0</v>
      </c>
      <c r="N125">
        <v>19.426190470000002</v>
      </c>
      <c r="O125">
        <v>9.8697422000000007E-2</v>
      </c>
      <c r="P125">
        <v>91.010723330000005</v>
      </c>
      <c r="Q125">
        <v>81.722119050000003</v>
      </c>
      <c r="R125">
        <v>3.6123981000000001</v>
      </c>
      <c r="S125">
        <v>19.997472989999999</v>
      </c>
      <c r="T125">
        <v>3.3500000000000002E-2</v>
      </c>
      <c r="U125">
        <v>8.4824619000000004E-2</v>
      </c>
      <c r="V125" s="1" t="str">
        <f>IF(Energy_data_1990___2020[[#This Row],[CO2 emissions from fuel combustion (MtCO2)]]&gt;Energy_data_1990___2020[[#Totals],[CO2 emissions from fuel combustion (MtCO2)]],"Above Average","")</f>
        <v/>
      </c>
      <c r="W125" s="1">
        <f>SUM(Energy_data_1990___2020[[#This Row],[Coal and lignite production (Mt)]]-Energy_data_1990___2020[[#This Row],[Coal and lignite domestic consumption (Mt)]])</f>
        <v>-3.5275734810000001</v>
      </c>
    </row>
    <row r="126" spans="1:23">
      <c r="A126" t="s">
        <v>31</v>
      </c>
      <c r="B126">
        <v>1990</v>
      </c>
      <c r="C126" t="s">
        <v>26</v>
      </c>
      <c r="D126">
        <v>193.76575220000001</v>
      </c>
      <c r="E126">
        <v>1.377371897</v>
      </c>
      <c r="F126">
        <v>0.12628651599999999</v>
      </c>
      <c r="G126">
        <v>104.5932097</v>
      </c>
      <c r="H126">
        <v>140.6778754</v>
      </c>
      <c r="I126">
        <v>94.500518349999993</v>
      </c>
      <c r="J126">
        <v>15.86749271</v>
      </c>
      <c r="K126">
        <v>57.32</v>
      </c>
      <c r="L126">
        <v>61.121000000000002</v>
      </c>
      <c r="M126">
        <v>3.9289981360000001</v>
      </c>
      <c r="N126">
        <v>3.9719978189999998</v>
      </c>
      <c r="O126">
        <v>9.1686578000000005E-2</v>
      </c>
      <c r="P126">
        <v>222.821</v>
      </c>
      <c r="Q126">
        <v>215.79499999999999</v>
      </c>
      <c r="R126">
        <v>15.374000000000001</v>
      </c>
      <c r="S126">
        <v>0</v>
      </c>
      <c r="T126">
        <v>32.723999999999997</v>
      </c>
      <c r="U126">
        <v>4.5949999999999998</v>
      </c>
      <c r="V126" s="1" t="str">
        <f>IF(Energy_data_1990___2020[[#This Row],[CO2 emissions from fuel combustion (MtCO2)]]&gt;Energy_data_1990___2020[[#Totals],[CO2 emissions from fuel combustion (MtCO2)]],"Above Average","")</f>
        <v/>
      </c>
      <c r="W126" s="1">
        <f>SUM(Energy_data_1990___2020[[#This Row],[Coal and lignite production (Mt)]]-Energy_data_1990___2020[[#This Row],[Coal and lignite domestic consumption (Mt)]])</f>
        <v>-10.779</v>
      </c>
    </row>
    <row r="127" spans="1:23">
      <c r="A127" t="s">
        <v>31</v>
      </c>
      <c r="B127">
        <v>1991</v>
      </c>
      <c r="C127" t="s">
        <v>26</v>
      </c>
      <c r="D127">
        <v>198.99299569999999</v>
      </c>
      <c r="E127">
        <v>1.388357541</v>
      </c>
      <c r="F127">
        <v>0.12776168700000001</v>
      </c>
      <c r="G127">
        <v>105.1985452</v>
      </c>
      <c r="H127">
        <v>143.3297906</v>
      </c>
      <c r="I127">
        <v>94.62575253</v>
      </c>
      <c r="J127">
        <v>16.0958656</v>
      </c>
      <c r="K127">
        <v>57.857999999999997</v>
      </c>
      <c r="L127">
        <v>58.984999999999999</v>
      </c>
      <c r="M127">
        <v>3.8429966950000001</v>
      </c>
      <c r="N127">
        <v>3.9879966410000001</v>
      </c>
      <c r="O127">
        <v>9.202362E-2</v>
      </c>
      <c r="P127">
        <v>234.37700000000001</v>
      </c>
      <c r="Q127">
        <v>222.81399999999999</v>
      </c>
      <c r="R127">
        <v>17.757000000000001</v>
      </c>
      <c r="S127">
        <v>0</v>
      </c>
      <c r="T127">
        <v>32.326999999999998</v>
      </c>
      <c r="U127">
        <v>5.1879999999999997</v>
      </c>
      <c r="V127" s="1" t="str">
        <f>IF(Energy_data_1990___2020[[#This Row],[CO2 emissions from fuel combustion (MtCO2)]]&gt;Energy_data_1990___2020[[#Totals],[CO2 emissions from fuel combustion (MtCO2)]],"Above Average","")</f>
        <v/>
      </c>
      <c r="W127" s="1">
        <f>SUM(Energy_data_1990___2020[[#This Row],[Coal and lignite production (Mt)]]-Energy_data_1990___2020[[#This Row],[Coal and lignite domestic consumption (Mt)]])</f>
        <v>-12.569000000000003</v>
      </c>
    </row>
    <row r="128" spans="1:23">
      <c r="A128" t="s">
        <v>31</v>
      </c>
      <c r="B128">
        <v>1992</v>
      </c>
      <c r="C128" t="s">
        <v>26</v>
      </c>
      <c r="D128">
        <v>203.69165390000001</v>
      </c>
      <c r="E128">
        <v>1.406763682</v>
      </c>
      <c r="F128">
        <v>0.131391905</v>
      </c>
      <c r="G128">
        <v>105.14134869999999</v>
      </c>
      <c r="H128">
        <v>144.79450700000001</v>
      </c>
      <c r="I128">
        <v>94.419439710000006</v>
      </c>
      <c r="J128">
        <v>16.219633819999999</v>
      </c>
      <c r="K128">
        <v>59.871000000000002</v>
      </c>
      <c r="L128">
        <v>60.963999999999999</v>
      </c>
      <c r="M128">
        <v>4.1389981760000003</v>
      </c>
      <c r="N128">
        <v>4.2580018409999996</v>
      </c>
      <c r="O128">
        <v>9.3400126E-2</v>
      </c>
      <c r="P128">
        <v>241.732</v>
      </c>
      <c r="Q128">
        <v>227.97300000000001</v>
      </c>
      <c r="R128">
        <v>17.023</v>
      </c>
      <c r="S128">
        <v>0</v>
      </c>
      <c r="T128">
        <v>32.781999999999996</v>
      </c>
      <c r="U128">
        <v>4.7309999999999999</v>
      </c>
      <c r="V128" s="1" t="str">
        <f>IF(Energy_data_1990___2020[[#This Row],[CO2 emissions from fuel combustion (MtCO2)]]&gt;Energy_data_1990___2020[[#Totals],[CO2 emissions from fuel combustion (MtCO2)]],"Above Average","")</f>
        <v/>
      </c>
      <c r="W128" s="1">
        <f>SUM(Energy_data_1990___2020[[#This Row],[Coal and lignite production (Mt)]]-Energy_data_1990___2020[[#This Row],[Coal and lignite domestic consumption (Mt)]])</f>
        <v>-12.292</v>
      </c>
    </row>
    <row r="129" spans="1:23">
      <c r="A129" t="s">
        <v>31</v>
      </c>
      <c r="B129">
        <v>1993</v>
      </c>
      <c r="C129" t="s">
        <v>26</v>
      </c>
      <c r="D129">
        <v>211.1014213</v>
      </c>
      <c r="E129">
        <v>1.422270184</v>
      </c>
      <c r="F129">
        <v>0.13010211399999999</v>
      </c>
      <c r="G129">
        <v>106.0514886</v>
      </c>
      <c r="H129">
        <v>148.4256815</v>
      </c>
      <c r="I129">
        <v>95.254706799999994</v>
      </c>
      <c r="J129">
        <v>16.52883564</v>
      </c>
      <c r="K129">
        <v>61.884</v>
      </c>
      <c r="L129">
        <v>61.465000000000003</v>
      </c>
      <c r="M129">
        <v>4.5160030139999998</v>
      </c>
      <c r="N129">
        <v>4.6289949850000003</v>
      </c>
      <c r="O129">
        <v>9.1474964000000006E-2</v>
      </c>
      <c r="P129">
        <v>251.976</v>
      </c>
      <c r="Q129">
        <v>238.63499999999999</v>
      </c>
      <c r="R129">
        <v>17.216000000000001</v>
      </c>
      <c r="S129">
        <v>0</v>
      </c>
      <c r="T129">
        <v>33.424999999999997</v>
      </c>
      <c r="U129">
        <v>4.5949999999999998</v>
      </c>
      <c r="V129" s="1" t="str">
        <f>IF(Energy_data_1990___2020[[#This Row],[CO2 emissions from fuel combustion (MtCO2)]]&gt;Energy_data_1990___2020[[#Totals],[CO2 emissions from fuel combustion (MtCO2)]],"Above Average","")</f>
        <v/>
      </c>
      <c r="W129" s="1">
        <f>SUM(Energy_data_1990___2020[[#This Row],[Coal and lignite production (Mt)]]-Energy_data_1990___2020[[#This Row],[Coal and lignite domestic consumption (Mt)]])</f>
        <v>-12.621000000000002</v>
      </c>
    </row>
    <row r="130" spans="1:23">
      <c r="A130" t="s">
        <v>31</v>
      </c>
      <c r="B130">
        <v>1994</v>
      </c>
      <c r="C130" t="s">
        <v>26</v>
      </c>
      <c r="D130">
        <v>218.96601279999999</v>
      </c>
      <c r="E130">
        <v>1.4014986389999999</v>
      </c>
      <c r="F130">
        <v>0.12811472700000001</v>
      </c>
      <c r="G130">
        <v>111.1030615</v>
      </c>
      <c r="H130">
        <v>156.23705000000001</v>
      </c>
      <c r="I130">
        <v>95.405339929999997</v>
      </c>
      <c r="J130">
        <v>16.31579777</v>
      </c>
      <c r="K130">
        <v>65.516999999999996</v>
      </c>
      <c r="L130">
        <v>65.328000000000003</v>
      </c>
      <c r="M130">
        <v>4.6859978130000002</v>
      </c>
      <c r="N130">
        <v>4.678998912</v>
      </c>
      <c r="O130">
        <v>9.1412666000000004E-2</v>
      </c>
      <c r="P130">
        <v>260.041</v>
      </c>
      <c r="Q130">
        <v>247.666</v>
      </c>
      <c r="R130">
        <v>17.895</v>
      </c>
      <c r="S130">
        <v>0</v>
      </c>
      <c r="T130">
        <v>34.752000000000002</v>
      </c>
      <c r="U130">
        <v>5.1340000000000003</v>
      </c>
      <c r="V130" s="1" t="str">
        <f>IF(Energy_data_1990___2020[[#This Row],[CO2 emissions from fuel combustion (MtCO2)]]&gt;Energy_data_1990___2020[[#Totals],[CO2 emissions from fuel combustion (MtCO2)]],"Above Average","")</f>
        <v/>
      </c>
      <c r="W130" s="1">
        <f>SUM(Energy_data_1990___2020[[#This Row],[Coal and lignite production (Mt)]]-Energy_data_1990___2020[[#This Row],[Coal and lignite domestic consumption (Mt)]])</f>
        <v>-12.760999999999999</v>
      </c>
    </row>
    <row r="131" spans="1:23">
      <c r="A131" t="s">
        <v>31</v>
      </c>
      <c r="B131">
        <v>1995</v>
      </c>
      <c r="C131" t="s">
        <v>26</v>
      </c>
      <c r="D131">
        <v>235.72865970000001</v>
      </c>
      <c r="E131">
        <v>1.458870737</v>
      </c>
      <c r="F131">
        <v>0.132088387</v>
      </c>
      <c r="G131">
        <v>112.48855159999999</v>
      </c>
      <c r="H131">
        <v>161.58296540000001</v>
      </c>
      <c r="I131">
        <v>94.157495800000007</v>
      </c>
      <c r="J131">
        <v>16.59622409</v>
      </c>
      <c r="K131">
        <v>69.986999999999995</v>
      </c>
      <c r="L131">
        <v>64.272000000000006</v>
      </c>
      <c r="M131">
        <v>5.0259976770000003</v>
      </c>
      <c r="N131">
        <v>4.9839946829999997</v>
      </c>
      <c r="O131">
        <v>9.0541528999999996E-2</v>
      </c>
      <c r="P131">
        <v>275.601</v>
      </c>
      <c r="Q131">
        <v>262.35500000000002</v>
      </c>
      <c r="R131">
        <v>18.774999999999999</v>
      </c>
      <c r="S131">
        <v>0</v>
      </c>
      <c r="T131">
        <v>36.073999999999998</v>
      </c>
      <c r="U131">
        <v>5.1989999999999998</v>
      </c>
      <c r="V131" s="1" t="str">
        <f>IF(Energy_data_1990___2020[[#This Row],[CO2 emissions from fuel combustion (MtCO2)]]&gt;Energy_data_1990___2020[[#Totals],[CO2 emissions from fuel combustion (MtCO2)]],"Above Average","")</f>
        <v/>
      </c>
      <c r="W131" s="1">
        <f>SUM(Energy_data_1990___2020[[#This Row],[Coal and lignite production (Mt)]]-Energy_data_1990___2020[[#This Row],[Coal and lignite domestic consumption (Mt)]])</f>
        <v>-13.575999999999999</v>
      </c>
    </row>
    <row r="132" spans="1:23">
      <c r="A132" t="s">
        <v>31</v>
      </c>
      <c r="B132">
        <v>1996</v>
      </c>
      <c r="C132" t="s">
        <v>26</v>
      </c>
      <c r="D132">
        <v>254.2501101</v>
      </c>
      <c r="E132">
        <v>1.4941877640000001</v>
      </c>
      <c r="F132">
        <v>0.13938963600000001</v>
      </c>
      <c r="G132">
        <v>119.04855070000001</v>
      </c>
      <c r="H132">
        <v>170.15941119999999</v>
      </c>
      <c r="I132">
        <v>93.561134039999999</v>
      </c>
      <c r="J132">
        <v>16.572641170000001</v>
      </c>
      <c r="K132">
        <v>75.311999999999998</v>
      </c>
      <c r="L132">
        <v>68.822999999999993</v>
      </c>
      <c r="M132">
        <v>5.6329979229999996</v>
      </c>
      <c r="N132">
        <v>5.6950000379999999</v>
      </c>
      <c r="O132">
        <v>9.3287897999999994E-2</v>
      </c>
      <c r="P132">
        <v>291.27800000000002</v>
      </c>
      <c r="Q132">
        <v>274.892</v>
      </c>
      <c r="R132">
        <v>19.216000000000001</v>
      </c>
      <c r="S132">
        <v>6.8662900000000002E-4</v>
      </c>
      <c r="T132">
        <v>40.683</v>
      </c>
      <c r="U132">
        <v>4.8049999999999997</v>
      </c>
      <c r="V132" s="1" t="str">
        <f>IF(Energy_data_1990___2020[[#This Row],[CO2 emissions from fuel combustion (MtCO2)]]&gt;Energy_data_1990___2020[[#Totals],[CO2 emissions from fuel combustion (MtCO2)]],"Above Average","")</f>
        <v/>
      </c>
      <c r="W132" s="1">
        <f>SUM(Energy_data_1990___2020[[#This Row],[Coal and lignite production (Mt)]]-Energy_data_1990___2020[[#This Row],[Coal and lignite domestic consumption (Mt)]])</f>
        <v>-14.411000000000001</v>
      </c>
    </row>
    <row r="133" spans="1:23">
      <c r="A133" t="s">
        <v>31</v>
      </c>
      <c r="B133">
        <v>1997</v>
      </c>
      <c r="C133" t="s">
        <v>26</v>
      </c>
      <c r="D133">
        <v>271.27956940000001</v>
      </c>
      <c r="E133">
        <v>1.5177982800000001</v>
      </c>
      <c r="F133">
        <v>0.14384260200000001</v>
      </c>
      <c r="G133">
        <v>126.75425130000001</v>
      </c>
      <c r="H133">
        <v>178.73229470000001</v>
      </c>
      <c r="I133">
        <v>92.977836370000006</v>
      </c>
      <c r="J133">
        <v>16.691183729999999</v>
      </c>
      <c r="K133">
        <v>81.463999999999999</v>
      </c>
      <c r="L133">
        <v>74.587999999999994</v>
      </c>
      <c r="M133">
        <v>6.25299637</v>
      </c>
      <c r="N133">
        <v>6.2709972939999998</v>
      </c>
      <c r="O133">
        <v>9.4770566000000001E-2</v>
      </c>
      <c r="P133">
        <v>307.98200000000003</v>
      </c>
      <c r="Q133">
        <v>292.601</v>
      </c>
      <c r="R133">
        <v>19.713000000000001</v>
      </c>
      <c r="S133">
        <v>1.2987770000000001E-3</v>
      </c>
      <c r="T133">
        <v>43.749000000000002</v>
      </c>
      <c r="U133">
        <v>5.6470000000000002</v>
      </c>
      <c r="V133" s="1" t="str">
        <f>IF(Energy_data_1990___2020[[#This Row],[CO2 emissions from fuel combustion (MtCO2)]]&gt;Energy_data_1990___2020[[#Totals],[CO2 emissions from fuel combustion (MtCO2)]],"Above Average","")</f>
        <v/>
      </c>
      <c r="W133" s="1">
        <f>SUM(Energy_data_1990___2020[[#This Row],[Coal and lignite production (Mt)]]-Energy_data_1990___2020[[#This Row],[Coal and lignite domestic consumption (Mt)]])</f>
        <v>-14.066000000000001</v>
      </c>
    </row>
    <row r="134" spans="1:23">
      <c r="A134" t="s">
        <v>31</v>
      </c>
      <c r="B134">
        <v>1998</v>
      </c>
      <c r="C134" t="s">
        <v>26</v>
      </c>
      <c r="D134">
        <v>278.76724089999999</v>
      </c>
      <c r="E134">
        <v>1.52335255</v>
      </c>
      <c r="F134">
        <v>0.14731477800000001</v>
      </c>
      <c r="G134">
        <v>133.88913640000001</v>
      </c>
      <c r="H134">
        <v>182.99588030000001</v>
      </c>
      <c r="I134">
        <v>92.923343729999999</v>
      </c>
      <c r="J134">
        <v>16.84912121</v>
      </c>
      <c r="K134">
        <v>84.879000000000005</v>
      </c>
      <c r="L134">
        <v>80.010000000000005</v>
      </c>
      <c r="M134">
        <v>6.5629985870000001</v>
      </c>
      <c r="N134">
        <v>6.5429931740000002</v>
      </c>
      <c r="O134">
        <v>9.6704322999999995E-2</v>
      </c>
      <c r="P134">
        <v>321.74799999999999</v>
      </c>
      <c r="Q134">
        <v>304.71199999999999</v>
      </c>
      <c r="R134">
        <v>18.954999999999998</v>
      </c>
      <c r="S134">
        <v>1.5540110000000001E-3</v>
      </c>
      <c r="T134">
        <v>50.576999999999998</v>
      </c>
      <c r="U134">
        <v>5.516</v>
      </c>
      <c r="V134" s="1" t="str">
        <f>IF(Energy_data_1990___2020[[#This Row],[CO2 emissions from fuel combustion (MtCO2)]]&gt;Energy_data_1990___2020[[#Totals],[CO2 emissions from fuel combustion (MtCO2)]],"Above Average","")</f>
        <v/>
      </c>
      <c r="W134" s="1">
        <f>SUM(Energy_data_1990___2020[[#This Row],[Coal and lignite production (Mt)]]-Energy_data_1990___2020[[#This Row],[Coal and lignite domestic consumption (Mt)]])</f>
        <v>-13.438999999999998</v>
      </c>
    </row>
    <row r="135" spans="1:23">
      <c r="A135" t="s">
        <v>31</v>
      </c>
      <c r="B135">
        <v>1999</v>
      </c>
      <c r="C135" t="s">
        <v>26</v>
      </c>
      <c r="D135">
        <v>287.94857530000002</v>
      </c>
      <c r="E135">
        <v>1.538787125</v>
      </c>
      <c r="F135">
        <v>0.15145793299999999</v>
      </c>
      <c r="G135">
        <v>141.78498669999999</v>
      </c>
      <c r="H135">
        <v>187.12697199999999</v>
      </c>
      <c r="I135">
        <v>90.036926829999999</v>
      </c>
      <c r="J135">
        <v>16.954652750000001</v>
      </c>
      <c r="K135">
        <v>86.558000000000007</v>
      </c>
      <c r="L135">
        <v>82.879000000000005</v>
      </c>
      <c r="M135">
        <v>6.9740072639999999</v>
      </c>
      <c r="N135">
        <v>7.3649968289999999</v>
      </c>
      <c r="O135">
        <v>9.8426825999999995E-2</v>
      </c>
      <c r="P135">
        <v>334.71600000000001</v>
      </c>
      <c r="Q135">
        <v>313.06200000000001</v>
      </c>
      <c r="R135">
        <v>20.396999999999998</v>
      </c>
      <c r="S135">
        <v>5.9752099999999995E-4</v>
      </c>
      <c r="T135">
        <v>56.774999999999999</v>
      </c>
      <c r="U135">
        <v>5.66</v>
      </c>
      <c r="V135" s="1" t="str">
        <f>IF(Energy_data_1990___2020[[#This Row],[CO2 emissions from fuel combustion (MtCO2)]]&gt;Energy_data_1990___2020[[#Totals],[CO2 emissions from fuel combustion (MtCO2)]],"Above Average","")</f>
        <v/>
      </c>
      <c r="W135" s="1">
        <f>SUM(Energy_data_1990___2020[[#This Row],[Coal and lignite production (Mt)]]-Energy_data_1990___2020[[#This Row],[Coal and lignite domestic consumption (Mt)]])</f>
        <v>-14.736999999999998</v>
      </c>
    </row>
    <row r="136" spans="1:23">
      <c r="A136" t="s">
        <v>31</v>
      </c>
      <c r="B136">
        <v>2000</v>
      </c>
      <c r="C136" t="s">
        <v>26</v>
      </c>
      <c r="D136">
        <v>298.47811130000002</v>
      </c>
      <c r="E136">
        <v>1.5887482040000001</v>
      </c>
      <c r="F136">
        <v>0.150397014</v>
      </c>
      <c r="G136">
        <v>147.96649650000001</v>
      </c>
      <c r="H136">
        <v>187.86999130000001</v>
      </c>
      <c r="I136">
        <v>89.492705860000001</v>
      </c>
      <c r="J136">
        <v>17.608466709999998</v>
      </c>
      <c r="K136">
        <v>87.659000000000006</v>
      </c>
      <c r="L136">
        <v>85.028999999999996</v>
      </c>
      <c r="M136">
        <v>7.3609994289999996</v>
      </c>
      <c r="N136">
        <v>9.5720094049999993</v>
      </c>
      <c r="O136">
        <v>9.4663844999999996E-2</v>
      </c>
      <c r="P136">
        <v>348.91</v>
      </c>
      <c r="Q136">
        <v>328.89800000000002</v>
      </c>
      <c r="R136">
        <v>22.027054679999999</v>
      </c>
      <c r="S136">
        <v>5.7321399999999995E-4</v>
      </c>
      <c r="T136">
        <v>64.096999999999994</v>
      </c>
      <c r="U136">
        <v>6.806</v>
      </c>
      <c r="V136" s="1" t="str">
        <f>IF(Energy_data_1990___2020[[#This Row],[CO2 emissions from fuel combustion (MtCO2)]]&gt;Energy_data_1990___2020[[#Totals],[CO2 emissions from fuel combustion (MtCO2)]],"Above Average","")</f>
        <v/>
      </c>
      <c r="W136" s="1">
        <f>SUM(Energy_data_1990___2020[[#This Row],[Coal and lignite production (Mt)]]-Energy_data_1990___2020[[#This Row],[Coal and lignite domestic consumption (Mt)]])</f>
        <v>-15.221054679999998</v>
      </c>
    </row>
    <row r="137" spans="1:23">
      <c r="A137" t="s">
        <v>31</v>
      </c>
      <c r="B137">
        <v>2001</v>
      </c>
      <c r="C137" t="s">
        <v>26</v>
      </c>
      <c r="D137">
        <v>304.8355158</v>
      </c>
      <c r="E137">
        <v>1.5946899080000001</v>
      </c>
      <c r="F137">
        <v>0.15149475900000001</v>
      </c>
      <c r="G137">
        <v>151.97588329999999</v>
      </c>
      <c r="H137">
        <v>191.15660930000001</v>
      </c>
      <c r="I137">
        <v>84.287445050000002</v>
      </c>
      <c r="J137">
        <v>16.427596229999999</v>
      </c>
      <c r="K137">
        <v>87.567999999999998</v>
      </c>
      <c r="L137">
        <v>87.674000000000007</v>
      </c>
      <c r="M137">
        <v>7.4789973520000004</v>
      </c>
      <c r="N137">
        <v>12.178004359999999</v>
      </c>
      <c r="O137">
        <v>9.4999509999999995E-2</v>
      </c>
      <c r="P137">
        <v>328.50799999999998</v>
      </c>
      <c r="Q137">
        <v>306.76100000000002</v>
      </c>
      <c r="R137">
        <v>21.476892500000002</v>
      </c>
      <c r="S137">
        <v>1.0654231E-2</v>
      </c>
      <c r="T137">
        <v>67.075999999999993</v>
      </c>
      <c r="U137">
        <v>5.6539999999999999</v>
      </c>
      <c r="V137" s="1" t="str">
        <f>IF(Energy_data_1990___2020[[#This Row],[CO2 emissions from fuel combustion (MtCO2)]]&gt;Energy_data_1990___2020[[#Totals],[CO2 emissions from fuel combustion (MtCO2)]],"Above Average","")</f>
        <v/>
      </c>
      <c r="W137" s="1">
        <f>SUM(Energy_data_1990___2020[[#This Row],[Coal and lignite production (Mt)]]-Energy_data_1990___2020[[#This Row],[Coal and lignite domestic consumption (Mt)]])</f>
        <v>-15.822892500000002</v>
      </c>
    </row>
    <row r="138" spans="1:23">
      <c r="A138" t="s">
        <v>31</v>
      </c>
      <c r="B138">
        <v>2002</v>
      </c>
      <c r="C138" t="s">
        <v>26</v>
      </c>
      <c r="D138">
        <v>302.8308308</v>
      </c>
      <c r="E138">
        <v>1.5428963339999999</v>
      </c>
      <c r="F138">
        <v>0.14603923499999999</v>
      </c>
      <c r="G138">
        <v>167.75047939999999</v>
      </c>
      <c r="H138">
        <v>196.27425650000001</v>
      </c>
      <c r="I138">
        <v>85.738173000000003</v>
      </c>
      <c r="J138">
        <v>16.642411589999998</v>
      </c>
      <c r="K138">
        <v>85.313000000000002</v>
      </c>
      <c r="L138">
        <v>86.481999999999999</v>
      </c>
      <c r="M138">
        <v>9.5970039099999997</v>
      </c>
      <c r="N138">
        <v>15.015015549999999</v>
      </c>
      <c r="O138">
        <v>9.4652655000000002E-2</v>
      </c>
      <c r="P138">
        <v>345.67099999999999</v>
      </c>
      <c r="Q138">
        <v>321.12099999999998</v>
      </c>
      <c r="R138">
        <v>20.033761930000001</v>
      </c>
      <c r="S138">
        <v>1.7646838000000001E-2</v>
      </c>
      <c r="T138">
        <v>75.406000000000006</v>
      </c>
      <c r="U138">
        <v>5.1440000000000001</v>
      </c>
      <c r="V138" s="1" t="str">
        <f>IF(Energy_data_1990___2020[[#This Row],[CO2 emissions from fuel combustion (MtCO2)]]&gt;Energy_data_1990___2020[[#Totals],[CO2 emissions from fuel combustion (MtCO2)]],"Above Average","")</f>
        <v/>
      </c>
      <c r="W138" s="1">
        <f>SUM(Energy_data_1990___2020[[#This Row],[Coal and lignite production (Mt)]]-Energy_data_1990___2020[[#This Row],[Coal and lignite domestic consumption (Mt)]])</f>
        <v>-14.889761930000001</v>
      </c>
    </row>
    <row r="139" spans="1:23">
      <c r="A139" t="s">
        <v>31</v>
      </c>
      <c r="B139">
        <v>2003</v>
      </c>
      <c r="C139" t="s">
        <v>26</v>
      </c>
      <c r="D139">
        <v>297.88707299999999</v>
      </c>
      <c r="E139">
        <v>1.4932869129999999</v>
      </c>
      <c r="F139">
        <v>0.14203474899999999</v>
      </c>
      <c r="G139">
        <v>178.7318142</v>
      </c>
      <c r="H139">
        <v>199.48415170000001</v>
      </c>
      <c r="I139">
        <v>87.163603129999998</v>
      </c>
      <c r="J139">
        <v>17.327407229999999</v>
      </c>
      <c r="K139">
        <v>82.391000000000005</v>
      </c>
      <c r="L139">
        <v>87.111999999999995</v>
      </c>
      <c r="M139">
        <v>10.36999084</v>
      </c>
      <c r="N139">
        <v>15.460983369999999</v>
      </c>
      <c r="O139">
        <v>9.5115511999999999E-2</v>
      </c>
      <c r="P139">
        <v>364.339</v>
      </c>
      <c r="Q139">
        <v>339.09500000000003</v>
      </c>
      <c r="R139">
        <v>20.770263889999999</v>
      </c>
      <c r="S139">
        <v>1.6742648999999998E-2</v>
      </c>
      <c r="T139">
        <v>77.936999999999998</v>
      </c>
      <c r="U139">
        <v>4.6459999999999999</v>
      </c>
      <c r="V139" s="1" t="str">
        <f>IF(Energy_data_1990___2020[[#This Row],[CO2 emissions from fuel combustion (MtCO2)]]&gt;Energy_data_1990___2020[[#Totals],[CO2 emissions from fuel combustion (MtCO2)]],"Above Average","")</f>
        <v/>
      </c>
      <c r="W139" s="1">
        <f>SUM(Energy_data_1990___2020[[#This Row],[Coal and lignite production (Mt)]]-Energy_data_1990___2020[[#This Row],[Coal and lignite domestic consumption (Mt)]])</f>
        <v>-16.124263889999998</v>
      </c>
    </row>
    <row r="140" spans="1:23">
      <c r="A140" t="s">
        <v>31</v>
      </c>
      <c r="B140">
        <v>2004</v>
      </c>
      <c r="C140" t="s">
        <v>26</v>
      </c>
      <c r="D140">
        <v>314.75899620000001</v>
      </c>
      <c r="E140">
        <v>1.4940681819999999</v>
      </c>
      <c r="F140">
        <v>0.141905689</v>
      </c>
      <c r="G140">
        <v>182.94062199999999</v>
      </c>
      <c r="H140">
        <v>210.67244450000001</v>
      </c>
      <c r="I140">
        <v>86.032112280000007</v>
      </c>
      <c r="J140">
        <v>17.24959788</v>
      </c>
      <c r="K140">
        <v>85.34</v>
      </c>
      <c r="L140">
        <v>92.522000000000006</v>
      </c>
      <c r="M140">
        <v>10.890989149999999</v>
      </c>
      <c r="N140">
        <v>19.080996209999999</v>
      </c>
      <c r="O140">
        <v>9.4979392999999995E-2</v>
      </c>
      <c r="P140">
        <v>387.45299999999997</v>
      </c>
      <c r="Q140">
        <v>356.26799999999997</v>
      </c>
      <c r="R140">
        <v>21.94226622</v>
      </c>
      <c r="S140">
        <v>1.5743844999999999E-2</v>
      </c>
      <c r="T140">
        <v>77.13</v>
      </c>
      <c r="U140">
        <v>5.4059999999999997</v>
      </c>
      <c r="V140" s="1" t="str">
        <f>IF(Energy_data_1990___2020[[#This Row],[CO2 emissions from fuel combustion (MtCO2)]]&gt;Energy_data_1990___2020[[#Totals],[CO2 emissions from fuel combustion (MtCO2)]],"Above Average","")</f>
        <v/>
      </c>
      <c r="W140" s="1">
        <f>SUM(Energy_data_1990___2020[[#This Row],[Coal and lignite production (Mt)]]-Energy_data_1990___2020[[#This Row],[Coal and lignite domestic consumption (Mt)]])</f>
        <v>-16.536266220000002</v>
      </c>
    </row>
    <row r="141" spans="1:23">
      <c r="A141" t="s">
        <v>31</v>
      </c>
      <c r="B141">
        <v>2005</v>
      </c>
      <c r="C141" t="s">
        <v>26</v>
      </c>
      <c r="D141">
        <v>318.25041729999998</v>
      </c>
      <c r="E141">
        <v>1.473241096</v>
      </c>
      <c r="F141">
        <v>0.13902790200000001</v>
      </c>
      <c r="G141">
        <v>195.23557020000001</v>
      </c>
      <c r="H141">
        <v>216.02059439999999</v>
      </c>
      <c r="I141">
        <v>87.124627509999996</v>
      </c>
      <c r="J141">
        <v>17.6500111</v>
      </c>
      <c r="K141">
        <v>86.510999999999996</v>
      </c>
      <c r="L141">
        <v>92.617000000000004</v>
      </c>
      <c r="M141">
        <v>11.192988420000001</v>
      </c>
      <c r="N141">
        <v>20.294991979999999</v>
      </c>
      <c r="O141">
        <v>9.4368736999999994E-2</v>
      </c>
      <c r="P141">
        <v>403.03300000000002</v>
      </c>
      <c r="Q141">
        <v>371.31400000000002</v>
      </c>
      <c r="R141">
        <v>21.450031150000001</v>
      </c>
      <c r="S141">
        <v>2.3075034000000001E-2</v>
      </c>
      <c r="T141">
        <v>85.094999999999999</v>
      </c>
      <c r="U141">
        <v>6.2549999999999999</v>
      </c>
      <c r="V141" s="1" t="str">
        <f>IF(Energy_data_1990___2020[[#This Row],[CO2 emissions from fuel combustion (MtCO2)]]&gt;Energy_data_1990___2020[[#Totals],[CO2 emissions from fuel combustion (MtCO2)]],"Above Average","")</f>
        <v/>
      </c>
      <c r="W141" s="1">
        <f>SUM(Energy_data_1990___2020[[#This Row],[Coal and lignite production (Mt)]]-Energy_data_1990___2020[[#This Row],[Coal and lignite domestic consumption (Mt)]])</f>
        <v>-15.195031150000002</v>
      </c>
    </row>
    <row r="142" spans="1:23">
      <c r="A142" t="s">
        <v>31</v>
      </c>
      <c r="B142">
        <v>2006</v>
      </c>
      <c r="C142" t="s">
        <v>26</v>
      </c>
      <c r="D142">
        <v>322.16236040000001</v>
      </c>
      <c r="E142">
        <v>1.440940173</v>
      </c>
      <c r="F142">
        <v>0.13537336</v>
      </c>
      <c r="G142">
        <v>206.91479509999999</v>
      </c>
      <c r="H142">
        <v>223.57788790000001</v>
      </c>
      <c r="I142">
        <v>86.747651649999995</v>
      </c>
      <c r="J142">
        <v>17.762623640000001</v>
      </c>
      <c r="K142">
        <v>88.122</v>
      </c>
      <c r="L142">
        <v>93.576999999999998</v>
      </c>
      <c r="M142">
        <v>11.3430023</v>
      </c>
      <c r="N142">
        <v>20.923002</v>
      </c>
      <c r="O142">
        <v>9.3947938999999994E-2</v>
      </c>
      <c r="P142">
        <v>419.33699999999999</v>
      </c>
      <c r="Q142">
        <v>386.089</v>
      </c>
      <c r="R142">
        <v>21.465</v>
      </c>
      <c r="S142">
        <v>5.6517788999999999E-2</v>
      </c>
      <c r="T142">
        <v>90.257000000000005</v>
      </c>
      <c r="U142">
        <v>5.8819999999999997</v>
      </c>
      <c r="V142" s="1" t="str">
        <f>IF(Energy_data_1990___2020[[#This Row],[CO2 emissions from fuel combustion (MtCO2)]]&gt;Energy_data_1990___2020[[#Totals],[CO2 emissions from fuel combustion (MtCO2)]],"Above Average","")</f>
        <v/>
      </c>
      <c r="W142" s="1">
        <f>SUM(Energy_data_1990___2020[[#This Row],[Coal and lignite production (Mt)]]-Energy_data_1990___2020[[#This Row],[Coal and lignite domestic consumption (Mt)]])</f>
        <v>-15.583</v>
      </c>
    </row>
    <row r="143" spans="1:23">
      <c r="A143" t="s">
        <v>31</v>
      </c>
      <c r="B143">
        <v>2007</v>
      </c>
      <c r="C143" t="s">
        <v>26</v>
      </c>
      <c r="D143">
        <v>337.17981209999999</v>
      </c>
      <c r="E143">
        <v>1.426621785</v>
      </c>
      <c r="F143">
        <v>0.133575846</v>
      </c>
      <c r="G143">
        <v>217.19289570000001</v>
      </c>
      <c r="H143">
        <v>236.34842509999999</v>
      </c>
      <c r="I143">
        <v>88.214679649999994</v>
      </c>
      <c r="J143">
        <v>17.652589330000001</v>
      </c>
      <c r="K143">
        <v>92.006</v>
      </c>
      <c r="L143">
        <v>95.747</v>
      </c>
      <c r="M143">
        <v>11.11301066</v>
      </c>
      <c r="N143">
        <v>21.544002760000001</v>
      </c>
      <c r="O143">
        <v>9.3630875000000002E-2</v>
      </c>
      <c r="P143">
        <v>445.14699999999999</v>
      </c>
      <c r="Q143">
        <v>406.42200000000003</v>
      </c>
      <c r="R143">
        <v>22.332999999999998</v>
      </c>
      <c r="S143">
        <v>0.14489595599999999</v>
      </c>
      <c r="T143">
        <v>92.204999999999998</v>
      </c>
      <c r="U143">
        <v>5.9649999999999999</v>
      </c>
      <c r="V143" s="1" t="str">
        <f>IF(Energy_data_1990___2020[[#This Row],[CO2 emissions from fuel combustion (MtCO2)]]&gt;Energy_data_1990___2020[[#Totals],[CO2 emissions from fuel combustion (MtCO2)]],"Above Average","")</f>
        <v/>
      </c>
      <c r="W143" s="1">
        <f>SUM(Energy_data_1990___2020[[#This Row],[Coal and lignite production (Mt)]]-Energy_data_1990___2020[[#This Row],[Coal and lignite domestic consumption (Mt)]])</f>
        <v>-16.367999999999999</v>
      </c>
    </row>
    <row r="144" spans="1:23">
      <c r="A144" t="s">
        <v>31</v>
      </c>
      <c r="B144">
        <v>2008</v>
      </c>
      <c r="C144" t="s">
        <v>26</v>
      </c>
      <c r="D144">
        <v>355.3178719</v>
      </c>
      <c r="E144">
        <v>1.422939782</v>
      </c>
      <c r="F144">
        <v>0.133938272</v>
      </c>
      <c r="G144">
        <v>229.1052205</v>
      </c>
      <c r="H144">
        <v>249.70689300000001</v>
      </c>
      <c r="I144">
        <v>84.266423649999993</v>
      </c>
      <c r="J144">
        <v>17.664098259999999</v>
      </c>
      <c r="K144">
        <v>95.2</v>
      </c>
      <c r="L144">
        <v>96.302999999999997</v>
      </c>
      <c r="M144">
        <v>14.26098404</v>
      </c>
      <c r="N144">
        <v>25.842990740000001</v>
      </c>
      <c r="O144">
        <v>9.4127856999999995E-2</v>
      </c>
      <c r="P144">
        <v>463.06700000000001</v>
      </c>
      <c r="Q144">
        <v>422.56599999999997</v>
      </c>
      <c r="R144">
        <v>22.079537850000001</v>
      </c>
      <c r="S144">
        <v>0.18075138199999999</v>
      </c>
      <c r="T144">
        <v>95.503</v>
      </c>
      <c r="U144">
        <v>6.6120000000000001</v>
      </c>
      <c r="V144" s="1" t="str">
        <f>IF(Energy_data_1990___2020[[#This Row],[CO2 emissions from fuel combustion (MtCO2)]]&gt;Energy_data_1990___2020[[#Totals],[CO2 emissions from fuel combustion (MtCO2)]],"Above Average","")</f>
        <v/>
      </c>
      <c r="W144" s="1">
        <f>SUM(Energy_data_1990___2020[[#This Row],[Coal and lignite production (Mt)]]-Energy_data_1990___2020[[#This Row],[Coal and lignite domestic consumption (Mt)]])</f>
        <v>-15.467537850000001</v>
      </c>
    </row>
    <row r="145" spans="1:23">
      <c r="A145" t="s">
        <v>31</v>
      </c>
      <c r="B145">
        <v>2009</v>
      </c>
      <c r="C145" t="s">
        <v>26</v>
      </c>
      <c r="D145">
        <v>332.84100039999998</v>
      </c>
      <c r="E145">
        <v>1.3779941899999999</v>
      </c>
      <c r="F145">
        <v>0.12562358900000001</v>
      </c>
      <c r="G145">
        <v>231.54199059999999</v>
      </c>
      <c r="H145">
        <v>241.54020589999999</v>
      </c>
      <c r="I145">
        <v>88.995775769999995</v>
      </c>
      <c r="J145">
        <v>17.96211851</v>
      </c>
      <c r="K145">
        <v>94.337000000000003</v>
      </c>
      <c r="L145">
        <v>96.819000000000003</v>
      </c>
      <c r="M145">
        <v>11.98400519</v>
      </c>
      <c r="N145">
        <v>20.675013440000001</v>
      </c>
      <c r="O145">
        <v>9.1164092000000002E-2</v>
      </c>
      <c r="P145">
        <v>466.12099999999998</v>
      </c>
      <c r="Q145">
        <v>420.53199999999998</v>
      </c>
      <c r="R145">
        <v>17.862062309999999</v>
      </c>
      <c r="S145">
        <v>0.26559627200000002</v>
      </c>
      <c r="T145">
        <v>102.121</v>
      </c>
      <c r="U145">
        <v>5.7089999999999996</v>
      </c>
      <c r="V145" s="1" t="str">
        <f>IF(Energy_data_1990___2020[[#This Row],[CO2 emissions from fuel combustion (MtCO2)]]&gt;Energy_data_1990___2020[[#Totals],[CO2 emissions from fuel combustion (MtCO2)]],"Above Average","")</f>
        <v/>
      </c>
      <c r="W145" s="1">
        <f>SUM(Energy_data_1990___2020[[#This Row],[Coal and lignite production (Mt)]]-Energy_data_1990___2020[[#This Row],[Coal and lignite domestic consumption (Mt)]])</f>
        <v>-12.153062309999999</v>
      </c>
    </row>
    <row r="146" spans="1:23">
      <c r="A146" t="s">
        <v>31</v>
      </c>
      <c r="B146">
        <v>2010</v>
      </c>
      <c r="C146" t="s">
        <v>26</v>
      </c>
      <c r="D146">
        <v>376.96914149999998</v>
      </c>
      <c r="E146">
        <v>1.411160083</v>
      </c>
      <c r="F146">
        <v>0.13231762599999999</v>
      </c>
      <c r="G146">
        <v>247.66010420000001</v>
      </c>
      <c r="H146">
        <v>267.13421520000003</v>
      </c>
      <c r="I146">
        <v>84.72423388</v>
      </c>
      <c r="J146">
        <v>17.483483140000001</v>
      </c>
      <c r="K146">
        <v>103.529</v>
      </c>
      <c r="L146">
        <v>97.650999999999996</v>
      </c>
      <c r="M146">
        <v>15.14600169</v>
      </c>
      <c r="N146">
        <v>27.920010550000001</v>
      </c>
      <c r="O146">
        <v>9.3765141999999996E-2</v>
      </c>
      <c r="P146">
        <v>515.745</v>
      </c>
      <c r="Q146">
        <v>459.30799999999999</v>
      </c>
      <c r="R146">
        <v>23.445906539999999</v>
      </c>
      <c r="S146">
        <v>0.42210782499999999</v>
      </c>
      <c r="T146">
        <v>107.44499999999999</v>
      </c>
      <c r="U146">
        <v>5.415</v>
      </c>
      <c r="V146" s="1" t="str">
        <f>IF(Energy_data_1990___2020[[#This Row],[CO2 emissions from fuel combustion (MtCO2)]]&gt;Energy_data_1990___2020[[#Totals],[CO2 emissions from fuel combustion (MtCO2)]],"Above Average","")</f>
        <v/>
      </c>
      <c r="W146" s="1">
        <f>SUM(Energy_data_1990___2020[[#This Row],[Coal and lignite production (Mt)]]-Energy_data_1990___2020[[#This Row],[Coal and lignite domestic consumption (Mt)]])</f>
        <v>-18.03090654</v>
      </c>
    </row>
    <row r="147" spans="1:23">
      <c r="A147" t="s">
        <v>31</v>
      </c>
      <c r="B147">
        <v>2011</v>
      </c>
      <c r="C147" t="s">
        <v>26</v>
      </c>
      <c r="D147">
        <v>396.9225922</v>
      </c>
      <c r="E147">
        <v>1.465153409</v>
      </c>
      <c r="F147">
        <v>0.133995801</v>
      </c>
      <c r="G147">
        <v>249.93660929999999</v>
      </c>
      <c r="H147">
        <v>270.90855449999998</v>
      </c>
      <c r="I147">
        <v>87.15860816</v>
      </c>
      <c r="J147">
        <v>17.654667660000001</v>
      </c>
      <c r="K147">
        <v>109.238</v>
      </c>
      <c r="L147">
        <v>99.741</v>
      </c>
      <c r="M147">
        <v>17.174994359999999</v>
      </c>
      <c r="N147">
        <v>28.22503202</v>
      </c>
      <c r="O147">
        <v>9.1455133999999993E-2</v>
      </c>
      <c r="P147">
        <v>531.75699999999995</v>
      </c>
      <c r="Q147">
        <v>475.89299999999997</v>
      </c>
      <c r="R147">
        <v>25.085622740000002</v>
      </c>
      <c r="S147">
        <v>0.508691</v>
      </c>
      <c r="T147">
        <v>110.509</v>
      </c>
      <c r="U147">
        <v>5.5049999999999999</v>
      </c>
      <c r="V147" s="1" t="str">
        <f>IF(Energy_data_1990___2020[[#This Row],[CO2 emissions from fuel combustion (MtCO2)]]&gt;Energy_data_1990___2020[[#Totals],[CO2 emissions from fuel combustion (MtCO2)]],"Above Average","")</f>
        <v/>
      </c>
      <c r="W147" s="1">
        <f>SUM(Energy_data_1990___2020[[#This Row],[Coal and lignite production (Mt)]]-Energy_data_1990___2020[[#This Row],[Coal and lignite domestic consumption (Mt)]])</f>
        <v>-19.580622740000003</v>
      </c>
    </row>
    <row r="148" spans="1:23">
      <c r="A148" t="s">
        <v>31</v>
      </c>
      <c r="B148">
        <v>2012</v>
      </c>
      <c r="C148" t="s">
        <v>26</v>
      </c>
      <c r="D148">
        <v>429.85404419999998</v>
      </c>
      <c r="E148">
        <v>1.5269930899999999</v>
      </c>
      <c r="F148">
        <v>0.14237773200000001</v>
      </c>
      <c r="G148">
        <v>251.3890044</v>
      </c>
      <c r="H148">
        <v>281.5035949</v>
      </c>
      <c r="I148">
        <v>82.522112680000006</v>
      </c>
      <c r="J148">
        <v>17.740159869999999</v>
      </c>
      <c r="K148">
        <v>115.8</v>
      </c>
      <c r="L148">
        <v>105.348</v>
      </c>
      <c r="M148">
        <v>19.709981710000001</v>
      </c>
      <c r="N148">
        <v>33.07699332</v>
      </c>
      <c r="O148">
        <v>9.3240587E-2</v>
      </c>
      <c r="P148">
        <v>552.62400000000002</v>
      </c>
      <c r="Q148">
        <v>492.25599999999997</v>
      </c>
      <c r="R148">
        <v>25.483577109999999</v>
      </c>
      <c r="S148">
        <v>0.91382205599999999</v>
      </c>
      <c r="T148">
        <v>108.863</v>
      </c>
      <c r="U148">
        <v>6.6159999999999997</v>
      </c>
      <c r="V148" s="1" t="str">
        <f>IF(Energy_data_1990___2020[[#This Row],[CO2 emissions from fuel combustion (MtCO2)]]&gt;Energy_data_1990___2020[[#Totals],[CO2 emissions from fuel combustion (MtCO2)]],"Above Average","")</f>
        <v/>
      </c>
      <c r="W148" s="1">
        <f>SUM(Energy_data_1990___2020[[#This Row],[Coal and lignite production (Mt)]]-Energy_data_1990___2020[[#This Row],[Coal and lignite domestic consumption (Mt)]])</f>
        <v>-18.867577109999999</v>
      </c>
    </row>
    <row r="149" spans="1:23">
      <c r="A149" t="s">
        <v>31</v>
      </c>
      <c r="B149">
        <v>2013</v>
      </c>
      <c r="C149" t="s">
        <v>26</v>
      </c>
      <c r="D149">
        <v>461.63426850000002</v>
      </c>
      <c r="E149">
        <v>1.569479751</v>
      </c>
      <c r="F149">
        <v>0.14844358499999999</v>
      </c>
      <c r="G149">
        <v>252.99366029999999</v>
      </c>
      <c r="H149">
        <v>294.13203199999998</v>
      </c>
      <c r="I149">
        <v>76.75355193</v>
      </c>
      <c r="J149">
        <v>18.00065167</v>
      </c>
      <c r="K149">
        <v>119.815</v>
      </c>
      <c r="L149">
        <v>112.34</v>
      </c>
      <c r="M149">
        <v>21.769989169999999</v>
      </c>
      <c r="N149">
        <v>38.765973529999997</v>
      </c>
      <c r="O149">
        <v>9.4581395999999998E-2</v>
      </c>
      <c r="P149">
        <v>571.09799999999996</v>
      </c>
      <c r="Q149">
        <v>508.512</v>
      </c>
      <c r="R149">
        <v>27.972456040000001</v>
      </c>
      <c r="S149">
        <v>1.152866934</v>
      </c>
      <c r="T149">
        <v>106.63500000000001</v>
      </c>
      <c r="U149">
        <v>8.5939999999999994</v>
      </c>
      <c r="V149" s="1" t="str">
        <f>IF(Energy_data_1990___2020[[#This Row],[CO2 emissions from fuel combustion (MtCO2)]]&gt;Energy_data_1990___2020[[#Totals],[CO2 emissions from fuel combustion (MtCO2)]],"Above Average","")</f>
        <v/>
      </c>
      <c r="W149" s="1">
        <f>SUM(Energy_data_1990___2020[[#This Row],[Coal and lignite production (Mt)]]-Energy_data_1990___2020[[#This Row],[Coal and lignite domestic consumption (Mt)]])</f>
        <v>-19.378456040000003</v>
      </c>
    </row>
    <row r="150" spans="1:23">
      <c r="A150" t="s">
        <v>31</v>
      </c>
      <c r="B150">
        <v>2014</v>
      </c>
      <c r="C150" t="s">
        <v>26</v>
      </c>
      <c r="D150">
        <v>486.95850380000002</v>
      </c>
      <c r="E150">
        <v>1.605630232</v>
      </c>
      <c r="F150">
        <v>0.15580169999999999</v>
      </c>
      <c r="G150">
        <v>266.92063710000002</v>
      </c>
      <c r="H150">
        <v>303.2818479</v>
      </c>
      <c r="I150">
        <v>73.199571320000004</v>
      </c>
      <c r="J150">
        <v>18.183178609999999</v>
      </c>
      <c r="K150">
        <v>123.595</v>
      </c>
      <c r="L150">
        <v>114.723</v>
      </c>
      <c r="M150">
        <v>23.38698836</v>
      </c>
      <c r="N150">
        <v>42.41098899</v>
      </c>
      <c r="O150">
        <v>9.7034607999999994E-2</v>
      </c>
      <c r="P150">
        <v>590.65099999999995</v>
      </c>
      <c r="Q150">
        <v>522.39200000000005</v>
      </c>
      <c r="R150">
        <v>29.551813079999999</v>
      </c>
      <c r="S150">
        <v>2.070088766</v>
      </c>
      <c r="T150">
        <v>118.256</v>
      </c>
      <c r="U150">
        <v>7.9370000000000003</v>
      </c>
      <c r="V150" s="1" t="str">
        <f>IF(Energy_data_1990___2020[[#This Row],[CO2 emissions from fuel combustion (MtCO2)]]&gt;Energy_data_1990___2020[[#Totals],[CO2 emissions from fuel combustion (MtCO2)]],"Above Average","")</f>
        <v/>
      </c>
      <c r="W150" s="1">
        <f>SUM(Energy_data_1990___2020[[#This Row],[Coal and lignite production (Mt)]]-Energy_data_1990___2020[[#This Row],[Coal and lignite domestic consumption (Mt)]])</f>
        <v>-21.614813079999998</v>
      </c>
    </row>
    <row r="151" spans="1:23">
      <c r="A151" t="s">
        <v>31</v>
      </c>
      <c r="B151">
        <v>2015</v>
      </c>
      <c r="C151" t="s">
        <v>26</v>
      </c>
      <c r="D151">
        <v>462.79013420000001</v>
      </c>
      <c r="E151">
        <v>1.556263102</v>
      </c>
      <c r="F151">
        <v>0.15351224499999999</v>
      </c>
      <c r="G151">
        <v>278.27735269999999</v>
      </c>
      <c r="H151">
        <v>297.37268310000002</v>
      </c>
      <c r="I151">
        <v>74.07762717</v>
      </c>
      <c r="J151">
        <v>18.22663593</v>
      </c>
      <c r="K151">
        <v>115.17100000000001</v>
      </c>
      <c r="L151">
        <v>108.11</v>
      </c>
      <c r="M151">
        <v>24.105973370000001</v>
      </c>
      <c r="N151">
        <v>42.065983009999997</v>
      </c>
      <c r="O151">
        <v>9.8641575999999995E-2</v>
      </c>
      <c r="P151">
        <v>581.65200000000004</v>
      </c>
      <c r="Q151">
        <v>514.399</v>
      </c>
      <c r="R151">
        <v>29.761439230000001</v>
      </c>
      <c r="S151">
        <v>3.728174235</v>
      </c>
      <c r="T151">
        <v>127.32899999999999</v>
      </c>
      <c r="U151">
        <v>8.0289999999999999</v>
      </c>
      <c r="V151" s="1" t="str">
        <f>IF(Energy_data_1990___2020[[#This Row],[CO2 emissions from fuel combustion (MtCO2)]]&gt;Energy_data_1990___2020[[#Totals],[CO2 emissions from fuel combustion (MtCO2)]],"Above Average","")</f>
        <v/>
      </c>
      <c r="W151" s="1">
        <f>SUM(Energy_data_1990___2020[[#This Row],[Coal and lignite production (Mt)]]-Energy_data_1990___2020[[#This Row],[Coal and lignite domestic consumption (Mt)]])</f>
        <v>-21.732439230000001</v>
      </c>
    </row>
    <row r="152" spans="1:23">
      <c r="A152" t="s">
        <v>31</v>
      </c>
      <c r="B152">
        <v>2016</v>
      </c>
      <c r="C152" t="s">
        <v>26</v>
      </c>
      <c r="D152">
        <v>429.72855729999998</v>
      </c>
      <c r="E152">
        <v>1.4991267370000001</v>
      </c>
      <c r="F152">
        <v>0.14737320400000001</v>
      </c>
      <c r="G152">
        <v>285.18574580000001</v>
      </c>
      <c r="H152">
        <v>286.65258699999998</v>
      </c>
      <c r="I152">
        <v>80.398832940000005</v>
      </c>
      <c r="J152">
        <v>18.564057389999999</v>
      </c>
      <c r="K152">
        <v>109.59399999999999</v>
      </c>
      <c r="L152">
        <v>100.845</v>
      </c>
      <c r="M152">
        <v>24.35097678</v>
      </c>
      <c r="N152">
        <v>36.132036710000001</v>
      </c>
      <c r="O152">
        <v>9.8306034E-2</v>
      </c>
      <c r="P152">
        <v>578.88900000000001</v>
      </c>
      <c r="Q152">
        <v>513.85400000000004</v>
      </c>
      <c r="R152">
        <v>26.74317185</v>
      </c>
      <c r="S152">
        <v>5.799557428</v>
      </c>
      <c r="T152">
        <v>131.91</v>
      </c>
      <c r="U152">
        <v>7.0049999999999999</v>
      </c>
      <c r="V152" s="1" t="str">
        <f>IF(Energy_data_1990___2020[[#This Row],[CO2 emissions from fuel combustion (MtCO2)]]&gt;Energy_data_1990___2020[[#Totals],[CO2 emissions from fuel combustion (MtCO2)]],"Above Average","")</f>
        <v/>
      </c>
      <c r="W152" s="1">
        <f>SUM(Energy_data_1990___2020[[#This Row],[Coal and lignite production (Mt)]]-Energy_data_1990___2020[[#This Row],[Coal and lignite domestic consumption (Mt)]])</f>
        <v>-19.738171850000001</v>
      </c>
    </row>
    <row r="153" spans="1:23">
      <c r="A153" t="s">
        <v>31</v>
      </c>
      <c r="B153">
        <v>2017</v>
      </c>
      <c r="C153" t="s">
        <v>26</v>
      </c>
      <c r="D153">
        <v>436.43686609999997</v>
      </c>
      <c r="E153">
        <v>1.494909391</v>
      </c>
      <c r="F153">
        <v>0.14771964600000001</v>
      </c>
      <c r="G153">
        <v>294.4493473</v>
      </c>
      <c r="H153">
        <v>291.94870859999997</v>
      </c>
      <c r="I153">
        <v>79.173739839999996</v>
      </c>
      <c r="J153">
        <v>18.45435737</v>
      </c>
      <c r="K153">
        <v>110.578372</v>
      </c>
      <c r="L153">
        <v>97.520685</v>
      </c>
      <c r="M153">
        <v>27.546852300000001</v>
      </c>
      <c r="N153">
        <v>38.467952949999997</v>
      </c>
      <c r="O153">
        <v>9.8815116999999994E-2</v>
      </c>
      <c r="P153">
        <v>589.40138100000001</v>
      </c>
      <c r="Q153">
        <v>520.29717000000005</v>
      </c>
      <c r="R153">
        <v>27.30787591</v>
      </c>
      <c r="S153">
        <v>7.3303187589999999</v>
      </c>
      <c r="T153">
        <v>137.781375</v>
      </c>
      <c r="U153">
        <v>4.8188740000000001</v>
      </c>
      <c r="V153" s="1" t="str">
        <f>IF(Energy_data_1990___2020[[#This Row],[CO2 emissions from fuel combustion (MtCO2)]]&gt;Energy_data_1990___2020[[#Totals],[CO2 emissions from fuel combustion (MtCO2)]],"Above Average","")</f>
        <v/>
      </c>
      <c r="W153" s="1">
        <f>SUM(Energy_data_1990___2020[[#This Row],[Coal and lignite production (Mt)]]-Energy_data_1990___2020[[#This Row],[Coal and lignite domestic consumption (Mt)]])</f>
        <v>-22.489001909999999</v>
      </c>
    </row>
    <row r="154" spans="1:23">
      <c r="A154" t="s">
        <v>31</v>
      </c>
      <c r="B154">
        <v>2018</v>
      </c>
      <c r="C154" t="s">
        <v>26</v>
      </c>
      <c r="D154">
        <v>411.12593629999998</v>
      </c>
      <c r="E154">
        <v>1.427227834</v>
      </c>
      <c r="F154">
        <v>0.13734359900000001</v>
      </c>
      <c r="G154">
        <v>296.8120083</v>
      </c>
      <c r="H154">
        <v>288.05907960000002</v>
      </c>
      <c r="I154">
        <v>82.281622159999998</v>
      </c>
      <c r="J154">
        <v>19.11719162</v>
      </c>
      <c r="K154">
        <v>103.703355</v>
      </c>
      <c r="L154">
        <v>94.991287999999997</v>
      </c>
      <c r="M154">
        <v>24.767113070000001</v>
      </c>
      <c r="N154">
        <v>35.506213180000003</v>
      </c>
      <c r="O154">
        <v>9.6231025999999997E-2</v>
      </c>
      <c r="P154">
        <v>601.37115800000004</v>
      </c>
      <c r="Q154">
        <v>530.58203900000001</v>
      </c>
      <c r="R154">
        <v>26.460442329999999</v>
      </c>
      <c r="S154">
        <v>8.6363594779999993</v>
      </c>
      <c r="T154">
        <v>135.69325499999999</v>
      </c>
      <c r="U154">
        <v>4.8375409999999999</v>
      </c>
      <c r="V154" s="1" t="str">
        <f>IF(Energy_data_1990___2020[[#This Row],[CO2 emissions from fuel combustion (MtCO2)]]&gt;Energy_data_1990___2020[[#Totals],[CO2 emissions from fuel combustion (MtCO2)]],"Above Average","")</f>
        <v/>
      </c>
      <c r="W154" s="1">
        <f>SUM(Energy_data_1990___2020[[#This Row],[Coal and lignite production (Mt)]]-Energy_data_1990___2020[[#This Row],[Coal and lignite domestic consumption (Mt)]])</f>
        <v>-21.622901329999998</v>
      </c>
    </row>
    <row r="155" spans="1:23">
      <c r="A155" t="s">
        <v>31</v>
      </c>
      <c r="B155">
        <v>2019</v>
      </c>
      <c r="C155" t="s">
        <v>26</v>
      </c>
      <c r="D155">
        <v>413.0677743</v>
      </c>
      <c r="E155">
        <v>1.411197034</v>
      </c>
      <c r="F155">
        <v>0.136440969</v>
      </c>
      <c r="G155">
        <v>312.15072040000001</v>
      </c>
      <c r="H155">
        <v>292.7073714</v>
      </c>
      <c r="I155">
        <v>82.229331479999999</v>
      </c>
      <c r="J155">
        <v>19.18287144</v>
      </c>
      <c r="K155">
        <v>104.84877</v>
      </c>
      <c r="L155">
        <v>95.123681000000005</v>
      </c>
      <c r="M155">
        <v>25.93593143</v>
      </c>
      <c r="N155">
        <v>35.793087479999997</v>
      </c>
      <c r="O155">
        <v>9.6684564000000001E-2</v>
      </c>
      <c r="P155">
        <v>626.33493999999996</v>
      </c>
      <c r="Q155">
        <v>538.01425600000005</v>
      </c>
      <c r="R155">
        <v>25.489554720000001</v>
      </c>
      <c r="S155">
        <v>10.00107083</v>
      </c>
      <c r="T155">
        <v>145.60913300000001</v>
      </c>
      <c r="U155">
        <v>5.4096710000000003</v>
      </c>
      <c r="V155" s="1" t="str">
        <f>IF(Energy_data_1990___2020[[#This Row],[CO2 emissions from fuel combustion (MtCO2)]]&gt;Energy_data_1990___2020[[#Totals],[CO2 emissions from fuel combustion (MtCO2)]],"Above Average","")</f>
        <v/>
      </c>
      <c r="W155" s="1">
        <f>SUM(Energy_data_1990___2020[[#This Row],[Coal and lignite production (Mt)]]-Energy_data_1990___2020[[#This Row],[Coal and lignite domestic consumption (Mt)]])</f>
        <v>-20.079883720000002</v>
      </c>
    </row>
    <row r="156" spans="1:23">
      <c r="A156" t="s">
        <v>31</v>
      </c>
      <c r="B156">
        <v>2020</v>
      </c>
      <c r="C156" t="s">
        <v>26</v>
      </c>
      <c r="D156">
        <v>385.43708930000003</v>
      </c>
      <c r="E156">
        <v>1.346575429</v>
      </c>
      <c r="F156">
        <v>0.13317389199999999</v>
      </c>
      <c r="G156">
        <v>323.98680960000002</v>
      </c>
      <c r="H156">
        <v>286.23505310000002</v>
      </c>
      <c r="I156">
        <v>84.100644599999995</v>
      </c>
      <c r="J156">
        <v>19.13704886</v>
      </c>
      <c r="K156">
        <v>100.3192547</v>
      </c>
      <c r="L156">
        <v>97.757252339999994</v>
      </c>
      <c r="M156">
        <v>23.848248850000001</v>
      </c>
      <c r="N156">
        <v>33.084967239999997</v>
      </c>
      <c r="O156">
        <v>9.8898204000000003E-2</v>
      </c>
      <c r="P156">
        <v>613.97694779999995</v>
      </c>
      <c r="Q156">
        <v>529.50563009999996</v>
      </c>
      <c r="R156">
        <v>22.545433599999999</v>
      </c>
      <c r="S156">
        <v>10.60427988</v>
      </c>
      <c r="T156">
        <v>155.97911110000001</v>
      </c>
      <c r="U156">
        <v>5.5494661089999999</v>
      </c>
      <c r="V156" s="1" t="str">
        <f>IF(Energy_data_1990___2020[[#This Row],[CO2 emissions from fuel combustion (MtCO2)]]&gt;Energy_data_1990___2020[[#Totals],[CO2 emissions from fuel combustion (MtCO2)]],"Above Average","")</f>
        <v/>
      </c>
      <c r="W156" s="1">
        <f>SUM(Energy_data_1990___2020[[#This Row],[Coal and lignite production (Mt)]]-Energy_data_1990___2020[[#This Row],[Coal and lignite domestic consumption (Mt)]])</f>
        <v>-16.995967490999998</v>
      </c>
    </row>
    <row r="157" spans="1:23">
      <c r="A157" t="s">
        <v>32</v>
      </c>
      <c r="B157">
        <v>1990</v>
      </c>
      <c r="C157" t="s">
        <v>33</v>
      </c>
      <c r="D157">
        <v>429.73180810000002</v>
      </c>
      <c r="E157">
        <v>1.439730341</v>
      </c>
      <c r="F157">
        <v>0.36726675600000003</v>
      </c>
      <c r="G157">
        <v>276.260492</v>
      </c>
      <c r="H157">
        <v>211.06460680000001</v>
      </c>
      <c r="I157">
        <v>62.38737991</v>
      </c>
      <c r="J157">
        <v>22.715223810000001</v>
      </c>
      <c r="K157">
        <v>76.727000000000004</v>
      </c>
      <c r="L157">
        <v>84.929000000000002</v>
      </c>
      <c r="M157">
        <v>109.0709081</v>
      </c>
      <c r="N157">
        <v>67.318932450000005</v>
      </c>
      <c r="O157">
        <v>0.25509412799999998</v>
      </c>
      <c r="P157">
        <v>482.15199999999999</v>
      </c>
      <c r="Q157">
        <v>441.31400000000002</v>
      </c>
      <c r="R157">
        <v>49.372999999999998</v>
      </c>
      <c r="S157">
        <v>5.3924899999999998E-3</v>
      </c>
      <c r="T157">
        <v>91.61</v>
      </c>
      <c r="U157">
        <v>68.331999999999994</v>
      </c>
      <c r="V157" s="1" t="str">
        <f>IF(Energy_data_1990___2020[[#This Row],[CO2 emissions from fuel combustion (MtCO2)]]&gt;Energy_data_1990___2020[[#Totals],[CO2 emissions from fuel combustion (MtCO2)]],"Above Average","")</f>
        <v/>
      </c>
      <c r="W157" s="1">
        <f>SUM(Energy_data_1990___2020[[#This Row],[Coal and lignite production (Mt)]]-Energy_data_1990___2020[[#This Row],[Coal and lignite domestic consumption (Mt)]])</f>
        <v>18.958999999999996</v>
      </c>
    </row>
    <row r="158" spans="1:23">
      <c r="A158" t="s">
        <v>32</v>
      </c>
      <c r="B158">
        <v>1991</v>
      </c>
      <c r="C158" t="s">
        <v>33</v>
      </c>
      <c r="D158">
        <v>422.7696024</v>
      </c>
      <c r="E158">
        <v>1.4077432540000001</v>
      </c>
      <c r="F158">
        <v>0.36569405100000002</v>
      </c>
      <c r="G158">
        <v>287.55615669999997</v>
      </c>
      <c r="H158">
        <v>210.45236249999999</v>
      </c>
      <c r="I158">
        <v>61.418835479999998</v>
      </c>
      <c r="J158">
        <v>23.187014349999998</v>
      </c>
      <c r="K158">
        <v>73.087000000000003</v>
      </c>
      <c r="L158">
        <v>82.620999999999995</v>
      </c>
      <c r="M158">
        <v>115.0511499</v>
      </c>
      <c r="N158">
        <v>67.688930240000005</v>
      </c>
      <c r="O158">
        <v>0.25977325800000001</v>
      </c>
      <c r="P158">
        <v>508.572</v>
      </c>
      <c r="Q158">
        <v>446.077</v>
      </c>
      <c r="R158">
        <v>51.485999999999997</v>
      </c>
      <c r="S158">
        <v>6.2921280000000001E-3</v>
      </c>
      <c r="T158">
        <v>91.995999999999995</v>
      </c>
      <c r="U158">
        <v>71.134</v>
      </c>
      <c r="V158" s="1" t="str">
        <f>IF(Energy_data_1990___2020[[#This Row],[CO2 emissions from fuel combustion (MtCO2)]]&gt;Energy_data_1990___2020[[#Totals],[CO2 emissions from fuel combustion (MtCO2)]],"Above Average","")</f>
        <v/>
      </c>
      <c r="W158" s="1">
        <f>SUM(Energy_data_1990___2020[[#This Row],[Coal and lignite production (Mt)]]-Energy_data_1990___2020[[#This Row],[Coal and lignite domestic consumption (Mt)]])</f>
        <v>19.648000000000003</v>
      </c>
    </row>
    <row r="159" spans="1:23">
      <c r="A159" t="s">
        <v>32</v>
      </c>
      <c r="B159">
        <v>1992</v>
      </c>
      <c r="C159" t="s">
        <v>33</v>
      </c>
      <c r="D159">
        <v>435.46855640000001</v>
      </c>
      <c r="E159">
        <v>1.40398628</v>
      </c>
      <c r="F159">
        <v>0.37020635699999999</v>
      </c>
      <c r="G159">
        <v>296.56685429999999</v>
      </c>
      <c r="H159">
        <v>215.54237130000001</v>
      </c>
      <c r="I159">
        <v>61.687388300000002</v>
      </c>
      <c r="J159">
        <v>22.9620772</v>
      </c>
      <c r="K159">
        <v>74.858000000000004</v>
      </c>
      <c r="L159">
        <v>81.555000000000007</v>
      </c>
      <c r="M159">
        <v>126.1960375</v>
      </c>
      <c r="N159">
        <v>70.833975710000004</v>
      </c>
      <c r="O159">
        <v>0.26368231800000003</v>
      </c>
      <c r="P159">
        <v>520.39</v>
      </c>
      <c r="Q159">
        <v>450.92700000000002</v>
      </c>
      <c r="R159">
        <v>53.182000000000002</v>
      </c>
      <c r="S159">
        <v>1.8063375999999999E-2</v>
      </c>
      <c r="T159">
        <v>96.367000000000004</v>
      </c>
      <c r="U159">
        <v>65.614000000000004</v>
      </c>
      <c r="V159" s="1" t="str">
        <f>IF(Energy_data_1990___2020[[#This Row],[CO2 emissions from fuel combustion (MtCO2)]]&gt;Energy_data_1990___2020[[#Totals],[CO2 emissions from fuel combustion (MtCO2)]],"Above Average","")</f>
        <v/>
      </c>
      <c r="W159" s="1">
        <f>SUM(Energy_data_1990___2020[[#This Row],[Coal and lignite production (Mt)]]-Energy_data_1990___2020[[#This Row],[Coal and lignite domestic consumption (Mt)]])</f>
        <v>12.432000000000002</v>
      </c>
    </row>
    <row r="160" spans="1:23">
      <c r="A160" t="s">
        <v>32</v>
      </c>
      <c r="B160">
        <v>1993</v>
      </c>
      <c r="C160" t="s">
        <v>33</v>
      </c>
      <c r="D160">
        <v>435.14440919999998</v>
      </c>
      <c r="E160">
        <v>1.323986391</v>
      </c>
      <c r="F160">
        <v>0.35169102800000002</v>
      </c>
      <c r="G160">
        <v>318.57881759999998</v>
      </c>
      <c r="H160">
        <v>222.91243689999999</v>
      </c>
      <c r="I160">
        <v>61.730311069999999</v>
      </c>
      <c r="J160">
        <v>22.881634049999999</v>
      </c>
      <c r="K160">
        <v>75.78</v>
      </c>
      <c r="L160">
        <v>83.994</v>
      </c>
      <c r="M160">
        <v>138.6459112</v>
      </c>
      <c r="N160">
        <v>74.485951069999999</v>
      </c>
      <c r="O160">
        <v>0.26563039500000002</v>
      </c>
      <c r="P160">
        <v>532.22799999999995</v>
      </c>
      <c r="Q160">
        <v>460.21899999999999</v>
      </c>
      <c r="R160">
        <v>50.198</v>
      </c>
      <c r="S160">
        <v>1.7849493000000001E-2</v>
      </c>
      <c r="T160">
        <v>101.316</v>
      </c>
      <c r="U160">
        <v>69.003</v>
      </c>
      <c r="V160" s="1" t="str">
        <f>IF(Energy_data_1990___2020[[#This Row],[CO2 emissions from fuel combustion (MtCO2)]]&gt;Energy_data_1990___2020[[#Totals],[CO2 emissions from fuel combustion (MtCO2)]],"Above Average","")</f>
        <v/>
      </c>
      <c r="W160" s="1">
        <f>SUM(Energy_data_1990___2020[[#This Row],[Coal and lignite production (Mt)]]-Energy_data_1990___2020[[#This Row],[Coal and lignite domestic consumption (Mt)]])</f>
        <v>18.805</v>
      </c>
    </row>
    <row r="161" spans="1:23">
      <c r="A161" t="s">
        <v>32</v>
      </c>
      <c r="B161">
        <v>1994</v>
      </c>
      <c r="C161" t="s">
        <v>33</v>
      </c>
      <c r="D161">
        <v>451.60131109999998</v>
      </c>
      <c r="E161">
        <v>1.3155686289999999</v>
      </c>
      <c r="F161">
        <v>0.34647378000000001</v>
      </c>
      <c r="G161">
        <v>341.3176618</v>
      </c>
      <c r="H161">
        <v>230.94400329999999</v>
      </c>
      <c r="I161">
        <v>60.408360080000001</v>
      </c>
      <c r="J161">
        <v>22.38861966</v>
      </c>
      <c r="K161">
        <v>77.424000000000007</v>
      </c>
      <c r="L161">
        <v>85.323999999999998</v>
      </c>
      <c r="M161">
        <v>150.04996109999999</v>
      </c>
      <c r="N161">
        <v>77.483910460000004</v>
      </c>
      <c r="O161">
        <v>0.26336427699999998</v>
      </c>
      <c r="P161">
        <v>555.78399999999999</v>
      </c>
      <c r="Q161">
        <v>466.762</v>
      </c>
      <c r="R161">
        <v>52.375</v>
      </c>
      <c r="S161">
        <v>1.7092970999999998E-2</v>
      </c>
      <c r="T161">
        <v>105.28</v>
      </c>
      <c r="U161">
        <v>72.822999999999993</v>
      </c>
      <c r="V161" s="1" t="str">
        <f>IF(Energy_data_1990___2020[[#This Row],[CO2 emissions from fuel combustion (MtCO2)]]&gt;Energy_data_1990___2020[[#Totals],[CO2 emissions from fuel combustion (MtCO2)]],"Above Average","")</f>
        <v/>
      </c>
      <c r="W161" s="1">
        <f>SUM(Energy_data_1990___2020[[#This Row],[Coal and lignite production (Mt)]]-Energy_data_1990___2020[[#This Row],[Coal and lignite domestic consumption (Mt)]])</f>
        <v>20.447999999999993</v>
      </c>
    </row>
    <row r="162" spans="1:23">
      <c r="A162" t="s">
        <v>32</v>
      </c>
      <c r="B162">
        <v>1995</v>
      </c>
      <c r="C162" t="s">
        <v>33</v>
      </c>
      <c r="D162">
        <v>460.99646430000001</v>
      </c>
      <c r="E162">
        <v>1.3130489590000001</v>
      </c>
      <c r="F162">
        <v>0.34154148099999998</v>
      </c>
      <c r="G162">
        <v>352.14253989999997</v>
      </c>
      <c r="H162">
        <v>234.23798930000001</v>
      </c>
      <c r="I162">
        <v>61.011826120000002</v>
      </c>
      <c r="J162">
        <v>22.409494670000001</v>
      </c>
      <c r="K162">
        <v>78.555999999999997</v>
      </c>
      <c r="L162">
        <v>85.105999999999995</v>
      </c>
      <c r="M162">
        <v>159.20483659999999</v>
      </c>
      <c r="N162">
        <v>81.427040009999999</v>
      </c>
      <c r="O162">
        <v>0.26011328700000003</v>
      </c>
      <c r="P162">
        <v>560.11599999999999</v>
      </c>
      <c r="Q162">
        <v>475.82900000000001</v>
      </c>
      <c r="R162">
        <v>53.204000000000001</v>
      </c>
      <c r="S162">
        <v>1.7139306999999999E-2</v>
      </c>
      <c r="T162">
        <v>110.277</v>
      </c>
      <c r="U162">
        <v>74.980999999999995</v>
      </c>
      <c r="V162" s="1" t="str">
        <f>IF(Energy_data_1990___2020[[#This Row],[CO2 emissions from fuel combustion (MtCO2)]]&gt;Energy_data_1990___2020[[#Totals],[CO2 emissions from fuel combustion (MtCO2)]],"Above Average","")</f>
        <v/>
      </c>
      <c r="W162" s="1">
        <f>SUM(Energy_data_1990___2020[[#This Row],[Coal and lignite production (Mt)]]-Energy_data_1990___2020[[#This Row],[Coal and lignite domestic consumption (Mt)]])</f>
        <v>21.776999999999994</v>
      </c>
    </row>
    <row r="163" spans="1:23">
      <c r="A163" t="s">
        <v>32</v>
      </c>
      <c r="B163">
        <v>1996</v>
      </c>
      <c r="C163" t="s">
        <v>33</v>
      </c>
      <c r="D163">
        <v>476.21240360000002</v>
      </c>
      <c r="E163">
        <v>1.319651388</v>
      </c>
      <c r="F163">
        <v>0.34458564699999999</v>
      </c>
      <c r="G163">
        <v>360.93902709999998</v>
      </c>
      <c r="H163">
        <v>238.95075829999999</v>
      </c>
      <c r="I163">
        <v>63.113220720000001</v>
      </c>
      <c r="J163">
        <v>22.033301179999999</v>
      </c>
      <c r="K163">
        <v>80.734999999999999</v>
      </c>
      <c r="L163">
        <v>88.947999999999993</v>
      </c>
      <c r="M163">
        <v>165.11392420000001</v>
      </c>
      <c r="N163">
        <v>85.251076119999993</v>
      </c>
      <c r="O163">
        <v>0.26111869399999998</v>
      </c>
      <c r="P163">
        <v>573.04</v>
      </c>
      <c r="Q163">
        <v>483.60399999999998</v>
      </c>
      <c r="R163">
        <v>54.002000000000002</v>
      </c>
      <c r="S163">
        <v>1.7450789000000001E-2</v>
      </c>
      <c r="T163">
        <v>113.486</v>
      </c>
      <c r="U163">
        <v>75.853999999999999</v>
      </c>
      <c r="V163" s="1" t="str">
        <f>IF(Energy_data_1990___2020[[#This Row],[CO2 emissions from fuel combustion (MtCO2)]]&gt;Energy_data_1990___2020[[#Totals],[CO2 emissions from fuel combustion (MtCO2)]],"Above Average","")</f>
        <v/>
      </c>
      <c r="W163" s="1">
        <f>SUM(Energy_data_1990___2020[[#This Row],[Coal and lignite production (Mt)]]-Energy_data_1990___2020[[#This Row],[Coal and lignite domestic consumption (Mt)]])</f>
        <v>21.851999999999997</v>
      </c>
    </row>
    <row r="164" spans="1:23">
      <c r="A164" t="s">
        <v>32</v>
      </c>
      <c r="B164">
        <v>1997</v>
      </c>
      <c r="C164" t="s">
        <v>33</v>
      </c>
      <c r="D164">
        <v>492.88718890000001</v>
      </c>
      <c r="E164">
        <v>1.3691241949999999</v>
      </c>
      <c r="F164">
        <v>0.34651313</v>
      </c>
      <c r="G164">
        <v>367.39508110000003</v>
      </c>
      <c r="H164">
        <v>241.51743490000001</v>
      </c>
      <c r="I164">
        <v>62.358225660000002</v>
      </c>
      <c r="J164">
        <v>22.012878099999998</v>
      </c>
      <c r="K164">
        <v>84.153999999999996</v>
      </c>
      <c r="L164">
        <v>91.402000000000001</v>
      </c>
      <c r="M164">
        <v>168.01587610000001</v>
      </c>
      <c r="N164">
        <v>85.835991609999994</v>
      </c>
      <c r="O164">
        <v>0.25309108699999999</v>
      </c>
      <c r="P164">
        <v>573.71100000000001</v>
      </c>
      <c r="Q164">
        <v>489.78699999999998</v>
      </c>
      <c r="R164">
        <v>57.253999999999998</v>
      </c>
      <c r="S164">
        <v>1.7604682E-2</v>
      </c>
      <c r="T164">
        <v>118.985</v>
      </c>
      <c r="U164">
        <v>78.674000000000007</v>
      </c>
      <c r="V164" s="1" t="str">
        <f>IF(Energy_data_1990___2020[[#This Row],[CO2 emissions from fuel combustion (MtCO2)]]&gt;Energy_data_1990___2020[[#Totals],[CO2 emissions from fuel combustion (MtCO2)]],"Above Average","")</f>
        <v/>
      </c>
      <c r="W164" s="1">
        <f>SUM(Energy_data_1990___2020[[#This Row],[Coal and lignite production (Mt)]]-Energy_data_1990___2020[[#This Row],[Coal and lignite domestic consumption (Mt)]])</f>
        <v>21.420000000000009</v>
      </c>
    </row>
    <row r="165" spans="1:23">
      <c r="A165" t="s">
        <v>32</v>
      </c>
      <c r="B165">
        <v>1998</v>
      </c>
      <c r="C165" t="s">
        <v>33</v>
      </c>
      <c r="D165">
        <v>497.76383170000003</v>
      </c>
      <c r="E165">
        <v>1.4177826019999999</v>
      </c>
      <c r="F165">
        <v>0.347325565</v>
      </c>
      <c r="G165">
        <v>368.3087127</v>
      </c>
      <c r="H165">
        <v>240.3129931</v>
      </c>
      <c r="I165">
        <v>60.413877810000002</v>
      </c>
      <c r="J165">
        <v>22.422185840000001</v>
      </c>
      <c r="K165">
        <v>84.504000000000005</v>
      </c>
      <c r="L165">
        <v>90.96</v>
      </c>
      <c r="M165">
        <v>173.0260414</v>
      </c>
      <c r="N165">
        <v>83.001089870000001</v>
      </c>
      <c r="O165">
        <v>0.24497801299999999</v>
      </c>
      <c r="P165">
        <v>561.76</v>
      </c>
      <c r="Q165">
        <v>487.53199999999998</v>
      </c>
      <c r="R165">
        <v>59.691000000000003</v>
      </c>
      <c r="S165">
        <v>1.8513244000000002E-2</v>
      </c>
      <c r="T165">
        <v>124.684</v>
      </c>
      <c r="U165">
        <v>75.138000000000005</v>
      </c>
      <c r="V165" s="1" t="str">
        <f>IF(Energy_data_1990___2020[[#This Row],[CO2 emissions from fuel combustion (MtCO2)]]&gt;Energy_data_1990___2020[[#Totals],[CO2 emissions from fuel combustion (MtCO2)]],"Above Average","")</f>
        <v/>
      </c>
      <c r="W165" s="1">
        <f>SUM(Energy_data_1990___2020[[#This Row],[Coal and lignite production (Mt)]]-Energy_data_1990___2020[[#This Row],[Coal and lignite domestic consumption (Mt)]])</f>
        <v>15.447000000000003</v>
      </c>
    </row>
    <row r="166" spans="1:23">
      <c r="A166" t="s">
        <v>32</v>
      </c>
      <c r="B166">
        <v>1999</v>
      </c>
      <c r="C166" t="s">
        <v>33</v>
      </c>
      <c r="D166">
        <v>509.0674042</v>
      </c>
      <c r="E166">
        <v>1.3951298569999999</v>
      </c>
      <c r="F166">
        <v>0.33795578199999998</v>
      </c>
      <c r="G166">
        <v>366.92287920000001</v>
      </c>
      <c r="H166">
        <v>247.0617153</v>
      </c>
      <c r="I166">
        <v>61.191145589999998</v>
      </c>
      <c r="J166">
        <v>22.113790259999998</v>
      </c>
      <c r="K166">
        <v>87.108000000000004</v>
      </c>
      <c r="L166">
        <v>92.813999999999993</v>
      </c>
      <c r="M166">
        <v>176.24106019999999</v>
      </c>
      <c r="N166">
        <v>86.928971750000002</v>
      </c>
      <c r="O166">
        <v>0.24223966</v>
      </c>
      <c r="P166">
        <v>579.05600000000004</v>
      </c>
      <c r="Q166">
        <v>497.50200000000001</v>
      </c>
      <c r="R166">
        <v>59.496031610000003</v>
      </c>
      <c r="S166">
        <v>3.6093227999999998E-2</v>
      </c>
      <c r="T166">
        <v>119.858</v>
      </c>
      <c r="U166">
        <v>72.478999999999999</v>
      </c>
      <c r="V166" s="1" t="str">
        <f>IF(Energy_data_1990___2020[[#This Row],[CO2 emissions from fuel combustion (MtCO2)]]&gt;Energy_data_1990___2020[[#Totals],[CO2 emissions from fuel combustion (MtCO2)]],"Above Average","")</f>
        <v/>
      </c>
      <c r="W166" s="1">
        <f>SUM(Energy_data_1990___2020[[#This Row],[Coal and lignite production (Mt)]]-Energy_data_1990___2020[[#This Row],[Coal and lignite domestic consumption (Mt)]])</f>
        <v>12.982968389999996</v>
      </c>
    </row>
    <row r="167" spans="1:23">
      <c r="A167" t="s">
        <v>32</v>
      </c>
      <c r="B167">
        <v>2000</v>
      </c>
      <c r="C167" t="s">
        <v>33</v>
      </c>
      <c r="D167">
        <v>529.71661879999999</v>
      </c>
      <c r="E167">
        <v>1.404045207</v>
      </c>
      <c r="F167">
        <v>0.33353879600000003</v>
      </c>
      <c r="G167">
        <v>375.14861309999998</v>
      </c>
      <c r="H167">
        <v>254.19938239999999</v>
      </c>
      <c r="I167">
        <v>60.607521460000001</v>
      </c>
      <c r="J167">
        <v>22.281394890000001</v>
      </c>
      <c r="K167">
        <v>87.347999999999999</v>
      </c>
      <c r="L167">
        <v>94.563999999999993</v>
      </c>
      <c r="M167">
        <v>181.67286129999999</v>
      </c>
      <c r="N167">
        <v>91.537036060000005</v>
      </c>
      <c r="O167">
        <v>0.23755559600000001</v>
      </c>
      <c r="P167">
        <v>605.70699999999999</v>
      </c>
      <c r="Q167">
        <v>513.66700000000003</v>
      </c>
      <c r="R167">
        <v>63.573968389999997</v>
      </c>
      <c r="S167">
        <v>5.1510054E-2</v>
      </c>
      <c r="T167">
        <v>124.806</v>
      </c>
      <c r="U167">
        <v>69.162999999999997</v>
      </c>
      <c r="V167" s="1" t="str">
        <f>IF(Energy_data_1990___2020[[#This Row],[CO2 emissions from fuel combustion (MtCO2)]]&gt;Energy_data_1990___2020[[#Totals],[CO2 emissions from fuel combustion (MtCO2)]],"Above Average","")</f>
        <v/>
      </c>
      <c r="W167" s="1">
        <f>SUM(Energy_data_1990___2020[[#This Row],[Coal and lignite production (Mt)]]-Energy_data_1990___2020[[#This Row],[Coal and lignite domestic consumption (Mt)]])</f>
        <v>5.5890316099999993</v>
      </c>
    </row>
    <row r="168" spans="1:23">
      <c r="A168" t="s">
        <v>32</v>
      </c>
      <c r="B168">
        <v>2001</v>
      </c>
      <c r="C168" t="s">
        <v>33</v>
      </c>
      <c r="D168">
        <v>523.50585520000004</v>
      </c>
      <c r="E168">
        <v>1.4315095280000001</v>
      </c>
      <c r="F168">
        <v>0.330042638</v>
      </c>
      <c r="G168">
        <v>379.35462840000002</v>
      </c>
      <c r="H168">
        <v>250.1765858</v>
      </c>
      <c r="I168">
        <v>58.040553250000002</v>
      </c>
      <c r="J168">
        <v>23.017773720000001</v>
      </c>
      <c r="K168">
        <v>88.745999999999995</v>
      </c>
      <c r="L168">
        <v>97.433999999999997</v>
      </c>
      <c r="M168">
        <v>186.00288789999999</v>
      </c>
      <c r="N168">
        <v>87.173018709999994</v>
      </c>
      <c r="O168">
        <v>0.23055566999999999</v>
      </c>
      <c r="P168">
        <v>589.89099999999996</v>
      </c>
      <c r="Q168">
        <v>514.11300000000006</v>
      </c>
      <c r="R168">
        <v>63.053968390000001</v>
      </c>
      <c r="S168">
        <v>6.5774863000000003E-2</v>
      </c>
      <c r="T168">
        <v>126.57899999999999</v>
      </c>
      <c r="U168">
        <v>70.355000000000004</v>
      </c>
      <c r="V168" s="1" t="str">
        <f>IF(Energy_data_1990___2020[[#This Row],[CO2 emissions from fuel combustion (MtCO2)]]&gt;Energy_data_1990___2020[[#Totals],[CO2 emissions from fuel combustion (MtCO2)]],"Above Average","")</f>
        <v/>
      </c>
      <c r="W168" s="1">
        <f>SUM(Energy_data_1990___2020[[#This Row],[Coal and lignite production (Mt)]]-Energy_data_1990___2020[[#This Row],[Coal and lignite domestic consumption (Mt)]])</f>
        <v>7.3010316100000026</v>
      </c>
    </row>
    <row r="169" spans="1:23">
      <c r="A169" t="s">
        <v>32</v>
      </c>
      <c r="B169">
        <v>2002</v>
      </c>
      <c r="C169" t="s">
        <v>33</v>
      </c>
      <c r="D169">
        <v>530.29162650000001</v>
      </c>
      <c r="E169">
        <v>1.4216157810000001</v>
      </c>
      <c r="F169">
        <v>0.31793714099999998</v>
      </c>
      <c r="G169">
        <v>386.77447740000002</v>
      </c>
      <c r="H169">
        <v>250.98249319999999</v>
      </c>
      <c r="I169">
        <v>59.893824559999999</v>
      </c>
      <c r="J169">
        <v>22.84579613</v>
      </c>
      <c r="K169">
        <v>89.462999999999994</v>
      </c>
      <c r="L169">
        <v>99.915999999999997</v>
      </c>
      <c r="M169">
        <v>187.27923340000001</v>
      </c>
      <c r="N169">
        <v>91.273112960000006</v>
      </c>
      <c r="O169">
        <v>0.223644915</v>
      </c>
      <c r="P169">
        <v>601.26900000000001</v>
      </c>
      <c r="Q169">
        <v>523.851</v>
      </c>
      <c r="R169">
        <v>62.44196839</v>
      </c>
      <c r="S169">
        <v>7.6837488999999995E-2</v>
      </c>
      <c r="T169">
        <v>132.852</v>
      </c>
      <c r="U169">
        <v>66.507999999999996</v>
      </c>
      <c r="V169" s="1" t="str">
        <f>IF(Energy_data_1990___2020[[#This Row],[CO2 emissions from fuel combustion (MtCO2)]]&gt;Energy_data_1990___2020[[#Totals],[CO2 emissions from fuel combustion (MtCO2)]],"Above Average","")</f>
        <v/>
      </c>
      <c r="W169" s="1">
        <f>SUM(Energy_data_1990___2020[[#This Row],[Coal and lignite production (Mt)]]-Energy_data_1990___2020[[#This Row],[Coal and lignite domestic consumption (Mt)]])</f>
        <v>4.066031609999996</v>
      </c>
    </row>
    <row r="170" spans="1:23">
      <c r="A170" t="s">
        <v>32</v>
      </c>
      <c r="B170">
        <v>2003</v>
      </c>
      <c r="C170" t="s">
        <v>33</v>
      </c>
      <c r="D170">
        <v>551.76613540000005</v>
      </c>
      <c r="E170">
        <v>1.4000480479999999</v>
      </c>
      <c r="F170">
        <v>0.31753701899999998</v>
      </c>
      <c r="G170">
        <v>388.52733330000001</v>
      </c>
      <c r="H170">
        <v>264.2284492</v>
      </c>
      <c r="I170">
        <v>58.923298959999997</v>
      </c>
      <c r="J170">
        <v>22.444768029999999</v>
      </c>
      <c r="K170">
        <v>95.941999999999993</v>
      </c>
      <c r="L170">
        <v>104.646</v>
      </c>
      <c r="M170">
        <v>184.08806279999999</v>
      </c>
      <c r="N170">
        <v>95.370888109999996</v>
      </c>
      <c r="O170">
        <v>0.226804373</v>
      </c>
      <c r="P170">
        <v>589.65300000000002</v>
      </c>
      <c r="Q170">
        <v>534.90300000000002</v>
      </c>
      <c r="R170">
        <v>62.755031610000003</v>
      </c>
      <c r="S170">
        <v>0.14957949800000001</v>
      </c>
      <c r="T170">
        <v>140.42599999999999</v>
      </c>
      <c r="U170">
        <v>62.154000000000003</v>
      </c>
      <c r="V170" s="1" t="str">
        <f>IF(Energy_data_1990___2020[[#This Row],[CO2 emissions from fuel combustion (MtCO2)]]&gt;Energy_data_1990___2020[[#Totals],[CO2 emissions from fuel combustion (MtCO2)]],"Above Average","")</f>
        <v>Above Average</v>
      </c>
      <c r="W170" s="1">
        <f>SUM(Energy_data_1990___2020[[#This Row],[Coal and lignite production (Mt)]]-Energy_data_1990___2020[[#This Row],[Coal and lignite domestic consumption (Mt)]])</f>
        <v>-0.60103160999999972</v>
      </c>
    </row>
    <row r="171" spans="1:23">
      <c r="A171" t="s">
        <v>32</v>
      </c>
      <c r="B171">
        <v>2004</v>
      </c>
      <c r="C171" t="s">
        <v>33</v>
      </c>
      <c r="D171">
        <v>545.13363019999997</v>
      </c>
      <c r="E171">
        <v>1.3600959850000001</v>
      </c>
      <c r="F171">
        <v>0.30425038100000001</v>
      </c>
      <c r="G171">
        <v>400.77175039999997</v>
      </c>
      <c r="H171">
        <v>270.80950719999998</v>
      </c>
      <c r="I171">
        <v>58.454004830000002</v>
      </c>
      <c r="J171">
        <v>22.12020755</v>
      </c>
      <c r="K171">
        <v>99.031000000000006</v>
      </c>
      <c r="L171">
        <v>107.08499999999999</v>
      </c>
      <c r="M171">
        <v>183.6351836</v>
      </c>
      <c r="N171">
        <v>92.753011009999994</v>
      </c>
      <c r="O171">
        <v>0.22369772700000001</v>
      </c>
      <c r="P171">
        <v>599.976</v>
      </c>
      <c r="Q171">
        <v>541.92899999999997</v>
      </c>
      <c r="R171">
        <v>59.963000000000001</v>
      </c>
      <c r="S171">
        <v>0.16633998699999999</v>
      </c>
      <c r="T171">
        <v>145.41900000000001</v>
      </c>
      <c r="U171">
        <v>65.997</v>
      </c>
      <c r="V171" s="1" t="str">
        <f>IF(Energy_data_1990___2020[[#This Row],[CO2 emissions from fuel combustion (MtCO2)]]&gt;Energy_data_1990___2020[[#Totals],[CO2 emissions from fuel combustion (MtCO2)]],"Above Average","")</f>
        <v/>
      </c>
      <c r="W171" s="1">
        <f>SUM(Energy_data_1990___2020[[#This Row],[Coal and lignite production (Mt)]]-Energy_data_1990___2020[[#This Row],[Coal and lignite domestic consumption (Mt)]])</f>
        <v>6.0339999999999989</v>
      </c>
    </row>
    <row r="172" spans="1:23">
      <c r="A172" t="s">
        <v>32</v>
      </c>
      <c r="B172">
        <v>2005</v>
      </c>
      <c r="C172" t="s">
        <v>33</v>
      </c>
      <c r="D172">
        <v>555.28303430000005</v>
      </c>
      <c r="E172">
        <v>1.3828855090000001</v>
      </c>
      <c r="F172">
        <v>0.29839718100000001</v>
      </c>
      <c r="G172">
        <v>402.31589339999999</v>
      </c>
      <c r="H172">
        <v>274.27296719999998</v>
      </c>
      <c r="I172">
        <v>59.842778439999996</v>
      </c>
      <c r="J172">
        <v>22.243613379999999</v>
      </c>
      <c r="K172">
        <v>102.447</v>
      </c>
      <c r="L172">
        <v>102.672</v>
      </c>
      <c r="M172">
        <v>187.98980660000001</v>
      </c>
      <c r="N172">
        <v>98.567013130000007</v>
      </c>
      <c r="O172">
        <v>0.21577866000000001</v>
      </c>
      <c r="P172">
        <v>620.78</v>
      </c>
      <c r="Q172">
        <v>535.09</v>
      </c>
      <c r="R172">
        <v>59.473999999999997</v>
      </c>
      <c r="S172">
        <v>0.25967331399999999</v>
      </c>
      <c r="T172">
        <v>139.57</v>
      </c>
      <c r="U172">
        <v>70.028000000000006</v>
      </c>
      <c r="V172" s="1" t="str">
        <f>IF(Energy_data_1990___2020[[#This Row],[CO2 emissions from fuel combustion (MtCO2)]]&gt;Energy_data_1990___2020[[#Totals],[CO2 emissions from fuel combustion (MtCO2)]],"Above Average","")</f>
        <v>Above Average</v>
      </c>
      <c r="W172" s="1">
        <f>SUM(Energy_data_1990___2020[[#This Row],[Coal and lignite production (Mt)]]-Energy_data_1990___2020[[#This Row],[Coal and lignite domestic consumption (Mt)]])</f>
        <v>10.554000000000009</v>
      </c>
    </row>
    <row r="173" spans="1:23">
      <c r="A173" t="s">
        <v>32</v>
      </c>
      <c r="B173">
        <v>2006</v>
      </c>
      <c r="C173" t="s">
        <v>33</v>
      </c>
      <c r="D173">
        <v>548.10995270000001</v>
      </c>
      <c r="E173">
        <v>1.3382099249999999</v>
      </c>
      <c r="F173">
        <v>0.28143310999999999</v>
      </c>
      <c r="G173">
        <v>419.09861940000002</v>
      </c>
      <c r="H173">
        <v>278.45221950000001</v>
      </c>
      <c r="I173">
        <v>59.542797</v>
      </c>
      <c r="J173">
        <v>22.222058870000001</v>
      </c>
      <c r="K173">
        <v>101.86799999999999</v>
      </c>
      <c r="L173">
        <v>101.146</v>
      </c>
      <c r="M173">
        <v>188.32409390000001</v>
      </c>
      <c r="N173">
        <v>98.123877890000003</v>
      </c>
      <c r="O173">
        <v>0.21030565100000001</v>
      </c>
      <c r="P173">
        <v>609.92600000000004</v>
      </c>
      <c r="Q173">
        <v>526.31600000000003</v>
      </c>
      <c r="R173">
        <v>59.131999999999998</v>
      </c>
      <c r="S173">
        <v>0.41201719599999997</v>
      </c>
      <c r="T173">
        <v>155.24</v>
      </c>
      <c r="U173">
        <v>69.903000000000006</v>
      </c>
      <c r="V173" s="1" t="str">
        <f>IF(Energy_data_1990___2020[[#This Row],[CO2 emissions from fuel combustion (MtCO2)]]&gt;Energy_data_1990___2020[[#Totals],[CO2 emissions from fuel combustion (MtCO2)]],"Above Average","")</f>
        <v/>
      </c>
      <c r="W173" s="1">
        <f>SUM(Energy_data_1990___2020[[#This Row],[Coal and lignite production (Mt)]]-Energy_data_1990___2020[[#This Row],[Coal and lignite domestic consumption (Mt)]])</f>
        <v>10.771000000000008</v>
      </c>
    </row>
    <row r="174" spans="1:23">
      <c r="A174" t="s">
        <v>32</v>
      </c>
      <c r="B174">
        <v>2007</v>
      </c>
      <c r="C174" t="s">
        <v>33</v>
      </c>
      <c r="D174">
        <v>579.63048500000002</v>
      </c>
      <c r="E174">
        <v>1.4120766490000001</v>
      </c>
      <c r="F174">
        <v>0.27764857300000001</v>
      </c>
      <c r="G174">
        <v>421.72002170000002</v>
      </c>
      <c r="H174">
        <v>278.21918299999999</v>
      </c>
      <c r="I174">
        <v>60.279920709999999</v>
      </c>
      <c r="J174">
        <v>21.901030500000001</v>
      </c>
      <c r="K174">
        <v>105.515</v>
      </c>
      <c r="L174">
        <v>102.994</v>
      </c>
      <c r="M174">
        <v>183.03209810000001</v>
      </c>
      <c r="N174">
        <v>98.240084890000006</v>
      </c>
      <c r="O174">
        <v>0.19662429300000001</v>
      </c>
      <c r="P174">
        <v>628.03499999999997</v>
      </c>
      <c r="Q174">
        <v>538.28800000000001</v>
      </c>
      <c r="R174">
        <v>63.752000000000002</v>
      </c>
      <c r="S174">
        <v>0.48659708499999998</v>
      </c>
      <c r="T174">
        <v>159.16</v>
      </c>
      <c r="U174">
        <v>74.051000000000002</v>
      </c>
      <c r="V174" s="1" t="str">
        <f>IF(Energy_data_1990___2020[[#This Row],[CO2 emissions from fuel combustion (MtCO2)]]&gt;Energy_data_1990___2020[[#Totals],[CO2 emissions from fuel combustion (MtCO2)]],"Above Average","")</f>
        <v>Above Average</v>
      </c>
      <c r="W174" s="1">
        <f>SUM(Energy_data_1990___2020[[#This Row],[Coal and lignite production (Mt)]]-Energy_data_1990___2020[[#This Row],[Coal and lignite domestic consumption (Mt)]])</f>
        <v>10.298999999999999</v>
      </c>
    </row>
    <row r="175" spans="1:23">
      <c r="A175" t="s">
        <v>32</v>
      </c>
      <c r="B175">
        <v>2008</v>
      </c>
      <c r="C175" t="s">
        <v>33</v>
      </c>
      <c r="D175">
        <v>557.98323770000002</v>
      </c>
      <c r="E175">
        <v>1.3763125169999999</v>
      </c>
      <c r="F175">
        <v>0.26123835000000001</v>
      </c>
      <c r="G175">
        <v>409.30592239999999</v>
      </c>
      <c r="H175">
        <v>271.28383689999998</v>
      </c>
      <c r="I175">
        <v>61.369300109999998</v>
      </c>
      <c r="J175">
        <v>22.152656830000002</v>
      </c>
      <c r="K175">
        <v>101.732</v>
      </c>
      <c r="L175">
        <v>99.227000000000004</v>
      </c>
      <c r="M175">
        <v>174.08204660000001</v>
      </c>
      <c r="N175">
        <v>96.476117000000002</v>
      </c>
      <c r="O175">
        <v>0.18981034199999999</v>
      </c>
      <c r="P175">
        <v>633.21400000000006</v>
      </c>
      <c r="Q175">
        <v>531.00599999999997</v>
      </c>
      <c r="R175">
        <v>58.469000000000001</v>
      </c>
      <c r="S175">
        <v>0.60611420500000002</v>
      </c>
      <c r="T175">
        <v>156.66</v>
      </c>
      <c r="U175">
        <v>67.75</v>
      </c>
      <c r="V175" s="1" t="str">
        <f>IF(Energy_data_1990___2020[[#This Row],[CO2 emissions from fuel combustion (MtCO2)]]&gt;Energy_data_1990___2020[[#Totals],[CO2 emissions from fuel combustion (MtCO2)]],"Above Average","")</f>
        <v>Above Average</v>
      </c>
      <c r="W175" s="1">
        <f>SUM(Energy_data_1990___2020[[#This Row],[Coal and lignite production (Mt)]]-Energy_data_1990___2020[[#This Row],[Coal and lignite domestic consumption (Mt)]])</f>
        <v>9.2809999999999988</v>
      </c>
    </row>
    <row r="176" spans="1:23">
      <c r="A176" t="s">
        <v>32</v>
      </c>
      <c r="B176">
        <v>2009</v>
      </c>
      <c r="C176" t="s">
        <v>33</v>
      </c>
      <c r="D176">
        <v>530.75722370000005</v>
      </c>
      <c r="E176">
        <v>1.3450662849999999</v>
      </c>
      <c r="F176">
        <v>0.25308858200000001</v>
      </c>
      <c r="G176">
        <v>393.50438830000002</v>
      </c>
      <c r="H176">
        <v>261.0508423</v>
      </c>
      <c r="I176">
        <v>63.005422279999998</v>
      </c>
      <c r="J176">
        <v>22.561384350000001</v>
      </c>
      <c r="K176">
        <v>98.995999999999995</v>
      </c>
      <c r="L176">
        <v>95.897999999999996</v>
      </c>
      <c r="M176">
        <v>162.0939836</v>
      </c>
      <c r="N176">
        <v>93.9819703</v>
      </c>
      <c r="O176">
        <v>0.188160676</v>
      </c>
      <c r="P176">
        <v>608.6</v>
      </c>
      <c r="Q176">
        <v>516.42100000000005</v>
      </c>
      <c r="R176">
        <v>49.524999999999999</v>
      </c>
      <c r="S176">
        <v>1.432467959</v>
      </c>
      <c r="T176">
        <v>155.84</v>
      </c>
      <c r="U176">
        <v>62.936</v>
      </c>
      <c r="V176" s="1" t="str">
        <f>IF(Energy_data_1990___2020[[#This Row],[CO2 emissions from fuel combustion (MtCO2)]]&gt;Energy_data_1990___2020[[#Totals],[CO2 emissions from fuel combustion (MtCO2)]],"Above Average","")</f>
        <v/>
      </c>
      <c r="W176" s="1">
        <f>SUM(Energy_data_1990___2020[[#This Row],[Coal and lignite production (Mt)]]-Energy_data_1990___2020[[#This Row],[Coal and lignite domestic consumption (Mt)]])</f>
        <v>13.411000000000001</v>
      </c>
    </row>
    <row r="177" spans="1:23">
      <c r="A177" t="s">
        <v>32</v>
      </c>
      <c r="B177">
        <v>2010</v>
      </c>
      <c r="C177" t="s">
        <v>33</v>
      </c>
      <c r="D177">
        <v>546.20615669999995</v>
      </c>
      <c r="E177">
        <v>1.3872318589999999</v>
      </c>
      <c r="F177">
        <v>0.25367985399999998</v>
      </c>
      <c r="G177">
        <v>399.41951060000002</v>
      </c>
      <c r="H177">
        <v>261.54569120000002</v>
      </c>
      <c r="I177">
        <v>61.280544429999999</v>
      </c>
      <c r="J177">
        <v>22.25648808</v>
      </c>
      <c r="K177">
        <v>103.33</v>
      </c>
      <c r="L177">
        <v>98.045000000000002</v>
      </c>
      <c r="M177">
        <v>156.30390370000001</v>
      </c>
      <c r="N177">
        <v>97.361978550000003</v>
      </c>
      <c r="O177">
        <v>0.18286766700000001</v>
      </c>
      <c r="P177">
        <v>603.05600000000004</v>
      </c>
      <c r="Q177">
        <v>520.09400000000005</v>
      </c>
      <c r="R177">
        <v>50.837000000000003</v>
      </c>
      <c r="S177">
        <v>1.992020642</v>
      </c>
      <c r="T177">
        <v>163.78</v>
      </c>
      <c r="U177">
        <v>67.894000000000005</v>
      </c>
      <c r="V177" s="1" t="str">
        <f>IF(Energy_data_1990___2020[[#This Row],[CO2 emissions from fuel combustion (MtCO2)]]&gt;Energy_data_1990___2020[[#Totals],[CO2 emissions from fuel combustion (MtCO2)]],"Above Average","")</f>
        <v/>
      </c>
      <c r="W177" s="1">
        <f>SUM(Energy_data_1990___2020[[#This Row],[Coal and lignite production (Mt)]]-Energy_data_1990___2020[[#This Row],[Coal and lignite domestic consumption (Mt)]])</f>
        <v>17.057000000000002</v>
      </c>
    </row>
    <row r="178" spans="1:23">
      <c r="A178" t="s">
        <v>32</v>
      </c>
      <c r="B178">
        <v>2011</v>
      </c>
      <c r="C178" t="s">
        <v>33</v>
      </c>
      <c r="D178">
        <v>558.53762280000001</v>
      </c>
      <c r="E178">
        <v>1.338528562</v>
      </c>
      <c r="F178">
        <v>0.242507798</v>
      </c>
      <c r="G178">
        <v>414.2859808</v>
      </c>
      <c r="H178">
        <v>267.27898349999998</v>
      </c>
      <c r="I178">
        <v>62.483975880000003</v>
      </c>
      <c r="J178">
        <v>21.87651455</v>
      </c>
      <c r="K178">
        <v>103.81</v>
      </c>
      <c r="L178">
        <v>93.97</v>
      </c>
      <c r="M178">
        <v>157.73696129999999</v>
      </c>
      <c r="N178">
        <v>107.5090828</v>
      </c>
      <c r="O178">
        <v>0.18117491399999999</v>
      </c>
      <c r="P178">
        <v>633.41999999999996</v>
      </c>
      <c r="Q178">
        <v>529.90700000000004</v>
      </c>
      <c r="R178">
        <v>48.530999999999999</v>
      </c>
      <c r="S178">
        <v>2.1028701339999998</v>
      </c>
      <c r="T178">
        <v>174.21799999999999</v>
      </c>
      <c r="U178">
        <v>67.507000000000005</v>
      </c>
      <c r="V178" s="1" t="str">
        <f>IF(Energy_data_1990___2020[[#This Row],[CO2 emissions from fuel combustion (MtCO2)]]&gt;Energy_data_1990___2020[[#Totals],[CO2 emissions from fuel combustion (MtCO2)]],"Above Average","")</f>
        <v>Above Average</v>
      </c>
      <c r="W178" s="1">
        <f>SUM(Energy_data_1990___2020[[#This Row],[Coal and lignite production (Mt)]]-Energy_data_1990___2020[[#This Row],[Coal and lignite domestic consumption (Mt)]])</f>
        <v>18.976000000000006</v>
      </c>
    </row>
    <row r="179" spans="1:23">
      <c r="A179" t="s">
        <v>32</v>
      </c>
      <c r="B179">
        <v>2012</v>
      </c>
      <c r="C179" t="s">
        <v>33</v>
      </c>
      <c r="D179">
        <v>559.86969079999994</v>
      </c>
      <c r="E179">
        <v>1.3178882999999999</v>
      </c>
      <c r="F179">
        <v>0.23649498199999999</v>
      </c>
      <c r="G179">
        <v>427.93779990000002</v>
      </c>
      <c r="H179">
        <v>269.39956869999997</v>
      </c>
      <c r="I179">
        <v>63.64487785</v>
      </c>
      <c r="J179">
        <v>21.640169480000001</v>
      </c>
      <c r="K179">
        <v>106.46</v>
      </c>
      <c r="L179">
        <v>96.667000000000002</v>
      </c>
      <c r="M179">
        <v>156.28215349999999</v>
      </c>
      <c r="N179">
        <v>106.6410771</v>
      </c>
      <c r="O179">
        <v>0.179449945</v>
      </c>
      <c r="P179">
        <v>632.09799999999996</v>
      </c>
      <c r="Q179">
        <v>527.178</v>
      </c>
      <c r="R179">
        <v>44.353999999999999</v>
      </c>
      <c r="S179">
        <v>2.3681454460000002</v>
      </c>
      <c r="T179">
        <v>187.57499999999999</v>
      </c>
      <c r="U179">
        <v>66.582999999999998</v>
      </c>
      <c r="V179" s="1" t="str">
        <f>IF(Energy_data_1990___2020[[#This Row],[CO2 emissions from fuel combustion (MtCO2)]]&gt;Energy_data_1990___2020[[#Totals],[CO2 emissions from fuel combustion (MtCO2)]],"Above Average","")</f>
        <v>Above Average</v>
      </c>
      <c r="W179" s="1">
        <f>SUM(Energy_data_1990___2020[[#This Row],[Coal and lignite production (Mt)]]-Energy_data_1990___2020[[#This Row],[Coal and lignite domestic consumption (Mt)]])</f>
        <v>22.228999999999999</v>
      </c>
    </row>
    <row r="180" spans="1:23">
      <c r="A180" t="s">
        <v>32</v>
      </c>
      <c r="B180">
        <v>2013</v>
      </c>
      <c r="C180" t="s">
        <v>33</v>
      </c>
      <c r="D180">
        <v>567.99161170000002</v>
      </c>
      <c r="E180">
        <v>1.2860062969999999</v>
      </c>
      <c r="F180">
        <v>0.23015449399999999</v>
      </c>
      <c r="G180">
        <v>448.770332</v>
      </c>
      <c r="H180">
        <v>274.93729000000002</v>
      </c>
      <c r="I180">
        <v>64.066474580000005</v>
      </c>
      <c r="J180">
        <v>21.954848210000002</v>
      </c>
      <c r="K180">
        <v>104.70699999999999</v>
      </c>
      <c r="L180">
        <v>94.715000000000003</v>
      </c>
      <c r="M180">
        <v>157.45603600000001</v>
      </c>
      <c r="N180">
        <v>111.41004220000001</v>
      </c>
      <c r="O180">
        <v>0.178968404</v>
      </c>
      <c r="P180">
        <v>657.69500000000005</v>
      </c>
      <c r="Q180">
        <v>538.89099999999996</v>
      </c>
      <c r="R180">
        <v>42.84</v>
      </c>
      <c r="S180">
        <v>3.3559628699999999</v>
      </c>
      <c r="T180">
        <v>200.22800000000001</v>
      </c>
      <c r="U180">
        <v>70.147000000000006</v>
      </c>
      <c r="V180" s="1" t="str">
        <f>IF(Energy_data_1990___2020[[#This Row],[CO2 emissions from fuel combustion (MtCO2)]]&gt;Energy_data_1990___2020[[#Totals],[CO2 emissions from fuel combustion (MtCO2)]],"Above Average","")</f>
        <v>Above Average</v>
      </c>
      <c r="W180" s="1">
        <f>SUM(Energy_data_1990___2020[[#This Row],[Coal and lignite production (Mt)]]-Energy_data_1990___2020[[#This Row],[Coal and lignite domestic consumption (Mt)]])</f>
        <v>27.307000000000002</v>
      </c>
    </row>
    <row r="181" spans="1:23">
      <c r="A181" t="s">
        <v>32</v>
      </c>
      <c r="B181">
        <v>2014</v>
      </c>
      <c r="C181" t="s">
        <v>33</v>
      </c>
      <c r="D181">
        <v>570.18967290000001</v>
      </c>
      <c r="E181">
        <v>1.225613069</v>
      </c>
      <c r="F181">
        <v>0.21872535600000001</v>
      </c>
      <c r="G181">
        <v>470.01671470000002</v>
      </c>
      <c r="H181">
        <v>282.02346540000002</v>
      </c>
      <c r="I181">
        <v>63.151942579999996</v>
      </c>
      <c r="J181">
        <v>22.210623139999999</v>
      </c>
      <c r="K181">
        <v>102.623</v>
      </c>
      <c r="L181">
        <v>91.308000000000007</v>
      </c>
      <c r="M181">
        <v>164.102</v>
      </c>
      <c r="N181">
        <v>115.5810656</v>
      </c>
      <c r="O181">
        <v>0.17846199700000001</v>
      </c>
      <c r="P181">
        <v>658.76199999999994</v>
      </c>
      <c r="Q181">
        <v>546.96400000000006</v>
      </c>
      <c r="R181">
        <v>42.07</v>
      </c>
      <c r="S181">
        <v>4.0887300719999997</v>
      </c>
      <c r="T181">
        <v>215.66800000000001</v>
      </c>
      <c r="U181">
        <v>67.444999999999993</v>
      </c>
      <c r="V181" s="1" t="str">
        <f>IF(Energy_data_1990___2020[[#This Row],[CO2 emissions from fuel combustion (MtCO2)]]&gt;Energy_data_1990___2020[[#Totals],[CO2 emissions from fuel combustion (MtCO2)]],"Above Average","")</f>
        <v>Above Average</v>
      </c>
      <c r="W181" s="1">
        <f>SUM(Energy_data_1990___2020[[#This Row],[Coal and lignite production (Mt)]]-Energy_data_1990___2020[[#This Row],[Coal and lignite domestic consumption (Mt)]])</f>
        <v>25.374999999999993</v>
      </c>
    </row>
    <row r="182" spans="1:23">
      <c r="A182" t="s">
        <v>32</v>
      </c>
      <c r="B182">
        <v>2015</v>
      </c>
      <c r="C182" t="s">
        <v>33</v>
      </c>
      <c r="D182">
        <v>570.1871903</v>
      </c>
      <c r="E182">
        <v>1.2160365390000001</v>
      </c>
      <c r="F182">
        <v>0.21624505099999999</v>
      </c>
      <c r="G182">
        <v>473.40994849999998</v>
      </c>
      <c r="H182">
        <v>282.95996009999999</v>
      </c>
      <c r="I182">
        <v>64.032349260000004</v>
      </c>
      <c r="J182">
        <v>22.133104459999998</v>
      </c>
      <c r="K182">
        <v>104.977</v>
      </c>
      <c r="L182">
        <v>90.316999999999993</v>
      </c>
      <c r="M182">
        <v>164.9660677</v>
      </c>
      <c r="N182">
        <v>114.9399208</v>
      </c>
      <c r="O182">
        <v>0.177827757</v>
      </c>
      <c r="P182">
        <v>657.94399999999996</v>
      </c>
      <c r="Q182">
        <v>544.89800000000002</v>
      </c>
      <c r="R182">
        <v>38.847999999999999</v>
      </c>
      <c r="S182">
        <v>4.5616344250000003</v>
      </c>
      <c r="T182">
        <v>221.99199999999999</v>
      </c>
      <c r="U182">
        <v>62.344000000000001</v>
      </c>
      <c r="V182" s="1" t="str">
        <f>IF(Energy_data_1990___2020[[#This Row],[CO2 emissions from fuel combustion (MtCO2)]]&gt;Energy_data_1990___2020[[#Totals],[CO2 emissions from fuel combustion (MtCO2)]],"Above Average","")</f>
        <v>Above Average</v>
      </c>
      <c r="W182" s="1">
        <f>SUM(Energy_data_1990___2020[[#This Row],[Coal and lignite production (Mt)]]-Energy_data_1990___2020[[#This Row],[Coal and lignite domestic consumption (Mt)]])</f>
        <v>23.496000000000002</v>
      </c>
    </row>
    <row r="183" spans="1:23">
      <c r="A183" t="s">
        <v>32</v>
      </c>
      <c r="B183">
        <v>2016</v>
      </c>
      <c r="C183" t="s">
        <v>33</v>
      </c>
      <c r="D183">
        <v>561.10420910000005</v>
      </c>
      <c r="E183">
        <v>1.1925881190000001</v>
      </c>
      <c r="F183">
        <v>0.21297443799999999</v>
      </c>
      <c r="G183">
        <v>479.99256530000002</v>
      </c>
      <c r="H183">
        <v>287.30559720000002</v>
      </c>
      <c r="I183">
        <v>64.801117189999999</v>
      </c>
      <c r="J183">
        <v>22.214952709999999</v>
      </c>
      <c r="K183">
        <v>105.41500000000001</v>
      </c>
      <c r="L183">
        <v>92.055000000000007</v>
      </c>
      <c r="M183">
        <v>176.9780682</v>
      </c>
      <c r="N183">
        <v>112.0890919</v>
      </c>
      <c r="O183">
        <v>0.17858172</v>
      </c>
      <c r="P183">
        <v>663.80799999999999</v>
      </c>
      <c r="Q183">
        <v>540.77300000000002</v>
      </c>
      <c r="R183">
        <v>38.804000000000002</v>
      </c>
      <c r="S183">
        <v>5.2965616559999997</v>
      </c>
      <c r="T183">
        <v>220.84700000000001</v>
      </c>
      <c r="U183">
        <v>59.26</v>
      </c>
      <c r="V183" s="1" t="str">
        <f>IF(Energy_data_1990___2020[[#This Row],[CO2 emissions from fuel combustion (MtCO2)]]&gt;Energy_data_1990___2020[[#Totals],[CO2 emissions from fuel combustion (MtCO2)]],"Above Average","")</f>
        <v>Above Average</v>
      </c>
      <c r="W183" s="1">
        <f>SUM(Energy_data_1990___2020[[#This Row],[Coal and lignite production (Mt)]]-Energy_data_1990___2020[[#This Row],[Coal and lignite domestic consumption (Mt)]])</f>
        <v>20.455999999999996</v>
      </c>
    </row>
    <row r="184" spans="1:23">
      <c r="A184" t="s">
        <v>32</v>
      </c>
      <c r="B184">
        <v>2017</v>
      </c>
      <c r="C184" t="s">
        <v>33</v>
      </c>
      <c r="D184">
        <v>572.02484930000003</v>
      </c>
      <c r="E184">
        <v>1.1781492499999999</v>
      </c>
      <c r="F184">
        <v>0.209899116</v>
      </c>
      <c r="G184">
        <v>509.42890199999999</v>
      </c>
      <c r="H184">
        <v>295.16456829999998</v>
      </c>
      <c r="I184">
        <v>66.543685100000005</v>
      </c>
      <c r="J184">
        <v>22.561470620000001</v>
      </c>
      <c r="K184">
        <v>104.964</v>
      </c>
      <c r="L184">
        <v>96.275000000000006</v>
      </c>
      <c r="M184">
        <v>181.05800669999999</v>
      </c>
      <c r="N184">
        <v>114.4149788</v>
      </c>
      <c r="O184">
        <v>0.17816003899999999</v>
      </c>
      <c r="P184">
        <v>662.97199999999998</v>
      </c>
      <c r="Q184">
        <v>560.51400000000001</v>
      </c>
      <c r="R184">
        <v>38.960999999999999</v>
      </c>
      <c r="S184">
        <v>5.323754246</v>
      </c>
      <c r="T184">
        <v>243.678</v>
      </c>
      <c r="U184">
        <v>61.709000000000003</v>
      </c>
      <c r="V184" s="1" t="str">
        <f>IF(Energy_data_1990___2020[[#This Row],[CO2 emissions from fuel combustion (MtCO2)]]&gt;Energy_data_1990___2020[[#Totals],[CO2 emissions from fuel combustion (MtCO2)]],"Above Average","")</f>
        <v>Above Average</v>
      </c>
      <c r="W184" s="1">
        <f>SUM(Energy_data_1990___2020[[#This Row],[Coal and lignite production (Mt)]]-Energy_data_1990___2020[[#This Row],[Coal and lignite domestic consumption (Mt)]])</f>
        <v>22.748000000000005</v>
      </c>
    </row>
    <row r="185" spans="1:23">
      <c r="A185" t="s">
        <v>32</v>
      </c>
      <c r="B185">
        <v>2018</v>
      </c>
      <c r="C185" t="s">
        <v>33</v>
      </c>
      <c r="D185">
        <v>582.05988160000004</v>
      </c>
      <c r="E185">
        <v>1.1498119920000001</v>
      </c>
      <c r="F185">
        <v>0.20302298999999999</v>
      </c>
      <c r="G185">
        <v>530.17840439999998</v>
      </c>
      <c r="H185">
        <v>298.08052459999999</v>
      </c>
      <c r="I185">
        <v>66.260950890000004</v>
      </c>
      <c r="J185">
        <v>22.354684930000001</v>
      </c>
      <c r="K185">
        <v>107.7296</v>
      </c>
      <c r="L185">
        <v>93.748999999999995</v>
      </c>
      <c r="M185">
        <v>183.22805500000001</v>
      </c>
      <c r="N185">
        <v>121.80990130000001</v>
      </c>
      <c r="O185">
        <v>0.176570598</v>
      </c>
      <c r="P185">
        <v>654.399</v>
      </c>
      <c r="Q185">
        <v>571.99400000000003</v>
      </c>
      <c r="R185">
        <v>31.841999999999999</v>
      </c>
      <c r="S185">
        <v>5.685980571</v>
      </c>
      <c r="T185">
        <v>261.60700000000003</v>
      </c>
      <c r="U185">
        <v>60.286999999999999</v>
      </c>
      <c r="V185" s="1" t="str">
        <f>IF(Energy_data_1990___2020[[#This Row],[CO2 emissions from fuel combustion (MtCO2)]]&gt;Energy_data_1990___2020[[#Totals],[CO2 emissions from fuel combustion (MtCO2)]],"Above Average","")</f>
        <v>Above Average</v>
      </c>
      <c r="W185" s="1">
        <f>SUM(Energy_data_1990___2020[[#This Row],[Coal and lignite production (Mt)]]-Energy_data_1990___2020[[#This Row],[Coal and lignite domestic consumption (Mt)]])</f>
        <v>28.445</v>
      </c>
    </row>
    <row r="186" spans="1:23">
      <c r="A186" t="s">
        <v>32</v>
      </c>
      <c r="B186">
        <v>2019</v>
      </c>
      <c r="C186" t="s">
        <v>33</v>
      </c>
      <c r="D186">
        <v>579.55682549999995</v>
      </c>
      <c r="E186">
        <v>1.1230941059999999</v>
      </c>
      <c r="F186">
        <v>0.19706299999999999</v>
      </c>
      <c r="G186">
        <v>527.35172820000003</v>
      </c>
      <c r="H186">
        <v>301.1183168</v>
      </c>
      <c r="I186">
        <v>65.984150619999994</v>
      </c>
      <c r="J186">
        <v>22.56463819</v>
      </c>
      <c r="K186">
        <v>105.4665234</v>
      </c>
      <c r="L186">
        <v>102.2486418</v>
      </c>
      <c r="M186">
        <v>176.08659069999999</v>
      </c>
      <c r="N186">
        <v>122.8654782</v>
      </c>
      <c r="O186">
        <v>0.17546437000000001</v>
      </c>
      <c r="P186">
        <v>653.29729980000002</v>
      </c>
      <c r="Q186">
        <v>575.46065229999999</v>
      </c>
      <c r="R186">
        <v>30.626683450000002</v>
      </c>
      <c r="S186">
        <v>5.9033033909999997</v>
      </c>
      <c r="T186">
        <v>266.95535469999999</v>
      </c>
      <c r="U186">
        <v>57.196463129999998</v>
      </c>
      <c r="V186" s="1" t="str">
        <f>IF(Energy_data_1990___2020[[#This Row],[CO2 emissions from fuel combustion (MtCO2)]]&gt;Energy_data_1990___2020[[#Totals],[CO2 emissions from fuel combustion (MtCO2)]],"Above Average","")</f>
        <v>Above Average</v>
      </c>
      <c r="W186" s="1">
        <f>SUM(Energy_data_1990___2020[[#This Row],[Coal and lignite production (Mt)]]-Energy_data_1990___2020[[#This Row],[Coal and lignite domestic consumption (Mt)]])</f>
        <v>26.569779679999996</v>
      </c>
    </row>
    <row r="187" spans="1:23">
      <c r="A187" t="s">
        <v>32</v>
      </c>
      <c r="B187">
        <v>2020</v>
      </c>
      <c r="C187" t="s">
        <v>33</v>
      </c>
      <c r="D187">
        <v>515.56875749999995</v>
      </c>
      <c r="E187">
        <v>1.0167671060000001</v>
      </c>
      <c r="F187">
        <v>0.175872003</v>
      </c>
      <c r="G187">
        <v>504.33040920000002</v>
      </c>
      <c r="H187">
        <v>280.81130639999998</v>
      </c>
      <c r="I187">
        <v>67.723029740000001</v>
      </c>
      <c r="J187">
        <v>24.03373474</v>
      </c>
      <c r="K187">
        <v>89.223369640000001</v>
      </c>
      <c r="L187">
        <v>90.500378740000002</v>
      </c>
      <c r="M187">
        <v>172.01189629999999</v>
      </c>
      <c r="N187">
        <v>117.15845969999999</v>
      </c>
      <c r="O187">
        <v>0.172971767</v>
      </c>
      <c r="P187">
        <v>648.35920520000002</v>
      </c>
      <c r="Q187">
        <v>555.84020120000002</v>
      </c>
      <c r="R187">
        <v>27.85305378</v>
      </c>
      <c r="S187">
        <v>6.5275766590000002</v>
      </c>
      <c r="T187">
        <v>254.9965378</v>
      </c>
      <c r="U187">
        <v>45.22610822</v>
      </c>
      <c r="V187" s="1" t="str">
        <f>IF(Energy_data_1990___2020[[#This Row],[CO2 emissions from fuel combustion (MtCO2)]]&gt;Energy_data_1990___2020[[#Totals],[CO2 emissions from fuel combustion (MtCO2)]],"Above Average","")</f>
        <v/>
      </c>
      <c r="W187" s="1">
        <f>SUM(Energy_data_1990___2020[[#This Row],[Coal and lignite production (Mt)]]-Energy_data_1990___2020[[#This Row],[Coal and lignite domestic consumption (Mt)]])</f>
        <v>17.373054440000001</v>
      </c>
    </row>
    <row r="188" spans="1:23">
      <c r="A188" t="s">
        <v>34</v>
      </c>
      <c r="B188">
        <v>1990</v>
      </c>
      <c r="C188" t="s">
        <v>26</v>
      </c>
      <c r="D188">
        <v>30.954349619999999</v>
      </c>
      <c r="E188">
        <v>2.2093639760000001</v>
      </c>
      <c r="F188">
        <v>0.255029956</v>
      </c>
      <c r="G188">
        <v>7.9288174360000001</v>
      </c>
      <c r="H188">
        <v>14.01052518</v>
      </c>
      <c r="I188">
        <v>53.837361199999997</v>
      </c>
      <c r="J188">
        <v>11.83773422</v>
      </c>
      <c r="K188">
        <v>6.2140000000000004</v>
      </c>
      <c r="L188">
        <v>6.3449999999999998</v>
      </c>
      <c r="M188">
        <v>1.679001162</v>
      </c>
      <c r="N188">
        <v>1.36000041</v>
      </c>
      <c r="O188">
        <v>0.11543139099999999</v>
      </c>
      <c r="P188">
        <v>18.372</v>
      </c>
      <c r="Q188">
        <v>15.811</v>
      </c>
      <c r="R188">
        <v>3.7413296890000001</v>
      </c>
      <c r="S188">
        <v>0</v>
      </c>
      <c r="T188">
        <v>1.1020000000000001</v>
      </c>
      <c r="U188">
        <v>2.1829999999999998</v>
      </c>
      <c r="V188" s="1" t="str">
        <f>IF(Energy_data_1990___2020[[#This Row],[CO2 emissions from fuel combustion (MtCO2)]]&gt;Energy_data_1990___2020[[#Totals],[CO2 emissions from fuel combustion (MtCO2)]],"Above Average","")</f>
        <v/>
      </c>
      <c r="W188" s="1">
        <f>SUM(Energy_data_1990___2020[[#This Row],[Coal and lignite production (Mt)]]-Energy_data_1990___2020[[#This Row],[Coal and lignite domestic consumption (Mt)]])</f>
        <v>-1.5583296890000002</v>
      </c>
    </row>
    <row r="189" spans="1:23">
      <c r="A189" t="s">
        <v>34</v>
      </c>
      <c r="B189">
        <v>1991</v>
      </c>
      <c r="C189" t="s">
        <v>26</v>
      </c>
      <c r="D189">
        <v>29.465361290000001</v>
      </c>
      <c r="E189">
        <v>2.0567268869999999</v>
      </c>
      <c r="F189">
        <v>0.225187785</v>
      </c>
      <c r="G189">
        <v>8.3496376639999994</v>
      </c>
      <c r="H189">
        <v>14.32633641</v>
      </c>
      <c r="I189">
        <v>70.973398130000007</v>
      </c>
      <c r="J189">
        <v>12.207029049999999</v>
      </c>
      <c r="K189">
        <v>6.54</v>
      </c>
      <c r="L189">
        <v>6.4770000000000003</v>
      </c>
      <c r="M189">
        <v>1.4730003250000001</v>
      </c>
      <c r="N189">
        <v>1.14299968</v>
      </c>
      <c r="O189">
        <v>0.109488424</v>
      </c>
      <c r="P189">
        <v>19.960999999999999</v>
      </c>
      <c r="Q189">
        <v>17.271999999999998</v>
      </c>
      <c r="R189">
        <v>2.976548223</v>
      </c>
      <c r="S189">
        <v>0</v>
      </c>
      <c r="T189">
        <v>1.0049999999999999</v>
      </c>
      <c r="U189">
        <v>2.2080000000000002</v>
      </c>
      <c r="V189" s="1" t="str">
        <f>IF(Energy_data_1990___2020[[#This Row],[CO2 emissions from fuel combustion (MtCO2)]]&gt;Energy_data_1990___2020[[#Totals],[CO2 emissions from fuel combustion (MtCO2)]],"Above Average","")</f>
        <v/>
      </c>
      <c r="W189" s="1">
        <f>SUM(Energy_data_1990___2020[[#This Row],[Coal and lignite production (Mt)]]-Energy_data_1990___2020[[#This Row],[Coal and lignite domestic consumption (Mt)]])</f>
        <v>-0.76854822299999981</v>
      </c>
    </row>
    <row r="190" spans="1:23">
      <c r="A190" t="s">
        <v>34</v>
      </c>
      <c r="B190">
        <v>1992</v>
      </c>
      <c r="C190" t="s">
        <v>26</v>
      </c>
      <c r="D190">
        <v>30.607020609999999</v>
      </c>
      <c r="E190">
        <v>1.975605104</v>
      </c>
      <c r="F190">
        <v>0.210416295</v>
      </c>
      <c r="G190">
        <v>8.631507719</v>
      </c>
      <c r="H190">
        <v>15.49247901</v>
      </c>
      <c r="I190">
        <v>82.694629520000007</v>
      </c>
      <c r="J190">
        <v>12.47933587</v>
      </c>
      <c r="K190">
        <v>7.085</v>
      </c>
      <c r="L190">
        <v>6.7190000000000003</v>
      </c>
      <c r="M190">
        <v>1.6859983220000001</v>
      </c>
      <c r="N190">
        <v>1.3579985020000001</v>
      </c>
      <c r="O190">
        <v>0.106507264</v>
      </c>
      <c r="P190">
        <v>22.363</v>
      </c>
      <c r="Q190">
        <v>19.613</v>
      </c>
      <c r="R190">
        <v>2.6494481410000001</v>
      </c>
      <c r="S190">
        <v>0</v>
      </c>
      <c r="T190">
        <v>0.86599999999999999</v>
      </c>
      <c r="U190">
        <v>1.6259999999999999</v>
      </c>
      <c r="V190" s="1" t="str">
        <f>IF(Energy_data_1990___2020[[#This Row],[CO2 emissions from fuel combustion (MtCO2)]]&gt;Energy_data_1990___2020[[#Totals],[CO2 emissions from fuel combustion (MtCO2)]],"Above Average","")</f>
        <v/>
      </c>
      <c r="W190" s="1">
        <f>SUM(Energy_data_1990___2020[[#This Row],[Coal and lignite production (Mt)]]-Energy_data_1990___2020[[#This Row],[Coal and lignite domestic consumption (Mt)]])</f>
        <v>-1.0234481410000003</v>
      </c>
    </row>
    <row r="191" spans="1:23">
      <c r="A191" t="s">
        <v>34</v>
      </c>
      <c r="B191">
        <v>1993</v>
      </c>
      <c r="C191" t="s">
        <v>26</v>
      </c>
      <c r="D191">
        <v>32.402555489999997</v>
      </c>
      <c r="E191">
        <v>2.0408041969999999</v>
      </c>
      <c r="F191">
        <v>0.20899027100000001</v>
      </c>
      <c r="G191">
        <v>8.2315696230000004</v>
      </c>
      <c r="H191">
        <v>15.877346559999999</v>
      </c>
      <c r="I191">
        <v>81.664791899999997</v>
      </c>
      <c r="J191">
        <v>12.83237849</v>
      </c>
      <c r="K191">
        <v>7.6609999999999996</v>
      </c>
      <c r="L191">
        <v>7.14</v>
      </c>
      <c r="M191">
        <v>1.611998577</v>
      </c>
      <c r="N191">
        <v>1.2740005729999999</v>
      </c>
      <c r="O191">
        <v>0.102405842</v>
      </c>
      <c r="P191">
        <v>24.003</v>
      </c>
      <c r="Q191">
        <v>20.648</v>
      </c>
      <c r="R191">
        <v>2.6727755439999998</v>
      </c>
      <c r="S191">
        <v>0</v>
      </c>
      <c r="T191">
        <v>0.85</v>
      </c>
      <c r="U191">
        <v>1.355</v>
      </c>
      <c r="V191" s="1" t="str">
        <f>IF(Energy_data_1990___2020[[#This Row],[CO2 emissions from fuel combustion (MtCO2)]]&gt;Energy_data_1990___2020[[#Totals],[CO2 emissions from fuel combustion (MtCO2)]],"Above Average","")</f>
        <v/>
      </c>
      <c r="W191" s="1">
        <f>SUM(Energy_data_1990___2020[[#This Row],[Coal and lignite production (Mt)]]-Energy_data_1990___2020[[#This Row],[Coal and lignite domestic consumption (Mt)]])</f>
        <v>-1.3177755439999999</v>
      </c>
    </row>
    <row r="192" spans="1:23">
      <c r="A192" t="s">
        <v>34</v>
      </c>
      <c r="B192">
        <v>1994</v>
      </c>
      <c r="C192" t="s">
        <v>26</v>
      </c>
      <c r="D192">
        <v>35.629929750000002</v>
      </c>
      <c r="E192">
        <v>2.0871645559999998</v>
      </c>
      <c r="F192">
        <v>0.21880013700000001</v>
      </c>
      <c r="G192">
        <v>8.3172673879999994</v>
      </c>
      <c r="H192">
        <v>17.070972980000001</v>
      </c>
      <c r="I192">
        <v>74.265142220000001</v>
      </c>
      <c r="J192">
        <v>12.88267538</v>
      </c>
      <c r="K192">
        <v>8.3209999999999997</v>
      </c>
      <c r="L192">
        <v>7.6950000000000003</v>
      </c>
      <c r="M192">
        <v>1.768001044</v>
      </c>
      <c r="N192">
        <v>1.3679988139999999</v>
      </c>
      <c r="O192">
        <v>0.104831282</v>
      </c>
      <c r="P192">
        <v>25.277000000000001</v>
      </c>
      <c r="Q192">
        <v>21.957000000000001</v>
      </c>
      <c r="R192">
        <v>3.1750332229999998</v>
      </c>
      <c r="S192">
        <v>0</v>
      </c>
      <c r="T192">
        <v>0.84</v>
      </c>
      <c r="U192">
        <v>1.1819999999999999</v>
      </c>
      <c r="V192" s="1" t="str">
        <f>IF(Energy_data_1990___2020[[#This Row],[CO2 emissions from fuel combustion (MtCO2)]]&gt;Energy_data_1990___2020[[#Totals],[CO2 emissions from fuel combustion (MtCO2)]],"Above Average","")</f>
        <v/>
      </c>
      <c r="W192" s="1">
        <f>SUM(Energy_data_1990___2020[[#This Row],[Coal and lignite production (Mt)]]-Energy_data_1990___2020[[#This Row],[Coal and lignite domestic consumption (Mt)]])</f>
        <v>-1.9930332229999999</v>
      </c>
    </row>
    <row r="193" spans="1:23">
      <c r="A193" t="s">
        <v>34</v>
      </c>
      <c r="B193">
        <v>1995</v>
      </c>
      <c r="C193" t="s">
        <v>26</v>
      </c>
      <c r="D193">
        <v>38.789704129999997</v>
      </c>
      <c r="E193">
        <v>2.1146074490000002</v>
      </c>
      <c r="F193">
        <v>0.21866961800000001</v>
      </c>
      <c r="G193">
        <v>8.303657673</v>
      </c>
      <c r="H193">
        <v>18.343690290000001</v>
      </c>
      <c r="I193">
        <v>72.405180720000004</v>
      </c>
      <c r="J193">
        <v>13.49644692</v>
      </c>
      <c r="K193">
        <v>9.0120000000000005</v>
      </c>
      <c r="L193">
        <v>8.1259999999999994</v>
      </c>
      <c r="M193">
        <v>1.7040008799999999</v>
      </c>
      <c r="N193">
        <v>1.3589989149999999</v>
      </c>
      <c r="O193">
        <v>0.103409083</v>
      </c>
      <c r="P193">
        <v>28.027000000000001</v>
      </c>
      <c r="Q193">
        <v>24.481000000000002</v>
      </c>
      <c r="R193">
        <v>3.5159000379999998</v>
      </c>
      <c r="S193">
        <v>0</v>
      </c>
      <c r="T193">
        <v>0.63500000000000001</v>
      </c>
      <c r="U193">
        <v>1.038</v>
      </c>
      <c r="V193" s="1" t="str">
        <f>IF(Energy_data_1990___2020[[#This Row],[CO2 emissions from fuel combustion (MtCO2)]]&gt;Energy_data_1990___2020[[#Totals],[CO2 emissions from fuel combustion (MtCO2)]],"Above Average","")</f>
        <v/>
      </c>
      <c r="W193" s="1">
        <f>SUM(Energy_data_1990___2020[[#This Row],[Coal and lignite production (Mt)]]-Energy_data_1990___2020[[#This Row],[Coal and lignite domestic consumption (Mt)]])</f>
        <v>-2.4779000379999996</v>
      </c>
    </row>
    <row r="194" spans="1:23">
      <c r="A194" t="s">
        <v>34</v>
      </c>
      <c r="B194">
        <v>1996</v>
      </c>
      <c r="C194" t="s">
        <v>26</v>
      </c>
      <c r="D194">
        <v>44.738846240000001</v>
      </c>
      <c r="E194">
        <v>2.201966144</v>
      </c>
      <c r="F194">
        <v>0.23614222300000001</v>
      </c>
      <c r="G194">
        <v>8.3307932010000005</v>
      </c>
      <c r="H194">
        <v>20.31768125</v>
      </c>
      <c r="I194">
        <v>60.45293333</v>
      </c>
      <c r="J194">
        <v>13.914608729999999</v>
      </c>
      <c r="K194">
        <v>9.952</v>
      </c>
      <c r="L194">
        <v>8.5779999999999994</v>
      </c>
      <c r="M194">
        <v>1.723998557</v>
      </c>
      <c r="N194">
        <v>1.3950015600000001</v>
      </c>
      <c r="O194">
        <v>0.107241532</v>
      </c>
      <c r="P194">
        <v>30.733000000000001</v>
      </c>
      <c r="Q194">
        <v>27.242000000000001</v>
      </c>
      <c r="R194">
        <v>4.7893147389999999</v>
      </c>
      <c r="S194">
        <v>0</v>
      </c>
      <c r="T194">
        <v>0.56399999999999995</v>
      </c>
      <c r="U194">
        <v>1.004</v>
      </c>
      <c r="V194" s="1" t="str">
        <f>IF(Energy_data_1990___2020[[#This Row],[CO2 emissions from fuel combustion (MtCO2)]]&gt;Energy_data_1990___2020[[#Totals],[CO2 emissions from fuel combustion (MtCO2)]],"Above Average","")</f>
        <v/>
      </c>
      <c r="W194" s="1">
        <f>SUM(Energy_data_1990___2020[[#This Row],[Coal and lignite production (Mt)]]-Energy_data_1990___2020[[#This Row],[Coal and lignite domestic consumption (Mt)]])</f>
        <v>-3.7853147389999999</v>
      </c>
    </row>
    <row r="195" spans="1:23">
      <c r="A195" t="s">
        <v>34</v>
      </c>
      <c r="B195">
        <v>1997</v>
      </c>
      <c r="C195" t="s">
        <v>26</v>
      </c>
      <c r="D195">
        <v>51.941810169999997</v>
      </c>
      <c r="E195">
        <v>2.2830700460000002</v>
      </c>
      <c r="F195">
        <v>0.25520483700000002</v>
      </c>
      <c r="G195">
        <v>8.3642610879999992</v>
      </c>
      <c r="H195">
        <v>22.750861400000002</v>
      </c>
      <c r="I195">
        <v>62.13472685</v>
      </c>
      <c r="J195">
        <v>13.52887791</v>
      </c>
      <c r="K195">
        <v>10.473000000000001</v>
      </c>
      <c r="L195">
        <v>8.923</v>
      </c>
      <c r="M195">
        <v>1.700999806</v>
      </c>
      <c r="N195">
        <v>2.3510001429999998</v>
      </c>
      <c r="O195">
        <v>0.111781431</v>
      </c>
      <c r="P195">
        <v>33.296999999999997</v>
      </c>
      <c r="Q195">
        <v>29.652999999999999</v>
      </c>
      <c r="R195">
        <v>6.2284669680000002</v>
      </c>
      <c r="S195">
        <v>0</v>
      </c>
      <c r="T195">
        <v>0.441</v>
      </c>
      <c r="U195">
        <v>1.044</v>
      </c>
      <c r="V195" s="1" t="str">
        <f>IF(Energy_data_1990___2020[[#This Row],[CO2 emissions from fuel combustion (MtCO2)]]&gt;Energy_data_1990___2020[[#Totals],[CO2 emissions from fuel combustion (MtCO2)]],"Above Average","")</f>
        <v/>
      </c>
      <c r="W195" s="1">
        <f>SUM(Energy_data_1990___2020[[#This Row],[Coal and lignite production (Mt)]]-Energy_data_1990___2020[[#This Row],[Coal and lignite domestic consumption (Mt)]])</f>
        <v>-5.1844669680000006</v>
      </c>
    </row>
    <row r="196" spans="1:23">
      <c r="A196" t="s">
        <v>34</v>
      </c>
      <c r="B196">
        <v>1998</v>
      </c>
      <c r="C196" t="s">
        <v>26</v>
      </c>
      <c r="D196">
        <v>53.036066470000002</v>
      </c>
      <c r="E196">
        <v>2.2512926969999998</v>
      </c>
      <c r="F196">
        <v>0.249779323</v>
      </c>
      <c r="G196">
        <v>8.108323317</v>
      </c>
      <c r="H196">
        <v>23.55805024</v>
      </c>
      <c r="I196">
        <v>48.170886250000002</v>
      </c>
      <c r="J196">
        <v>14.229044780000001</v>
      </c>
      <c r="K196">
        <v>10.644</v>
      </c>
      <c r="L196">
        <v>9.8059999999999992</v>
      </c>
      <c r="M196">
        <v>1.5010016909999999</v>
      </c>
      <c r="N196">
        <v>3.3480033219999998</v>
      </c>
      <c r="O196">
        <v>0.11094928900000001</v>
      </c>
      <c r="P196">
        <v>35.509</v>
      </c>
      <c r="Q196">
        <v>31.251999999999999</v>
      </c>
      <c r="R196">
        <v>5.8894261109999997</v>
      </c>
      <c r="S196">
        <v>0</v>
      </c>
      <c r="T196">
        <v>0.42199999999999999</v>
      </c>
      <c r="U196">
        <v>0.94099999999999995</v>
      </c>
      <c r="V196" s="1" t="str">
        <f>IF(Energy_data_1990___2020[[#This Row],[CO2 emissions from fuel combustion (MtCO2)]]&gt;Energy_data_1990___2020[[#Totals],[CO2 emissions from fuel combustion (MtCO2)]],"Above Average","")</f>
        <v/>
      </c>
      <c r="W196" s="1">
        <f>SUM(Energy_data_1990___2020[[#This Row],[Coal and lignite production (Mt)]]-Energy_data_1990___2020[[#This Row],[Coal and lignite domestic consumption (Mt)]])</f>
        <v>-4.9484261109999998</v>
      </c>
    </row>
    <row r="197" spans="1:23">
      <c r="A197" t="s">
        <v>34</v>
      </c>
      <c r="B197">
        <v>1999</v>
      </c>
      <c r="C197" t="s">
        <v>26</v>
      </c>
      <c r="D197">
        <v>56.682648370000003</v>
      </c>
      <c r="E197">
        <v>2.2645235100000001</v>
      </c>
      <c r="F197">
        <v>0.26805796799999998</v>
      </c>
      <c r="G197">
        <v>7.9593659209999998</v>
      </c>
      <c r="H197">
        <v>25.030717549999999</v>
      </c>
      <c r="I197">
        <v>38.030737170000002</v>
      </c>
      <c r="J197">
        <v>15.04648151</v>
      </c>
      <c r="K197">
        <v>10.881</v>
      </c>
      <c r="L197">
        <v>9.8970000000000002</v>
      </c>
      <c r="M197">
        <v>1.7590019189999999</v>
      </c>
      <c r="N197">
        <v>4.6960055650000001</v>
      </c>
      <c r="O197">
        <v>0.118372791</v>
      </c>
      <c r="P197">
        <v>38.39</v>
      </c>
      <c r="Q197">
        <v>35.06</v>
      </c>
      <c r="R197">
        <v>6.1472304019999999</v>
      </c>
      <c r="S197">
        <v>0</v>
      </c>
      <c r="T197">
        <v>0.41899999999999998</v>
      </c>
      <c r="U197">
        <v>0.48499999999999999</v>
      </c>
      <c r="V197" s="1" t="str">
        <f>IF(Energy_data_1990___2020[[#This Row],[CO2 emissions from fuel combustion (MtCO2)]]&gt;Energy_data_1990___2020[[#Totals],[CO2 emissions from fuel combustion (MtCO2)]],"Above Average","")</f>
        <v/>
      </c>
      <c r="W197" s="1">
        <f>SUM(Energy_data_1990___2020[[#This Row],[Coal and lignite production (Mt)]]-Energy_data_1990___2020[[#This Row],[Coal and lignite domestic consumption (Mt)]])</f>
        <v>-5.6622304019999996</v>
      </c>
    </row>
    <row r="198" spans="1:23">
      <c r="A198" t="s">
        <v>34</v>
      </c>
      <c r="B198">
        <v>2000</v>
      </c>
      <c r="C198" t="s">
        <v>26</v>
      </c>
      <c r="D198">
        <v>52.743338979999997</v>
      </c>
      <c r="E198">
        <v>2.095432797</v>
      </c>
      <c r="F198">
        <v>0.23681365800000001</v>
      </c>
      <c r="G198">
        <v>8.5818872030000009</v>
      </c>
      <c r="H198">
        <v>25.17061824</v>
      </c>
      <c r="I198">
        <v>48.547831729999999</v>
      </c>
      <c r="J198">
        <v>15.34910069</v>
      </c>
      <c r="K198">
        <v>9.77</v>
      </c>
      <c r="L198">
        <v>9.5579999999999998</v>
      </c>
      <c r="M198">
        <v>1.9020013659999999</v>
      </c>
      <c r="N198">
        <v>6.1959976169999997</v>
      </c>
      <c r="O198">
        <v>0.113014199</v>
      </c>
      <c r="P198">
        <v>40.078000000000003</v>
      </c>
      <c r="Q198">
        <v>37.140999999999998</v>
      </c>
      <c r="R198">
        <v>4.606628562</v>
      </c>
      <c r="S198">
        <v>0</v>
      </c>
      <c r="T198">
        <v>0.39800000000000002</v>
      </c>
      <c r="U198">
        <v>0.36599999999999999</v>
      </c>
      <c r="V198" s="1" t="str">
        <f>IF(Energy_data_1990___2020[[#This Row],[CO2 emissions from fuel combustion (MtCO2)]]&gt;Energy_data_1990___2020[[#Totals],[CO2 emissions from fuel combustion (MtCO2)]],"Above Average","")</f>
        <v/>
      </c>
      <c r="W198" s="1">
        <f>SUM(Energy_data_1990___2020[[#This Row],[Coal and lignite production (Mt)]]-Energy_data_1990___2020[[#This Row],[Coal and lignite domestic consumption (Mt)]])</f>
        <v>-4.2406285620000004</v>
      </c>
    </row>
    <row r="199" spans="1:23">
      <c r="A199" t="s">
        <v>34</v>
      </c>
      <c r="B199">
        <v>2001</v>
      </c>
      <c r="C199" t="s">
        <v>26</v>
      </c>
      <c r="D199">
        <v>50.510743689999998</v>
      </c>
      <c r="E199">
        <v>2.0449217260000001</v>
      </c>
      <c r="F199">
        <v>0.219538027</v>
      </c>
      <c r="G199">
        <v>9.0798879299999999</v>
      </c>
      <c r="H199">
        <v>24.700575600000001</v>
      </c>
      <c r="I199">
        <v>54.261597420000001</v>
      </c>
      <c r="J199">
        <v>16.5353104</v>
      </c>
      <c r="K199">
        <v>9.3719999999999999</v>
      </c>
      <c r="L199">
        <v>10.023999999999999</v>
      </c>
      <c r="M199">
        <v>2.0199986179999998</v>
      </c>
      <c r="N199">
        <v>7.0260039670000003</v>
      </c>
      <c r="O199">
        <v>0.107357668</v>
      </c>
      <c r="P199">
        <v>42.530999999999999</v>
      </c>
      <c r="Q199">
        <v>39.933</v>
      </c>
      <c r="R199">
        <v>3.5944388960000002</v>
      </c>
      <c r="S199">
        <v>1.6458582999999999E-2</v>
      </c>
      <c r="T199">
        <v>0.441</v>
      </c>
      <c r="U199">
        <v>0.57599999999999996</v>
      </c>
      <c r="V199" s="1" t="str">
        <f>IF(Energy_data_1990___2020[[#This Row],[CO2 emissions from fuel combustion (MtCO2)]]&gt;Energy_data_1990___2020[[#Totals],[CO2 emissions from fuel combustion (MtCO2)]],"Above Average","")</f>
        <v/>
      </c>
      <c r="W199" s="1">
        <f>SUM(Energy_data_1990___2020[[#This Row],[Coal and lignite production (Mt)]]-Energy_data_1990___2020[[#This Row],[Coal and lignite domestic consumption (Mt)]])</f>
        <v>-3.0184388960000001</v>
      </c>
    </row>
    <row r="200" spans="1:23">
      <c r="A200" t="s">
        <v>34</v>
      </c>
      <c r="B200">
        <v>2002</v>
      </c>
      <c r="C200" t="s">
        <v>26</v>
      </c>
      <c r="D200">
        <v>51.40212193</v>
      </c>
      <c r="E200">
        <v>2.0101961620000002</v>
      </c>
      <c r="F200">
        <v>0.21668009399999999</v>
      </c>
      <c r="G200">
        <v>9.075710699</v>
      </c>
      <c r="H200">
        <v>25.570699470000001</v>
      </c>
      <c r="I200">
        <v>55.450985780000003</v>
      </c>
      <c r="J200">
        <v>16.883167319999998</v>
      </c>
      <c r="K200">
        <v>9.6609999999999996</v>
      </c>
      <c r="L200">
        <v>9.5129999999999999</v>
      </c>
      <c r="M200">
        <v>1.9750018549999999</v>
      </c>
      <c r="N200">
        <v>7.0200055219999999</v>
      </c>
      <c r="O200">
        <v>0.107790522</v>
      </c>
      <c r="P200">
        <v>43.670999999999999</v>
      </c>
      <c r="Q200">
        <v>41.359000000000002</v>
      </c>
      <c r="R200">
        <v>3.65632124</v>
      </c>
      <c r="S200">
        <v>1.6028944E-2</v>
      </c>
      <c r="T200">
        <v>0.39800000000000002</v>
      </c>
      <c r="U200">
        <v>0.433</v>
      </c>
      <c r="V200" s="1" t="str">
        <f>IF(Energy_data_1990___2020[[#This Row],[CO2 emissions from fuel combustion (MtCO2)]]&gt;Energy_data_1990___2020[[#Totals],[CO2 emissions from fuel combustion (MtCO2)]],"Above Average","")</f>
        <v/>
      </c>
      <c r="W200" s="1">
        <f>SUM(Energy_data_1990___2020[[#This Row],[Coal and lignite production (Mt)]]-Energy_data_1990___2020[[#This Row],[Coal and lignite domestic consumption (Mt)]])</f>
        <v>-3.2233212400000002</v>
      </c>
    </row>
    <row r="201" spans="1:23">
      <c r="A201" t="s">
        <v>34</v>
      </c>
      <c r="B201">
        <v>2003</v>
      </c>
      <c r="C201" t="s">
        <v>26</v>
      </c>
      <c r="D201">
        <v>52.741606089999998</v>
      </c>
      <c r="E201">
        <v>2.041358207</v>
      </c>
      <c r="F201">
        <v>0.213588536</v>
      </c>
      <c r="G201">
        <v>8.5639948760000006</v>
      </c>
      <c r="H201">
        <v>25.836526840000001</v>
      </c>
      <c r="I201">
        <v>50.156954020000001</v>
      </c>
      <c r="J201">
        <v>18.210646489999998</v>
      </c>
      <c r="K201">
        <v>9.9350000000000005</v>
      </c>
      <c r="L201">
        <v>10.7</v>
      </c>
      <c r="M201">
        <v>1.6499992320000001</v>
      </c>
      <c r="N201">
        <v>7.6590008249999997</v>
      </c>
      <c r="O201">
        <v>0.104630601</v>
      </c>
      <c r="P201">
        <v>46.829000000000001</v>
      </c>
      <c r="Q201">
        <v>44.878</v>
      </c>
      <c r="R201">
        <v>3.6244269070000001</v>
      </c>
      <c r="S201">
        <v>1.4948002E-2</v>
      </c>
      <c r="T201">
        <v>0.35799999999999998</v>
      </c>
      <c r="U201">
        <v>0.57599999999999996</v>
      </c>
      <c r="V201" s="1" t="str">
        <f>IF(Energy_data_1990___2020[[#This Row],[CO2 emissions from fuel combustion (MtCO2)]]&gt;Energy_data_1990___2020[[#Totals],[CO2 emissions from fuel combustion (MtCO2)]],"Above Average","")</f>
        <v/>
      </c>
      <c r="W201" s="1">
        <f>SUM(Energy_data_1990___2020[[#This Row],[Coal and lignite production (Mt)]]-Energy_data_1990___2020[[#This Row],[Coal and lignite domestic consumption (Mt)]])</f>
        <v>-3.0484269070000001</v>
      </c>
    </row>
    <row r="202" spans="1:23">
      <c r="A202" t="s">
        <v>34</v>
      </c>
      <c r="B202">
        <v>2004</v>
      </c>
      <c r="C202" t="s">
        <v>26</v>
      </c>
      <c r="D202">
        <v>57.533838750000001</v>
      </c>
      <c r="E202">
        <v>2.0910207939999998</v>
      </c>
      <c r="F202">
        <v>0.217327412</v>
      </c>
      <c r="G202">
        <v>8.5540283380000002</v>
      </c>
      <c r="H202">
        <v>27.514713830000002</v>
      </c>
      <c r="I202">
        <v>46.900874860000002</v>
      </c>
      <c r="J202">
        <v>18.500309099999999</v>
      </c>
      <c r="K202">
        <v>10.593999999999999</v>
      </c>
      <c r="L202">
        <v>11.021000000000001</v>
      </c>
      <c r="M202">
        <v>1.634999181</v>
      </c>
      <c r="N202">
        <v>8.3410078159999994</v>
      </c>
      <c r="O202">
        <v>0.10393364400000001</v>
      </c>
      <c r="P202">
        <v>51.207999999999998</v>
      </c>
      <c r="Q202">
        <v>47.543999999999997</v>
      </c>
      <c r="R202">
        <v>4.6255419389999997</v>
      </c>
      <c r="S202">
        <v>1.3669739E-2</v>
      </c>
      <c r="T202">
        <v>0.35499999999999998</v>
      </c>
      <c r="U202">
        <v>0.23300000000000001</v>
      </c>
      <c r="V202" s="1" t="str">
        <f>IF(Energy_data_1990___2020[[#This Row],[CO2 emissions from fuel combustion (MtCO2)]]&gt;Energy_data_1990___2020[[#Totals],[CO2 emissions from fuel combustion (MtCO2)]],"Above Average","")</f>
        <v/>
      </c>
      <c r="W202" s="1">
        <f>SUM(Energy_data_1990___2020[[#This Row],[Coal and lignite production (Mt)]]-Energy_data_1990___2020[[#This Row],[Coal and lignite domestic consumption (Mt)]])</f>
        <v>-4.392541939</v>
      </c>
    </row>
    <row r="203" spans="1:23">
      <c r="A203" t="s">
        <v>34</v>
      </c>
      <c r="B203">
        <v>2005</v>
      </c>
      <c r="C203" t="s">
        <v>26</v>
      </c>
      <c r="D203">
        <v>58.331418399999997</v>
      </c>
      <c r="E203">
        <v>2.0562856549999999</v>
      </c>
      <c r="F203">
        <v>0.208373632</v>
      </c>
      <c r="G203">
        <v>9.3384362660000004</v>
      </c>
      <c r="H203">
        <v>28.367371160000001</v>
      </c>
      <c r="I203">
        <v>53.883088180000001</v>
      </c>
      <c r="J203">
        <v>18.84925994</v>
      </c>
      <c r="K203">
        <v>10.935</v>
      </c>
      <c r="L203">
        <v>10.952999999999999</v>
      </c>
      <c r="M203">
        <v>1.9109976440000001</v>
      </c>
      <c r="N203">
        <v>8.0860024240000001</v>
      </c>
      <c r="O203">
        <v>0.101334964</v>
      </c>
      <c r="P203">
        <v>52.484000000000002</v>
      </c>
      <c r="Q203">
        <v>48.906999999999996</v>
      </c>
      <c r="R203">
        <v>4.6098565579999997</v>
      </c>
      <c r="S203">
        <v>1.3337398E-2</v>
      </c>
      <c r="T203">
        <v>0.32400000000000001</v>
      </c>
      <c r="U203">
        <v>0.54400000000000004</v>
      </c>
      <c r="V203" s="1" t="str">
        <f>IF(Energy_data_1990___2020[[#This Row],[CO2 emissions from fuel combustion (MtCO2)]]&gt;Energy_data_1990___2020[[#Totals],[CO2 emissions from fuel combustion (MtCO2)]],"Above Average","")</f>
        <v/>
      </c>
      <c r="W203" s="1">
        <f>SUM(Energy_data_1990___2020[[#This Row],[Coal and lignite production (Mt)]]-Energy_data_1990___2020[[#This Row],[Coal and lignite domestic consumption (Mt)]])</f>
        <v>-4.0658565580000001</v>
      </c>
    </row>
    <row r="204" spans="1:23">
      <c r="A204" t="s">
        <v>34</v>
      </c>
      <c r="B204">
        <v>2006</v>
      </c>
      <c r="C204" t="s">
        <v>26</v>
      </c>
      <c r="D204">
        <v>60.090585410000003</v>
      </c>
      <c r="E204">
        <v>2.035130369</v>
      </c>
      <c r="F204">
        <v>0.201903211</v>
      </c>
      <c r="G204">
        <v>9.6228763940000004</v>
      </c>
      <c r="H204">
        <v>29.526651619999999</v>
      </c>
      <c r="I204">
        <v>55.25488069</v>
      </c>
      <c r="J204">
        <v>18.911662979999999</v>
      </c>
      <c r="K204">
        <v>10.968999999999999</v>
      </c>
      <c r="L204">
        <v>11.396000000000001</v>
      </c>
      <c r="M204">
        <v>1.8459999279999999</v>
      </c>
      <c r="N204">
        <v>7.4509934280000003</v>
      </c>
      <c r="O204">
        <v>9.9208981000000002E-2</v>
      </c>
      <c r="P204">
        <v>55.32</v>
      </c>
      <c r="Q204">
        <v>51.37</v>
      </c>
      <c r="R204">
        <v>5.75603994</v>
      </c>
      <c r="S204">
        <v>1.2653651E-2</v>
      </c>
      <c r="T204">
        <v>0.316</v>
      </c>
      <c r="U204">
        <v>0.67400000000000004</v>
      </c>
      <c r="V204" s="1" t="str">
        <f>IF(Energy_data_1990___2020[[#This Row],[CO2 emissions from fuel combustion (MtCO2)]]&gt;Energy_data_1990___2020[[#Totals],[CO2 emissions from fuel combustion (MtCO2)]],"Above Average","")</f>
        <v/>
      </c>
      <c r="W204" s="1">
        <f>SUM(Energy_data_1990___2020[[#This Row],[Coal and lignite production (Mt)]]-Energy_data_1990___2020[[#This Row],[Coal and lignite domestic consumption (Mt)]])</f>
        <v>-5.0820399399999996</v>
      </c>
    </row>
    <row r="205" spans="1:23">
      <c r="A205" t="s">
        <v>34</v>
      </c>
      <c r="B205">
        <v>2007</v>
      </c>
      <c r="C205" t="s">
        <v>26</v>
      </c>
      <c r="D205">
        <v>65.764956310000002</v>
      </c>
      <c r="E205">
        <v>2.1474095860000002</v>
      </c>
      <c r="F205">
        <v>0.21063657999999999</v>
      </c>
      <c r="G205">
        <v>9.3711151239999992</v>
      </c>
      <c r="H205">
        <v>30.62525041</v>
      </c>
      <c r="I205">
        <v>44.155599989999999</v>
      </c>
      <c r="J205">
        <v>19.74826135</v>
      </c>
      <c r="K205">
        <v>14.503</v>
      </c>
      <c r="L205">
        <v>10.9</v>
      </c>
      <c r="M205">
        <v>1.778000528</v>
      </c>
      <c r="N205">
        <v>4.4470005309999996</v>
      </c>
      <c r="O205">
        <v>9.8088683999999995E-2</v>
      </c>
      <c r="P205">
        <v>58.509</v>
      </c>
      <c r="Q205">
        <v>53.634999999999998</v>
      </c>
      <c r="R205">
        <v>5.691741188</v>
      </c>
      <c r="S205">
        <v>1.5382249000000001E-2</v>
      </c>
      <c r="T205">
        <v>0.52700000000000002</v>
      </c>
      <c r="U205">
        <v>0.24299999999999999</v>
      </c>
      <c r="V205" s="1" t="str">
        <f>IF(Energy_data_1990___2020[[#This Row],[CO2 emissions from fuel combustion (MtCO2)]]&gt;Energy_data_1990___2020[[#Totals],[CO2 emissions from fuel combustion (MtCO2)]],"Above Average","")</f>
        <v/>
      </c>
      <c r="W205" s="1">
        <f>SUM(Energy_data_1990___2020[[#This Row],[Coal and lignite production (Mt)]]-Energy_data_1990___2020[[#This Row],[Coal and lignite domestic consumption (Mt)]])</f>
        <v>-5.4487411879999996</v>
      </c>
    </row>
    <row r="206" spans="1:23">
      <c r="A206" t="s">
        <v>34</v>
      </c>
      <c r="B206">
        <v>2008</v>
      </c>
      <c r="C206" t="s">
        <v>26</v>
      </c>
      <c r="D206">
        <v>68.335016350000004</v>
      </c>
      <c r="E206">
        <v>2.252879471</v>
      </c>
      <c r="F206">
        <v>0.211406491</v>
      </c>
      <c r="G206">
        <v>9.7280522650000005</v>
      </c>
      <c r="H206">
        <v>30.332300159999999</v>
      </c>
      <c r="I206">
        <v>45.749028539999998</v>
      </c>
      <c r="J206">
        <v>20.194434489999999</v>
      </c>
      <c r="K206">
        <v>15.208</v>
      </c>
      <c r="L206">
        <v>10.775</v>
      </c>
      <c r="M206">
        <v>1.733000297</v>
      </c>
      <c r="N206">
        <v>2.7519985249999999</v>
      </c>
      <c r="O206">
        <v>9.3838349000000001E-2</v>
      </c>
      <c r="P206">
        <v>59.704000000000001</v>
      </c>
      <c r="Q206">
        <v>54.152999999999999</v>
      </c>
      <c r="R206">
        <v>7.2818263209999996</v>
      </c>
      <c r="S206">
        <v>6.3647327000000004E-2</v>
      </c>
      <c r="T206">
        <v>0.53600000000000003</v>
      </c>
      <c r="U206">
        <v>0.66700000000000004</v>
      </c>
      <c r="V206" s="1" t="str">
        <f>IF(Energy_data_1990___2020[[#This Row],[CO2 emissions from fuel combustion (MtCO2)]]&gt;Energy_data_1990___2020[[#Totals],[CO2 emissions from fuel combustion (MtCO2)]],"Above Average","")</f>
        <v/>
      </c>
      <c r="W206" s="1">
        <f>SUM(Energy_data_1990___2020[[#This Row],[Coal and lignite production (Mt)]]-Energy_data_1990___2020[[#This Row],[Coal and lignite domestic consumption (Mt)]])</f>
        <v>-6.6148263209999998</v>
      </c>
    </row>
    <row r="207" spans="1:23">
      <c r="A207" t="s">
        <v>34</v>
      </c>
      <c r="B207">
        <v>2009</v>
      </c>
      <c r="C207" t="s">
        <v>26</v>
      </c>
      <c r="D207">
        <v>65.774822400000005</v>
      </c>
      <c r="E207">
        <v>2.2270073319999999</v>
      </c>
      <c r="F207">
        <v>0.206719667</v>
      </c>
      <c r="G207">
        <v>10.208680060000001</v>
      </c>
      <c r="H207">
        <v>29.535072230000001</v>
      </c>
      <c r="I207">
        <v>48.827443100000004</v>
      </c>
      <c r="J207">
        <v>20.473274499999999</v>
      </c>
      <c r="K207">
        <v>14.472</v>
      </c>
      <c r="L207">
        <v>10.006</v>
      </c>
      <c r="M207">
        <v>1.8450019870000001</v>
      </c>
      <c r="N207">
        <v>3.2520006260000001</v>
      </c>
      <c r="O207">
        <v>9.2823973000000004E-2</v>
      </c>
      <c r="P207">
        <v>60.722000000000001</v>
      </c>
      <c r="Q207">
        <v>54.533000000000001</v>
      </c>
      <c r="R207">
        <v>6.6674837550000001</v>
      </c>
      <c r="S207">
        <v>0.28984552600000002</v>
      </c>
      <c r="T207">
        <v>0.64400000000000002</v>
      </c>
      <c r="U207">
        <v>0.63600000000000001</v>
      </c>
      <c r="V207" s="1" t="str">
        <f>IF(Energy_data_1990___2020[[#This Row],[CO2 emissions from fuel combustion (MtCO2)]]&gt;Energy_data_1990___2020[[#Totals],[CO2 emissions from fuel combustion (MtCO2)]],"Above Average","")</f>
        <v/>
      </c>
      <c r="W207" s="1">
        <f>SUM(Energy_data_1990___2020[[#This Row],[Coal and lignite production (Mt)]]-Energy_data_1990___2020[[#This Row],[Coal and lignite domestic consumption (Mt)]])</f>
        <v>-6.031483755</v>
      </c>
    </row>
    <row r="208" spans="1:23">
      <c r="A208" t="s">
        <v>34</v>
      </c>
      <c r="B208">
        <v>2010</v>
      </c>
      <c r="C208" t="s">
        <v>26</v>
      </c>
      <c r="D208">
        <v>70.250459169999999</v>
      </c>
      <c r="E208">
        <v>2.2762448219999998</v>
      </c>
      <c r="F208">
        <v>0.20859519900000001</v>
      </c>
      <c r="G208">
        <v>9.2230871109999999</v>
      </c>
      <c r="H208">
        <v>30.862435569999999</v>
      </c>
      <c r="I208">
        <v>40.202534999999997</v>
      </c>
      <c r="J208">
        <v>19.633698859999999</v>
      </c>
      <c r="K208">
        <v>13.765000000000001</v>
      </c>
      <c r="L208">
        <v>8.6329999999999991</v>
      </c>
      <c r="M208">
        <v>1.848000021</v>
      </c>
      <c r="N208">
        <v>5.295993331</v>
      </c>
      <c r="O208">
        <v>9.1640053999999999E-2</v>
      </c>
      <c r="P208">
        <v>60.433999999999997</v>
      </c>
      <c r="Q208">
        <v>55.29</v>
      </c>
      <c r="R208">
        <v>8.3800849639999999</v>
      </c>
      <c r="S208">
        <v>0.73468577300000004</v>
      </c>
      <c r="T208">
        <v>0.55100000000000005</v>
      </c>
      <c r="U208">
        <v>0.61899999999999999</v>
      </c>
      <c r="V208" s="1" t="str">
        <f>IF(Energy_data_1990___2020[[#This Row],[CO2 emissions from fuel combustion (MtCO2)]]&gt;Energy_data_1990___2020[[#Totals],[CO2 emissions from fuel combustion (MtCO2)]],"Above Average","")</f>
        <v/>
      </c>
      <c r="W208" s="1">
        <f>SUM(Energy_data_1990___2020[[#This Row],[Coal and lignite production (Mt)]]-Energy_data_1990___2020[[#This Row],[Coal and lignite domestic consumption (Mt)]])</f>
        <v>-7.7610849640000001</v>
      </c>
    </row>
    <row r="209" spans="1:23">
      <c r="A209" t="s">
        <v>34</v>
      </c>
      <c r="B209">
        <v>2011</v>
      </c>
      <c r="C209" t="s">
        <v>26</v>
      </c>
      <c r="D209">
        <v>76.306330020000004</v>
      </c>
      <c r="E209">
        <v>2.2699218669999999</v>
      </c>
      <c r="F209">
        <v>0.21352839400000001</v>
      </c>
      <c r="G209">
        <v>9.8829626509999997</v>
      </c>
      <c r="H209">
        <v>33.616280420000002</v>
      </c>
      <c r="I209">
        <v>39.596426889999996</v>
      </c>
      <c r="J209">
        <v>19.685944670000001</v>
      </c>
      <c r="K209">
        <v>14.236000000000001</v>
      </c>
      <c r="L209">
        <v>8.8339999999999996</v>
      </c>
      <c r="M209">
        <v>1.479999386</v>
      </c>
      <c r="N209">
        <v>5.7029985500000002</v>
      </c>
      <c r="O209">
        <v>9.4068609999999997E-2</v>
      </c>
      <c r="P209">
        <v>65.712999999999994</v>
      </c>
      <c r="Q209">
        <v>58.491999999999997</v>
      </c>
      <c r="R209">
        <v>9.5798906699999993</v>
      </c>
      <c r="S209">
        <v>0.51435788999999998</v>
      </c>
      <c r="T209">
        <v>0.58199999999999996</v>
      </c>
      <c r="U209">
        <v>0.65400000000000003</v>
      </c>
      <c r="V209" s="1" t="str">
        <f>IF(Energy_data_1990___2020[[#This Row],[CO2 emissions from fuel combustion (MtCO2)]]&gt;Energy_data_1990___2020[[#Totals],[CO2 emissions from fuel combustion (MtCO2)]],"Above Average","")</f>
        <v/>
      </c>
      <c r="W209" s="1">
        <f>SUM(Energy_data_1990___2020[[#This Row],[Coal and lignite production (Mt)]]-Energy_data_1990___2020[[#This Row],[Coal and lignite domestic consumption (Mt)]])</f>
        <v>-8.9258906699999994</v>
      </c>
    </row>
    <row r="210" spans="1:23">
      <c r="A210" t="s">
        <v>34</v>
      </c>
      <c r="B210">
        <v>2012</v>
      </c>
      <c r="C210" t="s">
        <v>26</v>
      </c>
      <c r="D210">
        <v>78.722886869999996</v>
      </c>
      <c r="E210">
        <v>2.1161141040000002</v>
      </c>
      <c r="F210">
        <v>0.20916590099999999</v>
      </c>
      <c r="G210">
        <v>13.02017543</v>
      </c>
      <c r="H210">
        <v>37.201626660000002</v>
      </c>
      <c r="I210">
        <v>36.445355620000001</v>
      </c>
      <c r="J210">
        <v>21.233039479999999</v>
      </c>
      <c r="K210">
        <v>14.327999999999999</v>
      </c>
      <c r="L210">
        <v>8.8930000000000007</v>
      </c>
      <c r="M210">
        <v>1.224998721</v>
      </c>
      <c r="N210">
        <v>4.8810032190000001</v>
      </c>
      <c r="O210">
        <v>9.8844340000000003E-2</v>
      </c>
      <c r="P210">
        <v>69.751000000000005</v>
      </c>
      <c r="Q210">
        <v>62.947000000000003</v>
      </c>
      <c r="R210">
        <v>11.06696885</v>
      </c>
      <c r="S210">
        <v>0.58637152199999998</v>
      </c>
      <c r="T210">
        <v>0.48899999999999999</v>
      </c>
      <c r="U210">
        <v>0.71199999999999997</v>
      </c>
      <c r="V210" s="1" t="str">
        <f>IF(Energy_data_1990___2020[[#This Row],[CO2 emissions from fuel combustion (MtCO2)]]&gt;Energy_data_1990___2020[[#Totals],[CO2 emissions from fuel combustion (MtCO2)]],"Above Average","")</f>
        <v/>
      </c>
      <c r="W210" s="1">
        <f>SUM(Energy_data_1990___2020[[#This Row],[Coal and lignite production (Mt)]]-Energy_data_1990___2020[[#This Row],[Coal and lignite domestic consumption (Mt)]])</f>
        <v>-10.354968850000001</v>
      </c>
    </row>
    <row r="211" spans="1:23">
      <c r="A211" t="s">
        <v>34</v>
      </c>
      <c r="B211">
        <v>2013</v>
      </c>
      <c r="C211" t="s">
        <v>26</v>
      </c>
      <c r="D211">
        <v>82.613913109999999</v>
      </c>
      <c r="E211">
        <v>2.1462346710000002</v>
      </c>
      <c r="F211">
        <v>0.21097055000000001</v>
      </c>
      <c r="G211">
        <v>14.60566852</v>
      </c>
      <c r="H211">
        <v>38.492488369999997</v>
      </c>
      <c r="I211">
        <v>35.666871960000002</v>
      </c>
      <c r="J211">
        <v>20.972978690000001</v>
      </c>
      <c r="K211">
        <v>14.614000000000001</v>
      </c>
      <c r="L211">
        <v>9.3849999999999998</v>
      </c>
      <c r="M211">
        <v>0.964999885</v>
      </c>
      <c r="N211">
        <v>4.8900046079999999</v>
      </c>
      <c r="O211">
        <v>9.8297988000000003E-2</v>
      </c>
      <c r="P211">
        <v>73.064999999999998</v>
      </c>
      <c r="Q211">
        <v>66.064999999999998</v>
      </c>
      <c r="R211">
        <v>12.521000000000001</v>
      </c>
      <c r="S211">
        <v>0.76917812900000004</v>
      </c>
      <c r="T211">
        <v>0.5</v>
      </c>
      <c r="U211">
        <v>3.028</v>
      </c>
      <c r="V211" s="1" t="str">
        <f>IF(Energy_data_1990___2020[[#This Row],[CO2 emissions from fuel combustion (MtCO2)]]&gt;Energy_data_1990___2020[[#Totals],[CO2 emissions from fuel combustion (MtCO2)]],"Above Average","")</f>
        <v/>
      </c>
      <c r="W211" s="1">
        <f>SUM(Energy_data_1990___2020[[#This Row],[Coal and lignite production (Mt)]]-Energy_data_1990___2020[[#This Row],[Coal and lignite domestic consumption (Mt)]])</f>
        <v>-9.4930000000000003</v>
      </c>
    </row>
    <row r="212" spans="1:23">
      <c r="A212" t="s">
        <v>34</v>
      </c>
      <c r="B212">
        <v>2014</v>
      </c>
      <c r="C212" t="s">
        <v>26</v>
      </c>
      <c r="D212">
        <v>76.693898300000001</v>
      </c>
      <c r="E212">
        <v>2.2070019639999998</v>
      </c>
      <c r="F212">
        <v>0.19245251599999999</v>
      </c>
      <c r="G212">
        <v>12.380307350000001</v>
      </c>
      <c r="H212">
        <v>34.750262820000003</v>
      </c>
      <c r="I212">
        <v>42.89429423</v>
      </c>
      <c r="J212">
        <v>23.192386379999999</v>
      </c>
      <c r="K212">
        <v>14.41</v>
      </c>
      <c r="L212">
        <v>9.4689999999999994</v>
      </c>
      <c r="M212">
        <v>0.78999910500000003</v>
      </c>
      <c r="N212">
        <v>4.0770025470000002</v>
      </c>
      <c r="O212">
        <v>8.7200880999999994E-2</v>
      </c>
      <c r="P212">
        <v>70.753</v>
      </c>
      <c r="Q212">
        <v>67.835999999999999</v>
      </c>
      <c r="R212">
        <v>10.86</v>
      </c>
      <c r="S212">
        <v>2.717905955</v>
      </c>
      <c r="T212">
        <v>0.41299999999999998</v>
      </c>
      <c r="U212">
        <v>4.1639999999999997</v>
      </c>
      <c r="V212" s="1" t="str">
        <f>IF(Energy_data_1990___2020[[#This Row],[CO2 emissions from fuel combustion (MtCO2)]]&gt;Energy_data_1990___2020[[#Totals],[CO2 emissions from fuel combustion (MtCO2)]],"Above Average","")</f>
        <v/>
      </c>
      <c r="W212" s="1">
        <f>SUM(Energy_data_1990___2020[[#This Row],[Coal and lignite production (Mt)]]-Energy_data_1990___2020[[#This Row],[Coal and lignite domestic consumption (Mt)]])</f>
        <v>-6.6959999999999997</v>
      </c>
    </row>
    <row r="213" spans="1:23">
      <c r="A213" t="s">
        <v>34</v>
      </c>
      <c r="B213">
        <v>2015</v>
      </c>
      <c r="C213" t="s">
        <v>26</v>
      </c>
      <c r="D213">
        <v>81.495428140000001</v>
      </c>
      <c r="E213">
        <v>2.2946686760000001</v>
      </c>
      <c r="F213">
        <v>0.199896136</v>
      </c>
      <c r="G213">
        <v>12.08410451</v>
      </c>
      <c r="H213">
        <v>35.515117709999998</v>
      </c>
      <c r="I213">
        <v>43.604334960000003</v>
      </c>
      <c r="J213">
        <v>23.053944690000002</v>
      </c>
      <c r="K213">
        <v>14.326000000000001</v>
      </c>
      <c r="L213">
        <v>9.6029999999999998</v>
      </c>
      <c r="M213">
        <v>1.0060009409999999</v>
      </c>
      <c r="N213">
        <v>4.3919957250000001</v>
      </c>
      <c r="O213">
        <v>8.7113288999999997E-2</v>
      </c>
      <c r="P213">
        <v>75.387</v>
      </c>
      <c r="Q213">
        <v>67.647000000000006</v>
      </c>
      <c r="R213">
        <v>12.07403161</v>
      </c>
      <c r="S213">
        <v>4.4782256890000003</v>
      </c>
      <c r="T213">
        <v>0.28199999999999997</v>
      </c>
      <c r="U213">
        <v>3.1429999999999998</v>
      </c>
      <c r="V213" s="1" t="str">
        <f>IF(Energy_data_1990___2020[[#This Row],[CO2 emissions from fuel combustion (MtCO2)]]&gt;Energy_data_1990___2020[[#Totals],[CO2 emissions from fuel combustion (MtCO2)]],"Above Average","")</f>
        <v/>
      </c>
      <c r="W213" s="1">
        <f>SUM(Energy_data_1990___2020[[#This Row],[Coal and lignite production (Mt)]]-Energy_data_1990___2020[[#This Row],[Coal and lignite domestic consumption (Mt)]])</f>
        <v>-8.9310316100000016</v>
      </c>
    </row>
    <row r="214" spans="1:23">
      <c r="A214" t="s">
        <v>34</v>
      </c>
      <c r="B214">
        <v>2016</v>
      </c>
      <c r="C214" t="s">
        <v>26</v>
      </c>
      <c r="D214">
        <v>86.117438219999997</v>
      </c>
      <c r="E214">
        <v>2.2773786970000001</v>
      </c>
      <c r="F214">
        <v>0.207762482</v>
      </c>
      <c r="G214">
        <v>12.54654648</v>
      </c>
      <c r="H214">
        <v>37.814281110000003</v>
      </c>
      <c r="I214">
        <v>43.273061990000002</v>
      </c>
      <c r="J214">
        <v>22.881105300000002</v>
      </c>
      <c r="K214">
        <v>15.32</v>
      </c>
      <c r="L214">
        <v>9.3930000000000007</v>
      </c>
      <c r="M214">
        <v>1.204999859</v>
      </c>
      <c r="N214">
        <v>4.7910039380000002</v>
      </c>
      <c r="O214">
        <v>9.1228780999999995E-2</v>
      </c>
      <c r="P214">
        <v>79.308000000000007</v>
      </c>
      <c r="Q214">
        <v>70.83</v>
      </c>
      <c r="R214">
        <v>12.711</v>
      </c>
      <c r="S214">
        <v>6.4154940229999999</v>
      </c>
      <c r="T214">
        <v>0.24399999999999999</v>
      </c>
      <c r="U214">
        <v>2.5249999999999999</v>
      </c>
      <c r="V214" s="1" t="str">
        <f>IF(Energy_data_1990___2020[[#This Row],[CO2 emissions from fuel combustion (MtCO2)]]&gt;Energy_data_1990___2020[[#Totals],[CO2 emissions from fuel combustion (MtCO2)]],"Above Average","")</f>
        <v/>
      </c>
      <c r="W214" s="1">
        <f>SUM(Energy_data_1990___2020[[#This Row],[Coal and lignite production (Mt)]]-Energy_data_1990___2020[[#This Row],[Coal and lignite domestic consumption (Mt)]])</f>
        <v>-10.186</v>
      </c>
    </row>
    <row r="215" spans="1:23">
      <c r="A215" t="s">
        <v>34</v>
      </c>
      <c r="B215">
        <v>2017</v>
      </c>
      <c r="C215" t="s">
        <v>26</v>
      </c>
      <c r="D215">
        <v>86.937147679999995</v>
      </c>
      <c r="E215">
        <v>2.264641868</v>
      </c>
      <c r="F215">
        <v>0.207090997</v>
      </c>
      <c r="G215">
        <v>13.02189557</v>
      </c>
      <c r="H215">
        <v>38.388916539999997</v>
      </c>
      <c r="I215">
        <v>43.91575066</v>
      </c>
      <c r="J215">
        <v>22.464443849999999</v>
      </c>
      <c r="K215">
        <v>15.427460999999999</v>
      </c>
      <c r="L215">
        <v>9.6157649999999997</v>
      </c>
      <c r="M215">
        <v>1.2256075470000001</v>
      </c>
      <c r="N215">
        <v>5.0240847019999997</v>
      </c>
      <c r="O215">
        <v>9.1445363000000002E-2</v>
      </c>
      <c r="P215">
        <v>79.416650000000004</v>
      </c>
      <c r="Q215">
        <v>70.350288000000006</v>
      </c>
      <c r="R215">
        <v>13.02954497</v>
      </c>
      <c r="S215">
        <v>9.4432061790000006</v>
      </c>
      <c r="T215">
        <v>0.32365500000000003</v>
      </c>
      <c r="U215">
        <v>2.4249999999999998</v>
      </c>
      <c r="V215" s="1" t="str">
        <f>IF(Energy_data_1990___2020[[#This Row],[CO2 emissions from fuel combustion (MtCO2)]]&gt;Energy_data_1990___2020[[#Totals],[CO2 emissions from fuel combustion (MtCO2)]],"Above Average","")</f>
        <v/>
      </c>
      <c r="W215" s="1">
        <f>SUM(Energy_data_1990___2020[[#This Row],[Coal and lignite production (Mt)]]-Energy_data_1990___2020[[#This Row],[Coal and lignite domestic consumption (Mt)]])</f>
        <v>-10.604544969999999</v>
      </c>
    </row>
    <row r="216" spans="1:23">
      <c r="A216" t="s">
        <v>34</v>
      </c>
      <c r="B216">
        <v>2018</v>
      </c>
      <c r="C216" t="s">
        <v>26</v>
      </c>
      <c r="D216">
        <v>86.814246920000002</v>
      </c>
      <c r="E216">
        <v>2.2224981069999998</v>
      </c>
      <c r="F216">
        <v>0.19879733499999999</v>
      </c>
      <c r="G216">
        <v>13.62817501</v>
      </c>
      <c r="H216">
        <v>39.061561689999998</v>
      </c>
      <c r="I216">
        <v>46.25691072</v>
      </c>
      <c r="J216">
        <v>22.633663330000001</v>
      </c>
      <c r="K216">
        <v>15.643846999999999</v>
      </c>
      <c r="L216">
        <v>9.6806900000000002</v>
      </c>
      <c r="M216">
        <v>1.2494871759999999</v>
      </c>
      <c r="N216">
        <v>5.2994022589999998</v>
      </c>
      <c r="O216">
        <v>8.9447695999999993E-2</v>
      </c>
      <c r="P216">
        <v>82.312703999999997</v>
      </c>
      <c r="Q216">
        <v>73.716050999999993</v>
      </c>
      <c r="R216">
        <v>12.32715597</v>
      </c>
      <c r="S216">
        <v>10.95794156</v>
      </c>
      <c r="T216">
        <v>0.37769999999999998</v>
      </c>
      <c r="U216">
        <v>2.2566549999999999</v>
      </c>
      <c r="V216" s="1" t="str">
        <f>IF(Energy_data_1990___2020[[#This Row],[CO2 emissions from fuel combustion (MtCO2)]]&gt;Energy_data_1990___2020[[#Totals],[CO2 emissions from fuel combustion (MtCO2)]],"Above Average","")</f>
        <v/>
      </c>
      <c r="W216" s="1">
        <f>SUM(Energy_data_1990___2020[[#This Row],[Coal and lignite production (Mt)]]-Energy_data_1990___2020[[#This Row],[Coal and lignite domestic consumption (Mt)]])</f>
        <v>-10.070500969999999</v>
      </c>
    </row>
    <row r="217" spans="1:23">
      <c r="A217" t="s">
        <v>34</v>
      </c>
      <c r="B217">
        <v>2019</v>
      </c>
      <c r="C217" t="s">
        <v>26</v>
      </c>
      <c r="D217">
        <v>85.252730959999994</v>
      </c>
      <c r="E217">
        <v>2.1493691190000002</v>
      </c>
      <c r="F217">
        <v>0.193288708</v>
      </c>
      <c r="G217">
        <v>13.49215229</v>
      </c>
      <c r="H217">
        <v>39.664071759999999</v>
      </c>
      <c r="I217">
        <v>46.004865389999999</v>
      </c>
      <c r="J217">
        <v>23.019561410000001</v>
      </c>
      <c r="K217">
        <v>15.498588099999999</v>
      </c>
      <c r="L217">
        <v>10.08611451</v>
      </c>
      <c r="M217">
        <v>1.5262978679999999</v>
      </c>
      <c r="N217">
        <v>5.5862844269999998</v>
      </c>
      <c r="O217">
        <v>8.9928113000000004E-2</v>
      </c>
      <c r="P217">
        <v>83.631583590000005</v>
      </c>
      <c r="Q217">
        <v>74.897188180000001</v>
      </c>
      <c r="R217">
        <v>12.0423311</v>
      </c>
      <c r="S217">
        <v>13.76965321</v>
      </c>
      <c r="T217">
        <v>0.40960764500000002</v>
      </c>
      <c r="U217">
        <v>1.426831</v>
      </c>
      <c r="V217" s="1" t="str">
        <f>IF(Energy_data_1990___2020[[#This Row],[CO2 emissions from fuel combustion (MtCO2)]]&gt;Energy_data_1990___2020[[#Totals],[CO2 emissions from fuel combustion (MtCO2)]],"Above Average","")</f>
        <v/>
      </c>
      <c r="W217" s="1">
        <f>SUM(Energy_data_1990___2020[[#This Row],[Coal and lignite production (Mt)]]-Energy_data_1990___2020[[#This Row],[Coal and lignite domestic consumption (Mt)]])</f>
        <v>-10.6155001</v>
      </c>
    </row>
    <row r="218" spans="1:23">
      <c r="A218" t="s">
        <v>34</v>
      </c>
      <c r="B218">
        <v>2020</v>
      </c>
      <c r="C218" t="s">
        <v>26</v>
      </c>
      <c r="D218">
        <v>79.627039760000002</v>
      </c>
      <c r="E218">
        <v>2.103049226</v>
      </c>
      <c r="F218">
        <v>0.19124353399999999</v>
      </c>
      <c r="G218">
        <v>13.18212417</v>
      </c>
      <c r="H218">
        <v>37.862660929999997</v>
      </c>
      <c r="I218">
        <v>48.177958269999998</v>
      </c>
      <c r="J218">
        <v>24.6659796</v>
      </c>
      <c r="K218">
        <v>14.157520999999999</v>
      </c>
      <c r="L218">
        <v>8.0118611400000006</v>
      </c>
      <c r="M218">
        <v>1.222782635</v>
      </c>
      <c r="N218">
        <v>5.226413945</v>
      </c>
      <c r="O218">
        <v>9.0936309000000007E-2</v>
      </c>
      <c r="P218">
        <v>84.283647439999996</v>
      </c>
      <c r="Q218">
        <v>75.481151159999996</v>
      </c>
      <c r="R218">
        <v>11.587521730000001</v>
      </c>
      <c r="S218">
        <v>16.172436659999999</v>
      </c>
      <c r="T218">
        <v>0.31150833500000003</v>
      </c>
      <c r="U218">
        <v>0.90978471500000002</v>
      </c>
      <c r="V218" s="1" t="str">
        <f>IF(Energy_data_1990___2020[[#This Row],[CO2 emissions from fuel combustion (MtCO2)]]&gt;Energy_data_1990___2020[[#Totals],[CO2 emissions from fuel combustion (MtCO2)]],"Above Average","")</f>
        <v/>
      </c>
      <c r="W218" s="1">
        <f>SUM(Energy_data_1990___2020[[#This Row],[Coal and lignite production (Mt)]]-Energy_data_1990___2020[[#This Row],[Coal and lignite domestic consumption (Mt)]])</f>
        <v>-10.677737015</v>
      </c>
    </row>
    <row r="219" spans="1:23">
      <c r="A219" t="s">
        <v>35</v>
      </c>
      <c r="B219">
        <v>1990</v>
      </c>
      <c r="C219" t="s">
        <v>28</v>
      </c>
      <c r="D219">
        <v>2255.3939049999999</v>
      </c>
      <c r="E219">
        <v>2.5800499280000002</v>
      </c>
      <c r="F219">
        <v>1.367078322</v>
      </c>
      <c r="G219">
        <v>880.92626859999996</v>
      </c>
      <c r="H219">
        <v>874.16676719999998</v>
      </c>
      <c r="I219">
        <v>20.407939890000002</v>
      </c>
      <c r="J219">
        <v>5.5818278709999998</v>
      </c>
      <c r="K219">
        <v>142.88499999999999</v>
      </c>
      <c r="L219">
        <v>146.41900000000001</v>
      </c>
      <c r="M219">
        <v>15.29999229</v>
      </c>
      <c r="N219">
        <v>15.870011379999999</v>
      </c>
      <c r="O219">
        <v>0.52986506499999997</v>
      </c>
      <c r="P219">
        <v>621.26800000000003</v>
      </c>
      <c r="Q219">
        <v>507.05399999999997</v>
      </c>
      <c r="R219">
        <v>1004.80898</v>
      </c>
      <c r="S219">
        <v>1.0945356999999999E-2</v>
      </c>
      <c r="T219">
        <v>138.30600000000001</v>
      </c>
      <c r="U219">
        <v>1039.82</v>
      </c>
      <c r="V219" s="1" t="str">
        <f>IF(Energy_data_1990___2020[[#This Row],[CO2 emissions from fuel combustion (MtCO2)]]&gt;Energy_data_1990___2020[[#Totals],[CO2 emissions from fuel combustion (MtCO2)]],"Above Average","")</f>
        <v>Above Average</v>
      </c>
      <c r="W219" s="1">
        <f>SUM(Energy_data_1990___2020[[#This Row],[Coal and lignite production (Mt)]]-Energy_data_1990___2020[[#This Row],[Coal and lignite domestic consumption (Mt)]])</f>
        <v>35.011019999999917</v>
      </c>
    </row>
    <row r="220" spans="1:23">
      <c r="A220" t="s">
        <v>35</v>
      </c>
      <c r="B220">
        <v>1991</v>
      </c>
      <c r="C220" t="s">
        <v>28</v>
      </c>
      <c r="D220">
        <v>2370.1848909999999</v>
      </c>
      <c r="E220">
        <v>2.7953735339999999</v>
      </c>
      <c r="F220">
        <v>1.314487913</v>
      </c>
      <c r="G220">
        <v>886.76228119999996</v>
      </c>
      <c r="H220">
        <v>847.89558969999996</v>
      </c>
      <c r="I220">
        <v>18.47113079</v>
      </c>
      <c r="J220">
        <v>6.2394896019999999</v>
      </c>
      <c r="K220">
        <v>152.60599999999999</v>
      </c>
      <c r="L220">
        <v>153.017</v>
      </c>
      <c r="M220">
        <v>16.069995630000001</v>
      </c>
      <c r="N220">
        <v>15.88998484</v>
      </c>
      <c r="O220">
        <v>0.47023694599999999</v>
      </c>
      <c r="P220">
        <v>677.625</v>
      </c>
      <c r="Q220">
        <v>581.21100000000001</v>
      </c>
      <c r="R220">
        <v>1050.1767239999999</v>
      </c>
      <c r="S220">
        <v>1.1068069E-2</v>
      </c>
      <c r="T220">
        <v>140.99199999999999</v>
      </c>
      <c r="U220">
        <v>1040.692</v>
      </c>
      <c r="V220" s="1" t="str">
        <f>IF(Energy_data_1990___2020[[#This Row],[CO2 emissions from fuel combustion (MtCO2)]]&gt;Energy_data_1990___2020[[#Totals],[CO2 emissions from fuel combustion (MtCO2)]],"Above Average","")</f>
        <v>Above Average</v>
      </c>
      <c r="W220" s="1">
        <f>SUM(Energy_data_1990___2020[[#This Row],[Coal and lignite production (Mt)]]-Energy_data_1990___2020[[#This Row],[Coal and lignite domestic consumption (Mt)]])</f>
        <v>-9.4847239999999147</v>
      </c>
    </row>
    <row r="221" spans="1:23">
      <c r="A221" t="s">
        <v>35</v>
      </c>
      <c r="B221">
        <v>1992</v>
      </c>
      <c r="C221" t="s">
        <v>28</v>
      </c>
      <c r="D221">
        <v>2461.9858049999998</v>
      </c>
      <c r="E221">
        <v>2.8076262999999999</v>
      </c>
      <c r="F221">
        <v>1.195452564</v>
      </c>
      <c r="G221">
        <v>904.08534410000004</v>
      </c>
      <c r="H221">
        <v>876.89227219999998</v>
      </c>
      <c r="I221">
        <v>17.58468367</v>
      </c>
      <c r="J221">
        <v>6.7864138909999996</v>
      </c>
      <c r="K221">
        <v>160.893</v>
      </c>
      <c r="L221">
        <v>159.22300000000001</v>
      </c>
      <c r="M221">
        <v>15.78998741</v>
      </c>
      <c r="N221">
        <v>15.880018489999999</v>
      </c>
      <c r="O221">
        <v>0.42578763600000002</v>
      </c>
      <c r="P221">
        <v>754.07100000000003</v>
      </c>
      <c r="Q221">
        <v>644.97699999999998</v>
      </c>
      <c r="R221">
        <v>1090.394176</v>
      </c>
      <c r="S221">
        <v>1.7372368999999999E-2</v>
      </c>
      <c r="T221">
        <v>142.09700000000001</v>
      </c>
      <c r="U221">
        <v>1072.8</v>
      </c>
      <c r="V221" s="1" t="str">
        <f>IF(Energy_data_1990___2020[[#This Row],[CO2 emissions from fuel combustion (MtCO2)]]&gt;Energy_data_1990___2020[[#Totals],[CO2 emissions from fuel combustion (MtCO2)]],"Above Average","")</f>
        <v>Above Average</v>
      </c>
      <c r="W221" s="1">
        <f>SUM(Energy_data_1990___2020[[#This Row],[Coal and lignite production (Mt)]]-Energy_data_1990___2020[[#This Row],[Coal and lignite domestic consumption (Mt)]])</f>
        <v>-17.594176000000061</v>
      </c>
    </row>
    <row r="222" spans="1:23">
      <c r="A222" t="s">
        <v>35</v>
      </c>
      <c r="B222">
        <v>1993</v>
      </c>
      <c r="C222" t="s">
        <v>28</v>
      </c>
      <c r="D222">
        <v>2631.2090750000002</v>
      </c>
      <c r="E222">
        <v>2.8316889070000002</v>
      </c>
      <c r="F222">
        <v>1.122023843</v>
      </c>
      <c r="G222">
        <v>933.00554390000002</v>
      </c>
      <c r="H222">
        <v>929.20132160000003</v>
      </c>
      <c r="I222">
        <v>18.125260170000001</v>
      </c>
      <c r="J222">
        <v>7.2208063390000001</v>
      </c>
      <c r="K222">
        <v>175.697</v>
      </c>
      <c r="L222">
        <v>166.304</v>
      </c>
      <c r="M222">
        <v>16.765996250000001</v>
      </c>
      <c r="N222">
        <v>16.766004559999999</v>
      </c>
      <c r="O222">
        <v>0.396238386</v>
      </c>
      <c r="P222">
        <v>838.399</v>
      </c>
      <c r="Q222">
        <v>715.63400000000001</v>
      </c>
      <c r="R222">
        <v>1152.136287</v>
      </c>
      <c r="S222">
        <v>1.7056318000000001E-2</v>
      </c>
      <c r="T222">
        <v>145.17400000000001</v>
      </c>
      <c r="U222">
        <v>1112.298</v>
      </c>
      <c r="V222" s="1" t="str">
        <f>IF(Energy_data_1990___2020[[#This Row],[CO2 emissions from fuel combustion (MtCO2)]]&gt;Energy_data_1990___2020[[#Totals],[CO2 emissions from fuel combustion (MtCO2)]],"Above Average","")</f>
        <v>Above Average</v>
      </c>
      <c r="W222" s="1">
        <f>SUM(Energy_data_1990___2020[[#This Row],[Coal and lignite production (Mt)]]-Energy_data_1990___2020[[#This Row],[Coal and lignite domestic consumption (Mt)]])</f>
        <v>-39.838287000000037</v>
      </c>
    </row>
    <row r="223" spans="1:23">
      <c r="A223" t="s">
        <v>35</v>
      </c>
      <c r="B223">
        <v>1994</v>
      </c>
      <c r="C223" t="s">
        <v>28</v>
      </c>
      <c r="D223">
        <v>2756.5247549999999</v>
      </c>
      <c r="E223">
        <v>2.8328458589999999</v>
      </c>
      <c r="F223">
        <v>1.0397520010000001</v>
      </c>
      <c r="G223">
        <v>986.19479230000002</v>
      </c>
      <c r="H223">
        <v>973.05850429999998</v>
      </c>
      <c r="I223">
        <v>18.088435700000002</v>
      </c>
      <c r="J223">
        <v>7.8518772070000002</v>
      </c>
      <c r="K223">
        <v>175.666</v>
      </c>
      <c r="L223">
        <v>166.00800000000001</v>
      </c>
      <c r="M223">
        <v>17.558988979999999</v>
      </c>
      <c r="N223">
        <v>17.5260012</v>
      </c>
      <c r="O223">
        <v>0.36703444299999999</v>
      </c>
      <c r="P223">
        <v>928.245</v>
      </c>
      <c r="Q223">
        <v>797.8</v>
      </c>
      <c r="R223">
        <v>1226.1772739999999</v>
      </c>
      <c r="S223">
        <v>1.7452288999999999E-2</v>
      </c>
      <c r="T223">
        <v>146.08199999999999</v>
      </c>
      <c r="U223">
        <v>1202.836</v>
      </c>
      <c r="V223" s="1" t="str">
        <f>IF(Energy_data_1990___2020[[#This Row],[CO2 emissions from fuel combustion (MtCO2)]]&gt;Energy_data_1990___2020[[#Totals],[CO2 emissions from fuel combustion (MtCO2)]],"Above Average","")</f>
        <v>Above Average</v>
      </c>
      <c r="W223" s="1">
        <f>SUM(Energy_data_1990___2020[[#This Row],[Coal and lignite production (Mt)]]-Energy_data_1990___2020[[#This Row],[Coal and lignite domestic consumption (Mt)]])</f>
        <v>-23.341273999999885</v>
      </c>
    </row>
    <row r="224" spans="1:23">
      <c r="A224" t="s">
        <v>35</v>
      </c>
      <c r="B224">
        <v>1995</v>
      </c>
      <c r="C224" t="s">
        <v>28</v>
      </c>
      <c r="D224">
        <v>2944.451149</v>
      </c>
      <c r="E224">
        <v>2.818832343</v>
      </c>
      <c r="F224">
        <v>1.00103195</v>
      </c>
      <c r="G224">
        <v>1064.5852609999999</v>
      </c>
      <c r="H224">
        <v>1044.564128</v>
      </c>
      <c r="I224">
        <v>19.214139299999999</v>
      </c>
      <c r="J224">
        <v>7.9080407749999999</v>
      </c>
      <c r="K224">
        <v>189.786</v>
      </c>
      <c r="L224">
        <v>177.65199999999999</v>
      </c>
      <c r="M224">
        <v>17.94700881</v>
      </c>
      <c r="N224">
        <v>17.800980689999999</v>
      </c>
      <c r="O224">
        <v>0.35512291200000001</v>
      </c>
      <c r="P224">
        <v>1007.914</v>
      </c>
      <c r="Q224">
        <v>848.43499999999995</v>
      </c>
      <c r="R224">
        <v>1342.337945</v>
      </c>
      <c r="S224">
        <v>1.8652385E-2</v>
      </c>
      <c r="T224">
        <v>150.04400000000001</v>
      </c>
      <c r="U224">
        <v>1338.7460000000001</v>
      </c>
      <c r="V224" s="1" t="str">
        <f>IF(Energy_data_1990___2020[[#This Row],[CO2 emissions from fuel combustion (MtCO2)]]&gt;Energy_data_1990___2020[[#Totals],[CO2 emissions from fuel combustion (MtCO2)]],"Above Average","")</f>
        <v>Above Average</v>
      </c>
      <c r="W224" s="1">
        <f>SUM(Energy_data_1990___2020[[#This Row],[Coal and lignite production (Mt)]]-Energy_data_1990___2020[[#This Row],[Coal and lignite domestic consumption (Mt)]])</f>
        <v>-3.591944999999896</v>
      </c>
    </row>
    <row r="225" spans="1:23">
      <c r="A225" t="s">
        <v>35</v>
      </c>
      <c r="B225">
        <v>1996</v>
      </c>
      <c r="C225" t="s">
        <v>28</v>
      </c>
      <c r="D225">
        <v>2938.5613090000002</v>
      </c>
      <c r="E225">
        <v>2.7372420499999999</v>
      </c>
      <c r="F225">
        <v>0.90880047200000003</v>
      </c>
      <c r="G225">
        <v>1091.140748</v>
      </c>
      <c r="H225">
        <v>1073.5482119999999</v>
      </c>
      <c r="I225">
        <v>17.55221062</v>
      </c>
      <c r="J225">
        <v>8.8451441180000003</v>
      </c>
      <c r="K225">
        <v>196.58500000000001</v>
      </c>
      <c r="L225">
        <v>185.97200000000001</v>
      </c>
      <c r="M225">
        <v>20.11399656</v>
      </c>
      <c r="N225">
        <v>18.512995969999999</v>
      </c>
      <c r="O225">
        <v>0.33201319200000001</v>
      </c>
      <c r="P225">
        <v>1080.24</v>
      </c>
      <c r="Q225">
        <v>915.94</v>
      </c>
      <c r="R225">
        <v>1344.193939</v>
      </c>
      <c r="S225">
        <v>2.0643561000000001E-2</v>
      </c>
      <c r="T225">
        <v>157.334</v>
      </c>
      <c r="U225">
        <v>1379.376</v>
      </c>
      <c r="V225" s="1" t="str">
        <f>IF(Energy_data_1990___2020[[#This Row],[CO2 emissions from fuel combustion (MtCO2)]]&gt;Energy_data_1990___2020[[#Totals],[CO2 emissions from fuel combustion (MtCO2)]],"Above Average","")</f>
        <v>Above Average</v>
      </c>
      <c r="W225" s="1">
        <f>SUM(Energy_data_1990___2020[[#This Row],[Coal and lignite production (Mt)]]-Energy_data_1990___2020[[#This Row],[Coal and lignite domestic consumption (Mt)]])</f>
        <v>35.182060999999976</v>
      </c>
    </row>
    <row r="226" spans="1:23">
      <c r="A226" t="s">
        <v>35</v>
      </c>
      <c r="B226">
        <v>1997</v>
      </c>
      <c r="C226" t="s">
        <v>28</v>
      </c>
      <c r="D226">
        <v>2967.5060830000002</v>
      </c>
      <c r="E226">
        <v>2.7659054649999999</v>
      </c>
      <c r="F226">
        <v>0.840195621</v>
      </c>
      <c r="G226">
        <v>1080.5928389999999</v>
      </c>
      <c r="H226">
        <v>1072.887747</v>
      </c>
      <c r="I226">
        <v>17.512466020000002</v>
      </c>
      <c r="J226">
        <v>8.9567603869999992</v>
      </c>
      <c r="K226">
        <v>212.68100000000001</v>
      </c>
      <c r="L226">
        <v>197.024</v>
      </c>
      <c r="M226">
        <v>22.70298734</v>
      </c>
      <c r="N226">
        <v>19.63198804</v>
      </c>
      <c r="O226">
        <v>0.30376874100000001</v>
      </c>
      <c r="P226">
        <v>1135.8879999999999</v>
      </c>
      <c r="Q226">
        <v>952.63699999999994</v>
      </c>
      <c r="R226">
        <v>1333.551847</v>
      </c>
      <c r="S226">
        <v>2.9316271000000001E-2</v>
      </c>
      <c r="T226">
        <v>160.74100000000001</v>
      </c>
      <c r="U226">
        <v>1335.8710000000001</v>
      </c>
      <c r="V226" s="1" t="str">
        <f>IF(Energy_data_1990___2020[[#This Row],[CO2 emissions from fuel combustion (MtCO2)]]&gt;Energy_data_1990___2020[[#Totals],[CO2 emissions from fuel combustion (MtCO2)]],"Above Average","")</f>
        <v>Above Average</v>
      </c>
      <c r="W226" s="1">
        <f>SUM(Energy_data_1990___2020[[#This Row],[Coal and lignite production (Mt)]]-Energy_data_1990___2020[[#This Row],[Coal and lignite domestic consumption (Mt)]])</f>
        <v>2.3191530000001421</v>
      </c>
    </row>
    <row r="227" spans="1:23">
      <c r="A227" t="s">
        <v>35</v>
      </c>
      <c r="B227">
        <v>1998</v>
      </c>
      <c r="C227" t="s">
        <v>28</v>
      </c>
      <c r="D227">
        <v>3084.7568070000002</v>
      </c>
      <c r="E227">
        <v>2.859900009</v>
      </c>
      <c r="F227">
        <v>0.80991502699999995</v>
      </c>
      <c r="G227">
        <v>1079.2668960000001</v>
      </c>
      <c r="H227">
        <v>1078.6240069999999</v>
      </c>
      <c r="I227">
        <v>18.061156319999998</v>
      </c>
      <c r="J227">
        <v>9.2190284840000007</v>
      </c>
      <c r="K227">
        <v>217.54300000000001</v>
      </c>
      <c r="L227">
        <v>199.071</v>
      </c>
      <c r="M227">
        <v>23.279006450000001</v>
      </c>
      <c r="N227">
        <v>20.184020239999999</v>
      </c>
      <c r="O227">
        <v>0.28319697300000002</v>
      </c>
      <c r="P227">
        <v>1167.5</v>
      </c>
      <c r="Q227">
        <v>986.45399999999995</v>
      </c>
      <c r="R227">
        <v>1313.539004</v>
      </c>
      <c r="S227">
        <v>4.2826551999999997E-2</v>
      </c>
      <c r="T227">
        <v>161.203</v>
      </c>
      <c r="U227">
        <v>1295.6379999999999</v>
      </c>
      <c r="V227" s="1" t="str">
        <f>IF(Energy_data_1990___2020[[#This Row],[CO2 emissions from fuel combustion (MtCO2)]]&gt;Energy_data_1990___2020[[#Totals],[CO2 emissions from fuel combustion (MtCO2)]],"Above Average","")</f>
        <v>Above Average</v>
      </c>
      <c r="W227" s="1">
        <f>SUM(Energy_data_1990___2020[[#This Row],[Coal and lignite production (Mt)]]-Energy_data_1990___2020[[#This Row],[Coal and lignite domestic consumption (Mt)]])</f>
        <v>-17.901004000000057</v>
      </c>
    </row>
    <row r="228" spans="1:23">
      <c r="A228" t="s">
        <v>35</v>
      </c>
      <c r="B228">
        <v>1999</v>
      </c>
      <c r="C228" t="s">
        <v>28</v>
      </c>
      <c r="D228">
        <v>2995.5549209999999</v>
      </c>
      <c r="E228">
        <v>2.7254711899999999</v>
      </c>
      <c r="F228">
        <v>0.73048489299999997</v>
      </c>
      <c r="G228">
        <v>1073.8917899999999</v>
      </c>
      <c r="H228">
        <v>1099.0961600000001</v>
      </c>
      <c r="I228">
        <v>16.681465930000002</v>
      </c>
      <c r="J228">
        <v>10.07354597</v>
      </c>
      <c r="K228">
        <v>227.934</v>
      </c>
      <c r="L228">
        <v>212.52</v>
      </c>
      <c r="M228">
        <v>25.19799132</v>
      </c>
      <c r="N228">
        <v>21.49397269</v>
      </c>
      <c r="O228">
        <v>0.26802150600000002</v>
      </c>
      <c r="P228">
        <v>1239.9269999999999</v>
      </c>
      <c r="Q228">
        <v>1043.5740000000001</v>
      </c>
      <c r="R228">
        <v>1226.28457</v>
      </c>
      <c r="S228">
        <v>5.0567492999999998E-2</v>
      </c>
      <c r="T228">
        <v>160.16900000000001</v>
      </c>
      <c r="U228">
        <v>1263.752</v>
      </c>
      <c r="V228" s="1" t="str">
        <f>IF(Energy_data_1990___2020[[#This Row],[CO2 emissions from fuel combustion (MtCO2)]]&gt;Energy_data_1990___2020[[#Totals],[CO2 emissions from fuel combustion (MtCO2)]],"Above Average","")</f>
        <v>Above Average</v>
      </c>
      <c r="W228" s="1">
        <f>SUM(Energy_data_1990___2020[[#This Row],[Coal and lignite production (Mt)]]-Energy_data_1990___2020[[#This Row],[Coal and lignite domestic consumption (Mt)]])</f>
        <v>37.467429999999922</v>
      </c>
    </row>
    <row r="229" spans="1:23">
      <c r="A229" t="s">
        <v>35</v>
      </c>
      <c r="B229">
        <v>2000</v>
      </c>
      <c r="C229" t="s">
        <v>28</v>
      </c>
      <c r="D229">
        <v>3140.310907</v>
      </c>
      <c r="E229">
        <v>2.7796808560000001</v>
      </c>
      <c r="F229">
        <v>0.70584745400000004</v>
      </c>
      <c r="G229">
        <v>1123.707793</v>
      </c>
      <c r="H229">
        <v>1129.737934</v>
      </c>
      <c r="I229">
        <v>16.639498190000001</v>
      </c>
      <c r="J229">
        <v>10.73678441</v>
      </c>
      <c r="K229">
        <v>241.327</v>
      </c>
      <c r="L229">
        <v>233.31</v>
      </c>
      <c r="M229">
        <v>27.19999486</v>
      </c>
      <c r="N229">
        <v>24.62697915</v>
      </c>
      <c r="O229">
        <v>0.25393111299999999</v>
      </c>
      <c r="P229">
        <v>1355.7380000000001</v>
      </c>
      <c r="Q229">
        <v>1138.463</v>
      </c>
      <c r="R229">
        <v>1304.074985</v>
      </c>
      <c r="S229">
        <v>5.5541704999999997E-2</v>
      </c>
      <c r="T229">
        <v>163.078</v>
      </c>
      <c r="U229">
        <v>1354.886</v>
      </c>
      <c r="V229" s="1" t="str">
        <f>IF(Energy_data_1990___2020[[#This Row],[CO2 emissions from fuel combustion (MtCO2)]]&gt;Energy_data_1990___2020[[#Totals],[CO2 emissions from fuel combustion (MtCO2)]],"Above Average","")</f>
        <v>Above Average</v>
      </c>
      <c r="W229" s="1">
        <f>SUM(Energy_data_1990___2020[[#This Row],[Coal and lignite production (Mt)]]-Energy_data_1990___2020[[#This Row],[Coal and lignite domestic consumption (Mt)]])</f>
        <v>50.811014999999998</v>
      </c>
    </row>
    <row r="230" spans="1:23">
      <c r="A230" t="s">
        <v>35</v>
      </c>
      <c r="B230">
        <v>2001</v>
      </c>
      <c r="C230" t="s">
        <v>28</v>
      </c>
      <c r="D230">
        <v>3274.6858940000002</v>
      </c>
      <c r="E230">
        <v>2.8028287330000001</v>
      </c>
      <c r="F230">
        <v>0.67939036100000005</v>
      </c>
      <c r="G230">
        <v>1176.292128</v>
      </c>
      <c r="H230">
        <v>1168.3503370000001</v>
      </c>
      <c r="I230">
        <v>18.958519169999999</v>
      </c>
      <c r="J230">
        <v>11.33911468</v>
      </c>
      <c r="K230">
        <v>245.67099999999999</v>
      </c>
      <c r="L230">
        <v>235.66300000000001</v>
      </c>
      <c r="M230">
        <v>30.328992320000001</v>
      </c>
      <c r="N230">
        <v>28.3479916</v>
      </c>
      <c r="O230">
        <v>0.242394533</v>
      </c>
      <c r="P230">
        <v>1480.9490000000001</v>
      </c>
      <c r="Q230">
        <v>1240.951</v>
      </c>
      <c r="R230">
        <v>1377.898903</v>
      </c>
      <c r="S230">
        <v>6.0501746000000002E-2</v>
      </c>
      <c r="T230">
        <v>164.05600000000001</v>
      </c>
      <c r="U230">
        <v>1450.443</v>
      </c>
      <c r="V230" s="1" t="str">
        <f>IF(Energy_data_1990___2020[[#This Row],[CO2 emissions from fuel combustion (MtCO2)]]&gt;Energy_data_1990___2020[[#Totals],[CO2 emissions from fuel combustion (MtCO2)]],"Above Average","")</f>
        <v>Above Average</v>
      </c>
      <c r="W230" s="1">
        <f>SUM(Energy_data_1990___2020[[#This Row],[Coal and lignite production (Mt)]]-Energy_data_1990___2020[[#This Row],[Coal and lignite domestic consumption (Mt)]])</f>
        <v>72.544096999999965</v>
      </c>
    </row>
    <row r="231" spans="1:23">
      <c r="A231" t="s">
        <v>35</v>
      </c>
      <c r="B231">
        <v>2002</v>
      </c>
      <c r="C231" t="s">
        <v>28</v>
      </c>
      <c r="D231">
        <v>3534.0845570000001</v>
      </c>
      <c r="E231">
        <v>2.836421713</v>
      </c>
      <c r="F231">
        <v>0.67186179000000001</v>
      </c>
      <c r="G231">
        <v>1226.9353000000001</v>
      </c>
      <c r="H231">
        <v>1245.9658380000001</v>
      </c>
      <c r="I231">
        <v>17.6186279</v>
      </c>
      <c r="J231">
        <v>12.04489558</v>
      </c>
      <c r="K231">
        <v>258.375</v>
      </c>
      <c r="L231">
        <v>243.28399999999999</v>
      </c>
      <c r="M231">
        <v>32.660989960000002</v>
      </c>
      <c r="N231">
        <v>29.285998670000001</v>
      </c>
      <c r="O231">
        <v>0.23686949900000001</v>
      </c>
      <c r="P231">
        <v>1654.164</v>
      </c>
      <c r="Q231">
        <v>1380.0060000000001</v>
      </c>
      <c r="R231">
        <v>1492.4028330000001</v>
      </c>
      <c r="S231">
        <v>6.2690277000000003E-2</v>
      </c>
      <c r="T231">
        <v>167.14500000000001</v>
      </c>
      <c r="U231">
        <v>1538.8389999999999</v>
      </c>
      <c r="V231" s="1" t="str">
        <f>IF(Energy_data_1990___2020[[#This Row],[CO2 emissions from fuel combustion (MtCO2)]]&gt;Energy_data_1990___2020[[#Totals],[CO2 emissions from fuel combustion (MtCO2)]],"Above Average","")</f>
        <v>Above Average</v>
      </c>
      <c r="W231" s="1">
        <f>SUM(Energy_data_1990___2020[[#This Row],[Coal and lignite production (Mt)]]-Energy_data_1990___2020[[#This Row],[Coal and lignite domestic consumption (Mt)]])</f>
        <v>46.436166999999841</v>
      </c>
    </row>
    <row r="232" spans="1:23">
      <c r="A232" t="s">
        <v>35</v>
      </c>
      <c r="B232">
        <v>2003</v>
      </c>
      <c r="C232" t="s">
        <v>28</v>
      </c>
      <c r="D232">
        <v>4108.3775530000003</v>
      </c>
      <c r="E232">
        <v>2.8930231329999998</v>
      </c>
      <c r="F232">
        <v>0.70980675199999999</v>
      </c>
      <c r="G232">
        <v>1375.1854740000001</v>
      </c>
      <c r="H232">
        <v>1420.0984109999999</v>
      </c>
      <c r="I232">
        <v>15.03704033</v>
      </c>
      <c r="J232">
        <v>12.82080386</v>
      </c>
      <c r="K232">
        <v>281.51799999999997</v>
      </c>
      <c r="L232">
        <v>264.101</v>
      </c>
      <c r="M232">
        <v>35.015000899999997</v>
      </c>
      <c r="N232">
        <v>34.964989160000002</v>
      </c>
      <c r="O232">
        <v>0.24535121900000001</v>
      </c>
      <c r="P232">
        <v>1910.7550000000001</v>
      </c>
      <c r="Q232">
        <v>1604.7190000000001</v>
      </c>
      <c r="R232">
        <v>1778.7894940000001</v>
      </c>
      <c r="S232">
        <v>6.3796771000000002E-2</v>
      </c>
      <c r="T232">
        <v>169.655</v>
      </c>
      <c r="U232">
        <v>1818.95</v>
      </c>
      <c r="V232" s="1" t="str">
        <f>IF(Energy_data_1990___2020[[#This Row],[CO2 emissions from fuel combustion (MtCO2)]]&gt;Energy_data_1990___2020[[#Totals],[CO2 emissions from fuel combustion (MtCO2)]],"Above Average","")</f>
        <v>Above Average</v>
      </c>
      <c r="W232" s="1">
        <f>SUM(Energy_data_1990___2020[[#This Row],[Coal and lignite production (Mt)]]-Energy_data_1990___2020[[#This Row],[Coal and lignite domestic consumption (Mt)]])</f>
        <v>40.160505999999941</v>
      </c>
    </row>
    <row r="233" spans="1:23">
      <c r="A233" t="s">
        <v>35</v>
      </c>
      <c r="B233">
        <v>2004</v>
      </c>
      <c r="C233" t="s">
        <v>28</v>
      </c>
      <c r="D233">
        <v>4835.5947079999996</v>
      </c>
      <c r="E233">
        <v>2.99474632</v>
      </c>
      <c r="F233">
        <v>0.75873144599999998</v>
      </c>
      <c r="G233">
        <v>1534.2445700000001</v>
      </c>
      <c r="H233">
        <v>1614.6925960000001</v>
      </c>
      <c r="I233">
        <v>16.223266420000002</v>
      </c>
      <c r="J233">
        <v>12.81810832</v>
      </c>
      <c r="K233">
        <v>329.96600000000001</v>
      </c>
      <c r="L233">
        <v>306.95800000000003</v>
      </c>
      <c r="M233">
        <v>41.459993320000002</v>
      </c>
      <c r="N233">
        <v>41.363016389999999</v>
      </c>
      <c r="O233">
        <v>0.25335416300000002</v>
      </c>
      <c r="P233">
        <v>2203.502</v>
      </c>
      <c r="Q233">
        <v>1859.2660000000001</v>
      </c>
      <c r="R233">
        <v>2042.694299</v>
      </c>
      <c r="S233">
        <v>6.9162633000000001E-2</v>
      </c>
      <c r="T233">
        <v>175.941</v>
      </c>
      <c r="U233">
        <v>2089.2730000000001</v>
      </c>
      <c r="V233" s="1" t="str">
        <f>IF(Energy_data_1990___2020[[#This Row],[CO2 emissions from fuel combustion (MtCO2)]]&gt;Energy_data_1990___2020[[#Totals],[CO2 emissions from fuel combustion (MtCO2)]],"Above Average","")</f>
        <v>Above Average</v>
      </c>
      <c r="W233" s="1">
        <f>SUM(Energy_data_1990___2020[[#This Row],[Coal and lignite production (Mt)]]-Energy_data_1990___2020[[#This Row],[Coal and lignite domestic consumption (Mt)]])</f>
        <v>46.578701000000137</v>
      </c>
    </row>
    <row r="234" spans="1:23">
      <c r="A234" t="s">
        <v>35</v>
      </c>
      <c r="B234">
        <v>2005</v>
      </c>
      <c r="C234" t="s">
        <v>28</v>
      </c>
      <c r="D234">
        <v>5470.5147230000002</v>
      </c>
      <c r="E234">
        <v>3.06984199</v>
      </c>
      <c r="F234">
        <v>0.77054438199999997</v>
      </c>
      <c r="G234">
        <v>1671.4234329999999</v>
      </c>
      <c r="H234">
        <v>1782.018339</v>
      </c>
      <c r="I234">
        <v>16.17502498</v>
      </c>
      <c r="J234">
        <v>12.991479959999999</v>
      </c>
      <c r="K234">
        <v>333.99799999999999</v>
      </c>
      <c r="L234">
        <v>317.80599999999998</v>
      </c>
      <c r="M234">
        <v>49.320002049999999</v>
      </c>
      <c r="N234">
        <v>46.574014849999998</v>
      </c>
      <c r="O234">
        <v>0.25100457399999998</v>
      </c>
      <c r="P234">
        <v>2500.4659999999999</v>
      </c>
      <c r="Q234">
        <v>2126.4319999999998</v>
      </c>
      <c r="R234">
        <v>2345.024214</v>
      </c>
      <c r="S234">
        <v>8.9343346000000004E-2</v>
      </c>
      <c r="T234">
        <v>181.42599999999999</v>
      </c>
      <c r="U234">
        <v>2317.3249999999998</v>
      </c>
      <c r="V234" s="1" t="str">
        <f>IF(Energy_data_1990___2020[[#This Row],[CO2 emissions from fuel combustion (MtCO2)]]&gt;Energy_data_1990___2020[[#Totals],[CO2 emissions from fuel combustion (MtCO2)]],"Above Average","")</f>
        <v>Above Average</v>
      </c>
      <c r="W234" s="1">
        <f>SUM(Energy_data_1990___2020[[#This Row],[Coal and lignite production (Mt)]]-Energy_data_1990___2020[[#This Row],[Coal and lignite domestic consumption (Mt)]])</f>
        <v>-27.699214000000211</v>
      </c>
    </row>
    <row r="235" spans="1:23">
      <c r="A235" t="s">
        <v>35</v>
      </c>
      <c r="B235">
        <v>2006</v>
      </c>
      <c r="C235" t="s">
        <v>28</v>
      </c>
      <c r="D235">
        <v>6052.1447950000002</v>
      </c>
      <c r="E235">
        <v>3.1037831890000001</v>
      </c>
      <c r="F235">
        <v>0.75627510399999998</v>
      </c>
      <c r="G235">
        <v>1792.636853</v>
      </c>
      <c r="H235">
        <v>1949.9251159999999</v>
      </c>
      <c r="I235">
        <v>15.59278342</v>
      </c>
      <c r="J235">
        <v>13.98143387</v>
      </c>
      <c r="K235">
        <v>353.83</v>
      </c>
      <c r="L235">
        <v>336.65</v>
      </c>
      <c r="M235">
        <v>58.553004029999997</v>
      </c>
      <c r="N235">
        <v>57.298939150000002</v>
      </c>
      <c r="O235">
        <v>0.24366235</v>
      </c>
      <c r="P235">
        <v>2865.9540000000002</v>
      </c>
      <c r="Q235">
        <v>2446.346</v>
      </c>
      <c r="R235">
        <v>2608.7589910000002</v>
      </c>
      <c r="S235">
        <v>0.142919251</v>
      </c>
      <c r="T235">
        <v>184.85300000000001</v>
      </c>
      <c r="U235">
        <v>2519.9389999999999</v>
      </c>
      <c r="V235" s="1" t="str">
        <f>IF(Energy_data_1990___2020[[#This Row],[CO2 emissions from fuel combustion (MtCO2)]]&gt;Energy_data_1990___2020[[#Totals],[CO2 emissions from fuel combustion (MtCO2)]],"Above Average","")</f>
        <v>Above Average</v>
      </c>
      <c r="W235" s="1">
        <f>SUM(Energy_data_1990___2020[[#This Row],[Coal and lignite production (Mt)]]-Energy_data_1990___2020[[#This Row],[Coal and lignite domestic consumption (Mt)]])</f>
        <v>-88.8199910000003</v>
      </c>
    </row>
    <row r="236" spans="1:23">
      <c r="A236" t="s">
        <v>35</v>
      </c>
      <c r="B236">
        <v>2007</v>
      </c>
      <c r="C236" t="s">
        <v>28</v>
      </c>
      <c r="D236">
        <v>6513.5538530000003</v>
      </c>
      <c r="E236">
        <v>3.1034957529999998</v>
      </c>
      <c r="F236">
        <v>0.712529827</v>
      </c>
      <c r="G236">
        <v>1916.580573</v>
      </c>
      <c r="H236">
        <v>2098.779689</v>
      </c>
      <c r="I236">
        <v>15.26334714</v>
      </c>
      <c r="J236">
        <v>15.212093189999999</v>
      </c>
      <c r="K236">
        <v>367.25799999999998</v>
      </c>
      <c r="L236">
        <v>352.25400000000002</v>
      </c>
      <c r="M236">
        <v>69.239988699999998</v>
      </c>
      <c r="N236">
        <v>70.483010879999995</v>
      </c>
      <c r="O236">
        <v>0.22958943200000001</v>
      </c>
      <c r="P236">
        <v>3281.79</v>
      </c>
      <c r="Q236">
        <v>2816.826</v>
      </c>
      <c r="R236">
        <v>2820.6163139999999</v>
      </c>
      <c r="S236">
        <v>0.181212082</v>
      </c>
      <c r="T236">
        <v>186.42099999999999</v>
      </c>
      <c r="U236">
        <v>2721.8449999999998</v>
      </c>
      <c r="V236" s="1" t="str">
        <f>IF(Energy_data_1990___2020[[#This Row],[CO2 emissions from fuel combustion (MtCO2)]]&gt;Energy_data_1990___2020[[#Totals],[CO2 emissions from fuel combustion (MtCO2)]],"Above Average","")</f>
        <v>Above Average</v>
      </c>
      <c r="W236" s="1">
        <f>SUM(Energy_data_1990___2020[[#This Row],[Coal and lignite production (Mt)]]-Energy_data_1990___2020[[#This Row],[Coal and lignite domestic consumption (Mt)]])</f>
        <v>-98.771314000000075</v>
      </c>
    </row>
    <row r="237" spans="1:23">
      <c r="A237" t="s">
        <v>35</v>
      </c>
      <c r="B237">
        <v>2008</v>
      </c>
      <c r="C237" t="s">
        <v>28</v>
      </c>
      <c r="D237">
        <v>6707.1182159999998</v>
      </c>
      <c r="E237">
        <v>3.1128540390000001</v>
      </c>
      <c r="F237">
        <v>0.66910669700000003</v>
      </c>
      <c r="G237">
        <v>1966.945714</v>
      </c>
      <c r="H237">
        <v>2154.652333</v>
      </c>
      <c r="I237">
        <v>17.737444060000001</v>
      </c>
      <c r="J237">
        <v>15.623167260000001</v>
      </c>
      <c r="K237">
        <v>375.39299999999997</v>
      </c>
      <c r="L237">
        <v>368.24299999999999</v>
      </c>
      <c r="M237">
        <v>80.299992290000006</v>
      </c>
      <c r="N237">
        <v>81.188076339999995</v>
      </c>
      <c r="O237">
        <v>0.214949589</v>
      </c>
      <c r="P237">
        <v>3467.1849999999999</v>
      </c>
      <c r="Q237">
        <v>2988.7429999999999</v>
      </c>
      <c r="R237">
        <v>2919.8769040000002</v>
      </c>
      <c r="S237">
        <v>0.43559833100000001</v>
      </c>
      <c r="T237">
        <v>190.559</v>
      </c>
      <c r="U237">
        <v>2844.3270000000002</v>
      </c>
      <c r="V237" s="1" t="str">
        <f>IF(Energy_data_1990___2020[[#This Row],[CO2 emissions from fuel combustion (MtCO2)]]&gt;Energy_data_1990___2020[[#Totals],[CO2 emissions from fuel combustion (MtCO2)]],"Above Average","")</f>
        <v>Above Average</v>
      </c>
      <c r="W237" s="1">
        <f>SUM(Energy_data_1990___2020[[#This Row],[Coal and lignite production (Mt)]]-Energy_data_1990___2020[[#This Row],[Coal and lignite domestic consumption (Mt)]])</f>
        <v>-75.54990399999997</v>
      </c>
    </row>
    <row r="238" spans="1:23">
      <c r="A238" t="s">
        <v>35</v>
      </c>
      <c r="B238">
        <v>2009</v>
      </c>
      <c r="C238" t="s">
        <v>28</v>
      </c>
      <c r="D238">
        <v>7218.0731260000002</v>
      </c>
      <c r="E238">
        <v>3.1427443629999998</v>
      </c>
      <c r="F238">
        <v>0.65820944999999997</v>
      </c>
      <c r="G238">
        <v>2051.6656520000001</v>
      </c>
      <c r="H238">
        <v>2296.742049</v>
      </c>
      <c r="I238">
        <v>17.863798200000002</v>
      </c>
      <c r="J238">
        <v>16.028144430000001</v>
      </c>
      <c r="K238">
        <v>382.56099999999998</v>
      </c>
      <c r="L238">
        <v>388.29700000000003</v>
      </c>
      <c r="M238">
        <v>85.268988719999996</v>
      </c>
      <c r="N238">
        <v>89.450928820000001</v>
      </c>
      <c r="O238">
        <v>0.20943779500000001</v>
      </c>
      <c r="P238">
        <v>3715.0610000000001</v>
      </c>
      <c r="Q238">
        <v>3222.5189999999998</v>
      </c>
      <c r="R238">
        <v>3158.0065319999999</v>
      </c>
      <c r="S238">
        <v>0.73514270699999995</v>
      </c>
      <c r="T238">
        <v>189.61600000000001</v>
      </c>
      <c r="U238">
        <v>3042.6990000000001</v>
      </c>
      <c r="V238" s="1" t="str">
        <f>IF(Energy_data_1990___2020[[#This Row],[CO2 emissions from fuel combustion (MtCO2)]]&gt;Energy_data_1990___2020[[#Totals],[CO2 emissions from fuel combustion (MtCO2)]],"Above Average","")</f>
        <v>Above Average</v>
      </c>
      <c r="W238" s="1">
        <f>SUM(Energy_data_1990___2020[[#This Row],[Coal and lignite production (Mt)]]-Energy_data_1990___2020[[#This Row],[Coal and lignite domestic consumption (Mt)]])</f>
        <v>-115.30753199999981</v>
      </c>
    </row>
    <row r="239" spans="1:23">
      <c r="A239" t="s">
        <v>35</v>
      </c>
      <c r="B239">
        <v>2010</v>
      </c>
      <c r="C239" t="s">
        <v>28</v>
      </c>
      <c r="D239">
        <v>7798.1310519999997</v>
      </c>
      <c r="E239">
        <v>3.074514744</v>
      </c>
      <c r="F239">
        <v>0.64274150900000004</v>
      </c>
      <c r="G239">
        <v>2236.1582400000002</v>
      </c>
      <c r="H239">
        <v>2536.3778349999998</v>
      </c>
      <c r="I239">
        <v>18.831471440000001</v>
      </c>
      <c r="J239">
        <v>16.931348799999999</v>
      </c>
      <c r="K239">
        <v>400.53699999999998</v>
      </c>
      <c r="L239">
        <v>400.93400000000003</v>
      </c>
      <c r="M239">
        <v>95.790989190000005</v>
      </c>
      <c r="N239">
        <v>125.1379752</v>
      </c>
      <c r="O239">
        <v>0.209054619</v>
      </c>
      <c r="P239">
        <v>4207.9930000000004</v>
      </c>
      <c r="Q239">
        <v>3625.5239999999999</v>
      </c>
      <c r="R239">
        <v>3349.5157490000001</v>
      </c>
      <c r="S239">
        <v>1.0802061700000001</v>
      </c>
      <c r="T239">
        <v>203.81899999999999</v>
      </c>
      <c r="U239">
        <v>3316.1010000000001</v>
      </c>
      <c r="V239" s="1" t="str">
        <f>IF(Energy_data_1990___2020[[#This Row],[CO2 emissions from fuel combustion (MtCO2)]]&gt;Energy_data_1990___2020[[#Totals],[CO2 emissions from fuel combustion (MtCO2)]],"Above Average","")</f>
        <v>Above Average</v>
      </c>
      <c r="W239" s="1">
        <f>SUM(Energy_data_1990___2020[[#This Row],[Coal and lignite production (Mt)]]-Energy_data_1990___2020[[#This Row],[Coal and lignite domestic consumption (Mt)]])</f>
        <v>-33.414749000000029</v>
      </c>
    </row>
    <row r="240" spans="1:23">
      <c r="A240" t="s">
        <v>35</v>
      </c>
      <c r="B240">
        <v>2011</v>
      </c>
      <c r="C240" t="s">
        <v>28</v>
      </c>
      <c r="D240">
        <v>8488.0220700000009</v>
      </c>
      <c r="E240">
        <v>3.1176100830000002</v>
      </c>
      <c r="F240">
        <v>0.63861087900000002</v>
      </c>
      <c r="G240">
        <v>2385.8184190000002</v>
      </c>
      <c r="H240">
        <v>2722.6054079999999</v>
      </c>
      <c r="I240">
        <v>16.954167099999999</v>
      </c>
      <c r="J240">
        <v>17.868140050000001</v>
      </c>
      <c r="K240">
        <v>419.30900000000003</v>
      </c>
      <c r="L240">
        <v>415.99799999999999</v>
      </c>
      <c r="M240">
        <v>105.3370065</v>
      </c>
      <c r="N240">
        <v>131.27314989999999</v>
      </c>
      <c r="O240">
        <v>0.204839881</v>
      </c>
      <c r="P240">
        <v>4715.7610000000004</v>
      </c>
      <c r="Q240">
        <v>4051.605</v>
      </c>
      <c r="R240">
        <v>3694.925201</v>
      </c>
      <c r="S240">
        <v>1.549548419</v>
      </c>
      <c r="T240">
        <v>204.119</v>
      </c>
      <c r="U240">
        <v>3608.201</v>
      </c>
      <c r="V240" s="1" t="str">
        <f>IF(Energy_data_1990___2020[[#This Row],[CO2 emissions from fuel combustion (MtCO2)]]&gt;Energy_data_1990___2020[[#Totals],[CO2 emissions from fuel combustion (MtCO2)]],"Above Average","")</f>
        <v>Above Average</v>
      </c>
      <c r="W240" s="1">
        <f>SUM(Energy_data_1990___2020[[#This Row],[Coal and lignite production (Mt)]]-Energy_data_1990___2020[[#This Row],[Coal and lignite domestic consumption (Mt)]])</f>
        <v>-86.724200999999994</v>
      </c>
    </row>
    <row r="241" spans="1:23">
      <c r="A241" t="s">
        <v>35</v>
      </c>
      <c r="B241">
        <v>2012</v>
      </c>
      <c r="C241" t="s">
        <v>28</v>
      </c>
      <c r="D241">
        <v>8748.9672769999997</v>
      </c>
      <c r="E241">
        <v>3.1017156739999998</v>
      </c>
      <c r="F241">
        <v>0.61027796400000001</v>
      </c>
      <c r="G241">
        <v>2401.4889910000002</v>
      </c>
      <c r="H241">
        <v>2820.6864190000001</v>
      </c>
      <c r="I241">
        <v>20.115497560000001</v>
      </c>
      <c r="J241">
        <v>18.380359129999999</v>
      </c>
      <c r="K241">
        <v>438.233</v>
      </c>
      <c r="L241">
        <v>439.87</v>
      </c>
      <c r="M241">
        <v>110.6079988</v>
      </c>
      <c r="N241">
        <v>147.2430268</v>
      </c>
      <c r="O241">
        <v>0.196754967</v>
      </c>
      <c r="P241">
        <v>4994.0450000000001</v>
      </c>
      <c r="Q241">
        <v>4326.0789999999997</v>
      </c>
      <c r="R241">
        <v>3831.5527069999998</v>
      </c>
      <c r="S241">
        <v>2.0518437459999999</v>
      </c>
      <c r="T241">
        <v>208.82300000000001</v>
      </c>
      <c r="U241">
        <v>3677.5889999999999</v>
      </c>
      <c r="V241" s="1" t="str">
        <f>IF(Energy_data_1990___2020[[#This Row],[CO2 emissions from fuel combustion (MtCO2)]]&gt;Energy_data_1990___2020[[#Totals],[CO2 emissions from fuel combustion (MtCO2)]],"Above Average","")</f>
        <v>Above Average</v>
      </c>
      <c r="W241" s="1">
        <f>SUM(Energy_data_1990___2020[[#This Row],[Coal and lignite production (Mt)]]-Energy_data_1990___2020[[#This Row],[Coal and lignite domestic consumption (Mt)]])</f>
        <v>-153.96370699999989</v>
      </c>
    </row>
    <row r="242" spans="1:23">
      <c r="A242" t="s">
        <v>35</v>
      </c>
      <c r="B242">
        <v>2013</v>
      </c>
      <c r="C242" t="s">
        <v>28</v>
      </c>
      <c r="D242">
        <v>9161.1819039999991</v>
      </c>
      <c r="E242">
        <v>3.1464110399999998</v>
      </c>
      <c r="F242">
        <v>0.59296642099999997</v>
      </c>
      <c r="G242">
        <v>2467.3467099999998</v>
      </c>
      <c r="H242">
        <v>2911.6290869999998</v>
      </c>
      <c r="I242">
        <v>20.452496459999999</v>
      </c>
      <c r="J242">
        <v>19.310349120000001</v>
      </c>
      <c r="K242">
        <v>461.197</v>
      </c>
      <c r="L242">
        <v>459.69600000000003</v>
      </c>
      <c r="M242">
        <v>120.86000869999999</v>
      </c>
      <c r="N242">
        <v>167.4748658</v>
      </c>
      <c r="O242">
        <v>0.188458028</v>
      </c>
      <c r="P242">
        <v>5447.2470000000003</v>
      </c>
      <c r="Q242">
        <v>4717.5680000000002</v>
      </c>
      <c r="R242">
        <v>3970.1754820000001</v>
      </c>
      <c r="S242">
        <v>2.8786467729999998</v>
      </c>
      <c r="T242">
        <v>211.50800000000001</v>
      </c>
      <c r="U242">
        <v>3748.53</v>
      </c>
      <c r="V242" s="1" t="str">
        <f>IF(Energy_data_1990___2020[[#This Row],[CO2 emissions from fuel combustion (MtCO2)]]&gt;Energy_data_1990___2020[[#Totals],[CO2 emissions from fuel combustion (MtCO2)]],"Above Average","")</f>
        <v>Above Average</v>
      </c>
      <c r="W242" s="1">
        <f>SUM(Energy_data_1990___2020[[#This Row],[Coal and lignite production (Mt)]]-Energy_data_1990___2020[[#This Row],[Coal and lignite domestic consumption (Mt)]])</f>
        <v>-221.6454819999999</v>
      </c>
    </row>
    <row r="243" spans="1:23">
      <c r="A243" t="s">
        <v>35</v>
      </c>
      <c r="B243">
        <v>2014</v>
      </c>
      <c r="C243" t="s">
        <v>28</v>
      </c>
      <c r="D243">
        <v>9082.9434980000005</v>
      </c>
      <c r="E243">
        <v>3.062404039</v>
      </c>
      <c r="F243">
        <v>0.54790773500000001</v>
      </c>
      <c r="G243">
        <v>2507.263199</v>
      </c>
      <c r="H243">
        <v>2965.952037</v>
      </c>
      <c r="I243">
        <v>22.789039160000002</v>
      </c>
      <c r="J243">
        <v>19.82071526</v>
      </c>
      <c r="K243">
        <v>476.33699999999999</v>
      </c>
      <c r="L243">
        <v>485.06099999999998</v>
      </c>
      <c r="M243">
        <v>130.15699570000001</v>
      </c>
      <c r="N243">
        <v>184.32011589999999</v>
      </c>
      <c r="O243">
        <v>0.17891425399999999</v>
      </c>
      <c r="P243">
        <v>5678.9449999999997</v>
      </c>
      <c r="Q243">
        <v>4938.6229999999996</v>
      </c>
      <c r="R243">
        <v>3837.4338980000002</v>
      </c>
      <c r="S243">
        <v>3.2653952450000001</v>
      </c>
      <c r="T243">
        <v>213.56700000000001</v>
      </c>
      <c r="U243">
        <v>3640.1669999999999</v>
      </c>
      <c r="V243" s="1" t="str">
        <f>IF(Energy_data_1990___2020[[#This Row],[CO2 emissions from fuel combustion (MtCO2)]]&gt;Energy_data_1990___2020[[#Totals],[CO2 emissions from fuel combustion (MtCO2)]],"Above Average","")</f>
        <v>Above Average</v>
      </c>
      <c r="W243" s="1">
        <f>SUM(Energy_data_1990___2020[[#This Row],[Coal and lignite production (Mt)]]-Energy_data_1990___2020[[#This Row],[Coal and lignite domestic consumption (Mt)]])</f>
        <v>-197.26689800000031</v>
      </c>
    </row>
    <row r="244" spans="1:23">
      <c r="A244" t="s">
        <v>35</v>
      </c>
      <c r="B244">
        <v>2015</v>
      </c>
      <c r="C244" t="s">
        <v>28</v>
      </c>
      <c r="D244">
        <v>9076.666647</v>
      </c>
      <c r="E244">
        <v>3.0319008649999999</v>
      </c>
      <c r="F244">
        <v>0.51216264600000005</v>
      </c>
      <c r="G244">
        <v>2515.6994810000001</v>
      </c>
      <c r="H244">
        <v>2993.7214479999998</v>
      </c>
      <c r="I244">
        <v>24.126194739999999</v>
      </c>
      <c r="J244">
        <v>20.162440539999999</v>
      </c>
      <c r="K244">
        <v>507.19900000000001</v>
      </c>
      <c r="L244">
        <v>510.51900000000001</v>
      </c>
      <c r="M244">
        <v>134.61000229999999</v>
      </c>
      <c r="N244">
        <v>191.80116570000001</v>
      </c>
      <c r="O244">
        <v>0.16892460200000001</v>
      </c>
      <c r="P244">
        <v>5859.5150000000003</v>
      </c>
      <c r="Q244">
        <v>5103.4459999999999</v>
      </c>
      <c r="R244">
        <v>3769.8281969999998</v>
      </c>
      <c r="S244">
        <v>3.9373224580000001</v>
      </c>
      <c r="T244">
        <v>216.75899999999999</v>
      </c>
      <c r="U244">
        <v>3563.165</v>
      </c>
      <c r="V244" s="1" t="str">
        <f>IF(Energy_data_1990___2020[[#This Row],[CO2 emissions from fuel combustion (MtCO2)]]&gt;Energy_data_1990___2020[[#Totals],[CO2 emissions from fuel combustion (MtCO2)]],"Above Average","")</f>
        <v>Above Average</v>
      </c>
      <c r="W244" s="1">
        <f>SUM(Energy_data_1990___2020[[#This Row],[Coal and lignite production (Mt)]]-Energy_data_1990___2020[[#This Row],[Coal and lignite domestic consumption (Mt)]])</f>
        <v>-206.66319699999985</v>
      </c>
    </row>
    <row r="245" spans="1:23">
      <c r="A245" t="s">
        <v>35</v>
      </c>
      <c r="B245">
        <v>2016</v>
      </c>
      <c r="C245" t="s">
        <v>28</v>
      </c>
      <c r="D245">
        <v>9032.7709529999993</v>
      </c>
      <c r="E245">
        <v>3.0340296919999998</v>
      </c>
      <c r="F245">
        <v>0.47751700499999999</v>
      </c>
      <c r="G245">
        <v>2363.350621</v>
      </c>
      <c r="H245">
        <v>2977.153116</v>
      </c>
      <c r="I245">
        <v>25.2594779</v>
      </c>
      <c r="J245">
        <v>21.27175969</v>
      </c>
      <c r="K245">
        <v>522.90599999999995</v>
      </c>
      <c r="L245">
        <v>533.90800000000002</v>
      </c>
      <c r="M245">
        <v>136.86499190000001</v>
      </c>
      <c r="N245">
        <v>207.89401760000001</v>
      </c>
      <c r="O245">
        <v>0.157387057</v>
      </c>
      <c r="P245">
        <v>6217.9669999999996</v>
      </c>
      <c r="Q245">
        <v>5407.4070000000002</v>
      </c>
      <c r="R245">
        <v>3717.9845369999998</v>
      </c>
      <c r="S245">
        <v>5.0265947049999999</v>
      </c>
      <c r="T245">
        <v>203.04</v>
      </c>
      <c r="U245">
        <v>3268.2069999999999</v>
      </c>
      <c r="V245" s="1" t="str">
        <f>IF(Energy_data_1990___2020[[#This Row],[CO2 emissions from fuel combustion (MtCO2)]]&gt;Energy_data_1990___2020[[#Totals],[CO2 emissions from fuel combustion (MtCO2)]],"Above Average","")</f>
        <v>Above Average</v>
      </c>
      <c r="W245" s="1">
        <f>SUM(Energy_data_1990___2020[[#This Row],[Coal and lignite production (Mt)]]-Energy_data_1990___2020[[#This Row],[Coal and lignite domestic consumption (Mt)]])</f>
        <v>-449.77753699999994</v>
      </c>
    </row>
    <row r="246" spans="1:23">
      <c r="A246" t="s">
        <v>35</v>
      </c>
      <c r="B246">
        <v>2017</v>
      </c>
      <c r="C246" t="s">
        <v>28</v>
      </c>
      <c r="D246">
        <v>9185.7181359999995</v>
      </c>
      <c r="E246">
        <v>2.9920015530000001</v>
      </c>
      <c r="F246">
        <v>0.45486714299999997</v>
      </c>
      <c r="G246">
        <v>2455.3280749999999</v>
      </c>
      <c r="H246">
        <v>3070.0913660000001</v>
      </c>
      <c r="I246">
        <v>25.555850469999999</v>
      </c>
      <c r="J246">
        <v>22.490490300000001</v>
      </c>
      <c r="K246">
        <v>546.09760000000006</v>
      </c>
      <c r="L246">
        <v>564.25964499999998</v>
      </c>
      <c r="M246">
        <v>148.035</v>
      </c>
      <c r="N246">
        <v>237.79325299999999</v>
      </c>
      <c r="O246">
        <v>0.15202771000000001</v>
      </c>
      <c r="P246">
        <v>6635.4801889999999</v>
      </c>
      <c r="Q246">
        <v>5784.302111</v>
      </c>
      <c r="R246">
        <v>3750.395528</v>
      </c>
      <c r="S246">
        <v>6.4273177349999999</v>
      </c>
      <c r="T246">
        <v>196.102743</v>
      </c>
      <c r="U246">
        <v>3397.1936999999998</v>
      </c>
      <c r="V246" s="1" t="str">
        <f>IF(Energy_data_1990___2020[[#This Row],[CO2 emissions from fuel combustion (MtCO2)]]&gt;Energy_data_1990___2020[[#Totals],[CO2 emissions from fuel combustion (MtCO2)]],"Above Average","")</f>
        <v>Above Average</v>
      </c>
      <c r="W246" s="1">
        <f>SUM(Energy_data_1990___2020[[#This Row],[Coal and lignite production (Mt)]]-Energy_data_1990___2020[[#This Row],[Coal and lignite domestic consumption (Mt)]])</f>
        <v>-353.20182800000021</v>
      </c>
    </row>
    <row r="247" spans="1:23">
      <c r="A247" t="s">
        <v>35</v>
      </c>
      <c r="B247">
        <v>2018</v>
      </c>
      <c r="C247" t="s">
        <v>28</v>
      </c>
      <c r="D247">
        <v>9345.788853</v>
      </c>
      <c r="E247">
        <v>2.9194398920000002</v>
      </c>
      <c r="F247">
        <v>0.43427495500000002</v>
      </c>
      <c r="G247">
        <v>2567.9476300000001</v>
      </c>
      <c r="H247">
        <v>3201.2266730000001</v>
      </c>
      <c r="I247">
        <v>25.979568489999998</v>
      </c>
      <c r="J247">
        <v>23.86104533</v>
      </c>
      <c r="K247">
        <v>568.87466199999994</v>
      </c>
      <c r="L247">
        <v>599.21435099999997</v>
      </c>
      <c r="M247">
        <v>161.6917359</v>
      </c>
      <c r="N247">
        <v>279.63171519999997</v>
      </c>
      <c r="O247">
        <v>0.148752833</v>
      </c>
      <c r="P247">
        <v>7181.8009810000003</v>
      </c>
      <c r="Q247">
        <v>6268.8689690000001</v>
      </c>
      <c r="R247">
        <v>3769.5008320000002</v>
      </c>
      <c r="S247">
        <v>7.5626741879999999</v>
      </c>
      <c r="T247">
        <v>195.16098500000001</v>
      </c>
      <c r="U247">
        <v>3549.0481329999998</v>
      </c>
      <c r="V247" s="1" t="str">
        <f>IF(Energy_data_1990___2020[[#This Row],[CO2 emissions from fuel combustion (MtCO2)]]&gt;Energy_data_1990___2020[[#Totals],[CO2 emissions from fuel combustion (MtCO2)]],"Above Average","")</f>
        <v>Above Average</v>
      </c>
      <c r="W247" s="1">
        <f>SUM(Energy_data_1990___2020[[#This Row],[Coal and lignite production (Mt)]]-Energy_data_1990___2020[[#This Row],[Coal and lignite domestic consumption (Mt)]])</f>
        <v>-220.45269900000039</v>
      </c>
    </row>
    <row r="248" spans="1:23">
      <c r="A248" t="s">
        <v>35</v>
      </c>
      <c r="B248">
        <v>2019</v>
      </c>
      <c r="C248" t="s">
        <v>28</v>
      </c>
      <c r="D248">
        <v>9561.8905599999998</v>
      </c>
      <c r="E248">
        <v>2.8894075840000002</v>
      </c>
      <c r="F248">
        <v>0.41873211700000001</v>
      </c>
      <c r="G248">
        <v>2685.9561549999999</v>
      </c>
      <c r="H248">
        <v>3309.2910160000001</v>
      </c>
      <c r="I248">
        <v>27.02464767</v>
      </c>
      <c r="J248">
        <v>24.235217680000002</v>
      </c>
      <c r="K248">
        <v>606.21300729999996</v>
      </c>
      <c r="L248">
        <v>639.96073920000003</v>
      </c>
      <c r="M248">
        <v>177.53800000000001</v>
      </c>
      <c r="N248">
        <v>303.6800427</v>
      </c>
      <c r="O248">
        <v>0.14491971300000001</v>
      </c>
      <c r="P248">
        <v>7519.3456269999997</v>
      </c>
      <c r="Q248">
        <v>6549.1249269999998</v>
      </c>
      <c r="R248">
        <v>3807.1958399999999</v>
      </c>
      <c r="S248">
        <v>8.4395987039999998</v>
      </c>
      <c r="T248">
        <v>197.817925</v>
      </c>
      <c r="U248">
        <v>3691.0100579999998</v>
      </c>
      <c r="V248" s="1" t="str">
        <f>IF(Energy_data_1990___2020[[#This Row],[CO2 emissions from fuel combustion (MtCO2)]]&gt;Energy_data_1990___2020[[#Totals],[CO2 emissions from fuel combustion (MtCO2)]],"Above Average","")</f>
        <v>Above Average</v>
      </c>
      <c r="W248" s="1">
        <f>SUM(Energy_data_1990___2020[[#This Row],[Coal and lignite production (Mt)]]-Energy_data_1990___2020[[#This Row],[Coal and lignite domestic consumption (Mt)]])</f>
        <v>-116.18578200000002</v>
      </c>
    </row>
    <row r="249" spans="1:23">
      <c r="A249" t="s">
        <v>35</v>
      </c>
      <c r="B249">
        <v>2020</v>
      </c>
      <c r="C249" t="s">
        <v>28</v>
      </c>
      <c r="D249">
        <v>9716.7724780000008</v>
      </c>
      <c r="E249">
        <v>2.8735951380000002</v>
      </c>
      <c r="F249">
        <v>0.41799083500000001</v>
      </c>
      <c r="G249">
        <v>2749.0465800000002</v>
      </c>
      <c r="H249">
        <v>3381.3992619999999</v>
      </c>
      <c r="I249">
        <v>28.39562093</v>
      </c>
      <c r="J249">
        <v>24.58500536</v>
      </c>
      <c r="K249">
        <v>628.6900832</v>
      </c>
      <c r="L249">
        <v>648.3808957</v>
      </c>
      <c r="M249">
        <v>194.936724</v>
      </c>
      <c r="N249">
        <v>325.54500569999999</v>
      </c>
      <c r="O249">
        <v>0.14545919500000001</v>
      </c>
      <c r="P249">
        <v>7797.5614150000001</v>
      </c>
      <c r="Q249">
        <v>6752.1477999999997</v>
      </c>
      <c r="R249">
        <v>3830.0390149999998</v>
      </c>
      <c r="S249">
        <v>9.5904983599999998</v>
      </c>
      <c r="T249">
        <v>200.98301180000001</v>
      </c>
      <c r="U249">
        <v>3742.6841989999998</v>
      </c>
      <c r="V249" s="1" t="str">
        <f>IF(Energy_data_1990___2020[[#This Row],[CO2 emissions from fuel combustion (MtCO2)]]&gt;Energy_data_1990___2020[[#Totals],[CO2 emissions from fuel combustion (MtCO2)]],"Above Average","")</f>
        <v>Above Average</v>
      </c>
      <c r="W249" s="1">
        <f>SUM(Energy_data_1990___2020[[#This Row],[Coal and lignite production (Mt)]]-Energy_data_1990___2020[[#This Row],[Coal and lignite domestic consumption (Mt)]])</f>
        <v>-87.354816000000028</v>
      </c>
    </row>
    <row r="250" spans="1:23">
      <c r="A250" t="s">
        <v>36</v>
      </c>
      <c r="B250">
        <v>1990</v>
      </c>
      <c r="C250" t="s">
        <v>26</v>
      </c>
      <c r="D250">
        <v>46.106290250000001</v>
      </c>
      <c r="E250">
        <v>1.9032818490000001</v>
      </c>
      <c r="F250">
        <v>0.17007186499999999</v>
      </c>
      <c r="G250">
        <v>48.181291829999999</v>
      </c>
      <c r="H250">
        <v>24.224625629999998</v>
      </c>
      <c r="I250">
        <v>76.384190110000006</v>
      </c>
      <c r="J250">
        <v>12.1200169</v>
      </c>
      <c r="K250">
        <v>8.1120000000000001</v>
      </c>
      <c r="L250">
        <v>11.101000000000001</v>
      </c>
      <c r="M250">
        <v>4.5370049249999997</v>
      </c>
      <c r="N250">
        <v>4.3260037689999997</v>
      </c>
      <c r="O250">
        <v>8.9357162000000004E-2</v>
      </c>
      <c r="P250">
        <v>36.356999999999999</v>
      </c>
      <c r="Q250">
        <v>26.866</v>
      </c>
      <c r="R250">
        <v>5.0549999999999997</v>
      </c>
      <c r="S250">
        <v>0</v>
      </c>
      <c r="T250">
        <v>22.824000000000002</v>
      </c>
      <c r="U250">
        <v>21.375</v>
      </c>
      <c r="V250" s="1" t="str">
        <f>IF(Energy_data_1990___2020[[#This Row],[CO2 emissions from fuel combustion (MtCO2)]]&gt;Energy_data_1990___2020[[#Totals],[CO2 emissions from fuel combustion (MtCO2)]],"Above Average","")</f>
        <v/>
      </c>
      <c r="W250" s="1">
        <f>SUM(Energy_data_1990___2020[[#This Row],[Coal and lignite production (Mt)]]-Energy_data_1990___2020[[#This Row],[Coal and lignite domestic consumption (Mt)]])</f>
        <v>16.32</v>
      </c>
    </row>
    <row r="251" spans="1:23">
      <c r="A251" t="s">
        <v>36</v>
      </c>
      <c r="B251">
        <v>1991</v>
      </c>
      <c r="C251" t="s">
        <v>26</v>
      </c>
      <c r="D251">
        <v>47.754812129999998</v>
      </c>
      <c r="E251">
        <v>1.9500745829999999</v>
      </c>
      <c r="F251">
        <v>0.17269605599999999</v>
      </c>
      <c r="G251">
        <v>46.351154010000002</v>
      </c>
      <c r="H251">
        <v>24.488710609999998</v>
      </c>
      <c r="I251">
        <v>75.682616920000001</v>
      </c>
      <c r="J251">
        <v>12.23597509</v>
      </c>
      <c r="K251">
        <v>8.52</v>
      </c>
      <c r="L251">
        <v>11.943</v>
      </c>
      <c r="M251">
        <v>4.4929965840000001</v>
      </c>
      <c r="N251">
        <v>4.4609977049999996</v>
      </c>
      <c r="O251">
        <v>8.8558692999999994E-2</v>
      </c>
      <c r="P251">
        <v>36.99</v>
      </c>
      <c r="Q251">
        <v>27.672000000000001</v>
      </c>
      <c r="R251">
        <v>5.21</v>
      </c>
      <c r="S251">
        <v>0</v>
      </c>
      <c r="T251">
        <v>22.117000000000001</v>
      </c>
      <c r="U251">
        <v>19.893999999999998</v>
      </c>
      <c r="V251" s="1" t="str">
        <f>IF(Energy_data_1990___2020[[#This Row],[CO2 emissions from fuel combustion (MtCO2)]]&gt;Energy_data_1990___2020[[#Totals],[CO2 emissions from fuel combustion (MtCO2)]],"Above Average","")</f>
        <v/>
      </c>
      <c r="W251" s="1">
        <f>SUM(Energy_data_1990___2020[[#This Row],[Coal and lignite production (Mt)]]-Energy_data_1990___2020[[#This Row],[Coal and lignite domestic consumption (Mt)]])</f>
        <v>14.683999999999997</v>
      </c>
    </row>
    <row r="252" spans="1:23">
      <c r="A252" t="s">
        <v>36</v>
      </c>
      <c r="B252">
        <v>1992</v>
      </c>
      <c r="C252" t="s">
        <v>26</v>
      </c>
      <c r="D252">
        <v>49.483417920000001</v>
      </c>
      <c r="E252">
        <v>1.9763006359999999</v>
      </c>
      <c r="F252">
        <v>0.17199033699999999</v>
      </c>
      <c r="G252">
        <v>47.877524700000002</v>
      </c>
      <c r="H252">
        <v>25.0384061</v>
      </c>
      <c r="I252">
        <v>68.665007290000005</v>
      </c>
      <c r="J252">
        <v>12.82953992</v>
      </c>
      <c r="K252">
        <v>9.0749999999999993</v>
      </c>
      <c r="L252">
        <v>11.901999999999999</v>
      </c>
      <c r="M252">
        <v>4.601997023</v>
      </c>
      <c r="N252">
        <v>4.3890025660000003</v>
      </c>
      <c r="O252">
        <v>8.7026404000000002E-2</v>
      </c>
      <c r="P252">
        <v>32.944000000000003</v>
      </c>
      <c r="Q252">
        <v>29.007999999999999</v>
      </c>
      <c r="R252">
        <v>5.3150000000000004</v>
      </c>
      <c r="S252">
        <v>0</v>
      </c>
      <c r="T252">
        <v>22.786999999999999</v>
      </c>
      <c r="U252">
        <v>21.817</v>
      </c>
      <c r="V252" s="1" t="str">
        <f>IF(Energy_data_1990___2020[[#This Row],[CO2 emissions from fuel combustion (MtCO2)]]&gt;Energy_data_1990___2020[[#Totals],[CO2 emissions from fuel combustion (MtCO2)]],"Above Average","")</f>
        <v/>
      </c>
      <c r="W252" s="1">
        <f>SUM(Energy_data_1990___2020[[#This Row],[Coal and lignite production (Mt)]]-Energy_data_1990___2020[[#This Row],[Coal and lignite domestic consumption (Mt)]])</f>
        <v>16.501999999999999</v>
      </c>
    </row>
    <row r="253" spans="1:23">
      <c r="A253" t="s">
        <v>36</v>
      </c>
      <c r="B253">
        <v>1993</v>
      </c>
      <c r="C253" t="s">
        <v>26</v>
      </c>
      <c r="D253">
        <v>51.765998760000002</v>
      </c>
      <c r="E253">
        <v>1.983066065</v>
      </c>
      <c r="F253">
        <v>0.17072946</v>
      </c>
      <c r="G253">
        <v>48.557421779999999</v>
      </c>
      <c r="H253">
        <v>26.104021280000001</v>
      </c>
      <c r="I253">
        <v>73.25397443</v>
      </c>
      <c r="J253">
        <v>13.49832831</v>
      </c>
      <c r="K253">
        <v>9.3729999999999993</v>
      </c>
      <c r="L253">
        <v>11.993</v>
      </c>
      <c r="M253">
        <v>4.5060004859999996</v>
      </c>
      <c r="N253">
        <v>4.5569945870000002</v>
      </c>
      <c r="O253">
        <v>8.6093682000000005E-2</v>
      </c>
      <c r="P253">
        <v>38.558999999999997</v>
      </c>
      <c r="Q253">
        <v>31.684000000000001</v>
      </c>
      <c r="R253">
        <v>5.9219999999999997</v>
      </c>
      <c r="S253">
        <v>0</v>
      </c>
      <c r="T253">
        <v>23.515000000000001</v>
      </c>
      <c r="U253">
        <v>21.138999999999999</v>
      </c>
      <c r="V253" s="1" t="str">
        <f>IF(Energy_data_1990___2020[[#This Row],[CO2 emissions from fuel combustion (MtCO2)]]&gt;Energy_data_1990___2020[[#Totals],[CO2 emissions from fuel combustion (MtCO2)]],"Above Average","")</f>
        <v/>
      </c>
      <c r="W253" s="1">
        <f>SUM(Energy_data_1990___2020[[#This Row],[Coal and lignite production (Mt)]]-Energy_data_1990___2020[[#This Row],[Coal and lignite domestic consumption (Mt)]])</f>
        <v>15.216999999999999</v>
      </c>
    </row>
    <row r="254" spans="1:23">
      <c r="A254" t="s">
        <v>36</v>
      </c>
      <c r="B254">
        <v>1994</v>
      </c>
      <c r="C254" t="s">
        <v>26</v>
      </c>
      <c r="D254">
        <v>51.741684360000001</v>
      </c>
      <c r="E254">
        <v>1.903732097</v>
      </c>
      <c r="F254">
        <v>0.16127185499999999</v>
      </c>
      <c r="G254">
        <v>50.425205630000001</v>
      </c>
      <c r="H254">
        <v>27.179078629999999</v>
      </c>
      <c r="I254">
        <v>78.492598229999999</v>
      </c>
      <c r="J254">
        <v>13.481145740000001</v>
      </c>
      <c r="K254">
        <v>9.7720000000000002</v>
      </c>
      <c r="L254">
        <v>11.929</v>
      </c>
      <c r="M254">
        <v>4.6479996760000004</v>
      </c>
      <c r="N254">
        <v>4.5089956759999996</v>
      </c>
      <c r="O254">
        <v>8.4713523999999998E-2</v>
      </c>
      <c r="P254">
        <v>41.408999999999999</v>
      </c>
      <c r="Q254">
        <v>33.369999999999997</v>
      </c>
      <c r="R254">
        <v>5.5309999999999997</v>
      </c>
      <c r="S254">
        <v>0</v>
      </c>
      <c r="T254">
        <v>23.731000000000002</v>
      </c>
      <c r="U254">
        <v>22.599</v>
      </c>
      <c r="V254" s="1" t="str">
        <f>IF(Energy_data_1990___2020[[#This Row],[CO2 emissions from fuel combustion (MtCO2)]]&gt;Energy_data_1990___2020[[#Totals],[CO2 emissions from fuel combustion (MtCO2)]],"Above Average","")</f>
        <v/>
      </c>
      <c r="W254" s="1">
        <f>SUM(Energy_data_1990___2020[[#This Row],[Coal and lignite production (Mt)]]-Energy_data_1990___2020[[#This Row],[Coal and lignite domestic consumption (Mt)]])</f>
        <v>17.068000000000001</v>
      </c>
    </row>
    <row r="255" spans="1:23">
      <c r="A255" t="s">
        <v>36</v>
      </c>
      <c r="B255">
        <v>1995</v>
      </c>
      <c r="C255" t="s">
        <v>26</v>
      </c>
      <c r="D255">
        <v>54.278902549999998</v>
      </c>
      <c r="E255">
        <v>1.965546475</v>
      </c>
      <c r="F255">
        <v>0.16081378599999999</v>
      </c>
      <c r="G255">
        <v>59.243698780000003</v>
      </c>
      <c r="H255">
        <v>27.615171279999998</v>
      </c>
      <c r="I255">
        <v>76.404625899999999</v>
      </c>
      <c r="J255">
        <v>13.69464791</v>
      </c>
      <c r="K255">
        <v>10.362</v>
      </c>
      <c r="L255">
        <v>12.622999999999999</v>
      </c>
      <c r="M255">
        <v>4.8729984389999998</v>
      </c>
      <c r="N255">
        <v>4.7949937130000002</v>
      </c>
      <c r="O255">
        <v>8.1816322999999996E-2</v>
      </c>
      <c r="P255">
        <v>42.716000000000001</v>
      </c>
      <c r="Q255">
        <v>34.847000000000001</v>
      </c>
      <c r="R255">
        <v>5.609</v>
      </c>
      <c r="S255">
        <v>0</v>
      </c>
      <c r="T255">
        <v>30.291</v>
      </c>
      <c r="U255">
        <v>25.651</v>
      </c>
      <c r="V255" s="1" t="str">
        <f>IF(Energy_data_1990___2020[[#This Row],[CO2 emissions from fuel combustion (MtCO2)]]&gt;Energy_data_1990___2020[[#Totals],[CO2 emissions from fuel combustion (MtCO2)]],"Above Average","")</f>
        <v/>
      </c>
      <c r="W255" s="1">
        <f>SUM(Energy_data_1990___2020[[#This Row],[Coal and lignite production (Mt)]]-Energy_data_1990___2020[[#This Row],[Coal and lignite domestic consumption (Mt)]])</f>
        <v>20.042000000000002</v>
      </c>
    </row>
    <row r="256" spans="1:23">
      <c r="A256" t="s">
        <v>36</v>
      </c>
      <c r="B256">
        <v>1996</v>
      </c>
      <c r="C256" t="s">
        <v>26</v>
      </c>
      <c r="D256">
        <v>53.975782049999999</v>
      </c>
      <c r="E256">
        <v>1.9115529790000001</v>
      </c>
      <c r="F256">
        <v>0.156694314</v>
      </c>
      <c r="G256">
        <v>64.836673279999999</v>
      </c>
      <c r="H256">
        <v>28.236613179999999</v>
      </c>
      <c r="I256">
        <v>82.992020659999994</v>
      </c>
      <c r="J256">
        <v>13.80576945</v>
      </c>
      <c r="K256">
        <v>10.74</v>
      </c>
      <c r="L256">
        <v>13.811</v>
      </c>
      <c r="M256">
        <v>5.2570057659999998</v>
      </c>
      <c r="N256">
        <v>5.2139948499999997</v>
      </c>
      <c r="O256">
        <v>8.1972258000000006E-2</v>
      </c>
      <c r="P256">
        <v>43.362000000000002</v>
      </c>
      <c r="Q256">
        <v>36.204999999999998</v>
      </c>
      <c r="R256">
        <v>4.7149999999999999</v>
      </c>
      <c r="S256">
        <v>0</v>
      </c>
      <c r="T256">
        <v>32.640999999999998</v>
      </c>
      <c r="U256">
        <v>29.998999999999999</v>
      </c>
      <c r="V256" s="1" t="str">
        <f>IF(Energy_data_1990___2020[[#This Row],[CO2 emissions from fuel combustion (MtCO2)]]&gt;Energy_data_1990___2020[[#Totals],[CO2 emissions from fuel combustion (MtCO2)]],"Above Average","")</f>
        <v/>
      </c>
      <c r="W256" s="1">
        <f>SUM(Energy_data_1990___2020[[#This Row],[Coal and lignite production (Mt)]]-Energy_data_1990___2020[[#This Row],[Coal and lignite domestic consumption (Mt)]])</f>
        <v>25.283999999999999</v>
      </c>
    </row>
    <row r="257" spans="1:23">
      <c r="A257" t="s">
        <v>36</v>
      </c>
      <c r="B257">
        <v>1997</v>
      </c>
      <c r="C257" t="s">
        <v>26</v>
      </c>
      <c r="D257">
        <v>58.945789439999999</v>
      </c>
      <c r="E257">
        <v>2.1483825730000001</v>
      </c>
      <c r="F257">
        <v>0.16544716300000001</v>
      </c>
      <c r="G257">
        <v>66.729941490000002</v>
      </c>
      <c r="H257">
        <v>27.437287090000002</v>
      </c>
      <c r="I257">
        <v>71.644434480000001</v>
      </c>
      <c r="J257">
        <v>13.74236696</v>
      </c>
      <c r="K257">
        <v>11.757999999999999</v>
      </c>
      <c r="L257">
        <v>14.281000000000001</v>
      </c>
      <c r="M257">
        <v>6.5599926010000003</v>
      </c>
      <c r="N257">
        <v>6.5599926010000003</v>
      </c>
      <c r="O257">
        <v>7.7010102999999996E-2</v>
      </c>
      <c r="P257">
        <v>44.604999999999997</v>
      </c>
      <c r="Q257">
        <v>35.435000000000002</v>
      </c>
      <c r="R257">
        <v>4.9450000000000003</v>
      </c>
      <c r="S257">
        <v>0</v>
      </c>
      <c r="T257">
        <v>33.773000000000003</v>
      </c>
      <c r="U257">
        <v>32.564999999999998</v>
      </c>
      <c r="V257" s="1" t="str">
        <f>IF(Energy_data_1990___2020[[#This Row],[CO2 emissions from fuel combustion (MtCO2)]]&gt;Energy_data_1990___2020[[#Totals],[CO2 emissions from fuel combustion (MtCO2)]],"Above Average","")</f>
        <v/>
      </c>
      <c r="W257" s="1">
        <f>SUM(Energy_data_1990___2020[[#This Row],[Coal and lignite production (Mt)]]-Energy_data_1990___2020[[#This Row],[Coal and lignite domestic consumption (Mt)]])</f>
        <v>27.619999999999997</v>
      </c>
    </row>
    <row r="258" spans="1:23">
      <c r="A258" t="s">
        <v>36</v>
      </c>
      <c r="B258">
        <v>1998</v>
      </c>
      <c r="C258" t="s">
        <v>26</v>
      </c>
      <c r="D258">
        <v>59.982232779999997</v>
      </c>
      <c r="E258">
        <v>2.100131631</v>
      </c>
      <c r="F258">
        <v>0.16740238700000001</v>
      </c>
      <c r="G258">
        <v>72.707093139999998</v>
      </c>
      <c r="H258">
        <v>28.561177740000002</v>
      </c>
      <c r="I258">
        <v>69.746308220000003</v>
      </c>
      <c r="J258">
        <v>13.61399224</v>
      </c>
      <c r="K258">
        <v>11.603999999999999</v>
      </c>
      <c r="L258">
        <v>14.337</v>
      </c>
      <c r="M258">
        <v>7.5029988059999999</v>
      </c>
      <c r="N258">
        <v>7.6169955720000004</v>
      </c>
      <c r="O258">
        <v>7.9710426000000001E-2</v>
      </c>
      <c r="P258">
        <v>44.896999999999998</v>
      </c>
      <c r="Q258">
        <v>34.484000000000002</v>
      </c>
      <c r="R258">
        <v>4.8650000000000002</v>
      </c>
      <c r="S258">
        <v>0</v>
      </c>
      <c r="T258">
        <v>38.341999999999999</v>
      </c>
      <c r="U258">
        <v>33.707999999999998</v>
      </c>
      <c r="V258" s="1" t="str">
        <f>IF(Energy_data_1990___2020[[#This Row],[CO2 emissions from fuel combustion (MtCO2)]]&gt;Energy_data_1990___2020[[#Totals],[CO2 emissions from fuel combustion (MtCO2)]],"Above Average","")</f>
        <v/>
      </c>
      <c r="W258" s="1">
        <f>SUM(Energy_data_1990___2020[[#This Row],[Coal and lignite production (Mt)]]-Energy_data_1990___2020[[#This Row],[Coal and lignite domestic consumption (Mt)]])</f>
        <v>28.842999999999996</v>
      </c>
    </row>
    <row r="259" spans="1:23">
      <c r="A259" t="s">
        <v>36</v>
      </c>
      <c r="B259">
        <v>1999</v>
      </c>
      <c r="C259" t="s">
        <v>26</v>
      </c>
      <c r="D259">
        <v>52.551085880000002</v>
      </c>
      <c r="E259">
        <v>2.0479799870000002</v>
      </c>
      <c r="F259">
        <v>0.15309937100000001</v>
      </c>
      <c r="G259">
        <v>75.551019949999997</v>
      </c>
      <c r="H259">
        <v>25.659960649999999</v>
      </c>
      <c r="I259">
        <v>79.860819210000002</v>
      </c>
      <c r="J259">
        <v>13.33252148</v>
      </c>
      <c r="K259">
        <v>10.664</v>
      </c>
      <c r="L259">
        <v>14.933</v>
      </c>
      <c r="M259">
        <v>6.5819960230000003</v>
      </c>
      <c r="N259">
        <v>6.5789990869999997</v>
      </c>
      <c r="O259">
        <v>7.4756283000000007E-2</v>
      </c>
      <c r="P259">
        <v>42.822000000000003</v>
      </c>
      <c r="Q259">
        <v>32.054000000000002</v>
      </c>
      <c r="R259">
        <v>3.976</v>
      </c>
      <c r="S259">
        <v>0</v>
      </c>
      <c r="T259">
        <v>42.21</v>
      </c>
      <c r="U259">
        <v>32.718000000000004</v>
      </c>
      <c r="V259" s="1" t="str">
        <f>IF(Energy_data_1990___2020[[#This Row],[CO2 emissions from fuel combustion (MtCO2)]]&gt;Energy_data_1990___2020[[#Totals],[CO2 emissions from fuel combustion (MtCO2)]],"Above Average","")</f>
        <v/>
      </c>
      <c r="W259" s="1">
        <f>SUM(Energy_data_1990___2020[[#This Row],[Coal and lignite production (Mt)]]-Energy_data_1990___2020[[#This Row],[Coal and lignite domestic consumption (Mt)]])</f>
        <v>28.742000000000004</v>
      </c>
    </row>
    <row r="260" spans="1:23">
      <c r="A260" t="s">
        <v>36</v>
      </c>
      <c r="B260">
        <v>2000</v>
      </c>
      <c r="C260" t="s">
        <v>26</v>
      </c>
      <c r="D260">
        <v>54.759747570000002</v>
      </c>
      <c r="E260">
        <v>2.1294971089999999</v>
      </c>
      <c r="F260">
        <v>0.155000414</v>
      </c>
      <c r="G260">
        <v>72.332308729999994</v>
      </c>
      <c r="H260">
        <v>25.714872929999999</v>
      </c>
      <c r="I260">
        <v>75.528042479999996</v>
      </c>
      <c r="J260">
        <v>13.760714399999999</v>
      </c>
      <c r="K260">
        <v>10.646000000000001</v>
      </c>
      <c r="L260">
        <v>14.954000000000001</v>
      </c>
      <c r="M260">
        <v>7.3380005669999999</v>
      </c>
      <c r="N260">
        <v>7.3380101340000001</v>
      </c>
      <c r="O260">
        <v>7.2787331999999996E-2</v>
      </c>
      <c r="P260">
        <v>43.131</v>
      </c>
      <c r="Q260">
        <v>33.335999999999999</v>
      </c>
      <c r="R260">
        <v>4.8879999999999999</v>
      </c>
      <c r="S260">
        <v>1.3911108E-2</v>
      </c>
      <c r="T260">
        <v>35.51</v>
      </c>
      <c r="U260">
        <v>38.241999999999997</v>
      </c>
      <c r="V260" s="1" t="str">
        <f>IF(Energy_data_1990___2020[[#This Row],[CO2 emissions from fuel combustion (MtCO2)]]&gt;Energy_data_1990___2020[[#Totals],[CO2 emissions from fuel combustion (MtCO2)]],"Above Average","")</f>
        <v/>
      </c>
      <c r="W260" s="1">
        <f>SUM(Energy_data_1990___2020[[#This Row],[Coal and lignite production (Mt)]]-Energy_data_1990___2020[[#This Row],[Coal and lignite domestic consumption (Mt)]])</f>
        <v>33.353999999999999</v>
      </c>
    </row>
    <row r="261" spans="1:23">
      <c r="A261" t="s">
        <v>36</v>
      </c>
      <c r="B261">
        <v>2001</v>
      </c>
      <c r="C261" t="s">
        <v>26</v>
      </c>
      <c r="D261">
        <v>55.100785270000003</v>
      </c>
      <c r="E261">
        <v>2.1435589689999999</v>
      </c>
      <c r="F261">
        <v>0.15339197800000001</v>
      </c>
      <c r="G261">
        <v>72.101504820000002</v>
      </c>
      <c r="H261">
        <v>25.705280819999999</v>
      </c>
      <c r="I261">
        <v>74.341741850000005</v>
      </c>
      <c r="J261">
        <v>14.42461445</v>
      </c>
      <c r="K261">
        <v>10.69</v>
      </c>
      <c r="L261">
        <v>15.584</v>
      </c>
      <c r="M261">
        <v>7.7909893869999998</v>
      </c>
      <c r="N261">
        <v>7.7739978440000002</v>
      </c>
      <c r="O261">
        <v>7.1559486000000005E-2</v>
      </c>
      <c r="P261">
        <v>43.448</v>
      </c>
      <c r="Q261">
        <v>35.19</v>
      </c>
      <c r="R261">
        <v>4.9050000000000002</v>
      </c>
      <c r="S261">
        <v>1.3809610999999999E-2</v>
      </c>
      <c r="T261">
        <v>31.21</v>
      </c>
      <c r="U261">
        <v>44.314999999999998</v>
      </c>
      <c r="V261" s="1" t="str">
        <f>IF(Energy_data_1990___2020[[#This Row],[CO2 emissions from fuel combustion (MtCO2)]]&gt;Energy_data_1990___2020[[#Totals],[CO2 emissions from fuel combustion (MtCO2)]],"Above Average","")</f>
        <v/>
      </c>
      <c r="W261" s="1">
        <f>SUM(Energy_data_1990___2020[[#This Row],[Coal and lignite production (Mt)]]-Energy_data_1990___2020[[#This Row],[Coal and lignite domestic consumption (Mt)]])</f>
        <v>39.409999999999997</v>
      </c>
    </row>
    <row r="262" spans="1:23">
      <c r="A262" t="s">
        <v>36</v>
      </c>
      <c r="B262">
        <v>2002</v>
      </c>
      <c r="C262" t="s">
        <v>26</v>
      </c>
      <c r="D262">
        <v>53.052095139999999</v>
      </c>
      <c r="E262">
        <v>2.104041509</v>
      </c>
      <c r="F262">
        <v>0.14408098499999999</v>
      </c>
      <c r="G262">
        <v>68.344148070000003</v>
      </c>
      <c r="H262">
        <v>25.21437667</v>
      </c>
      <c r="I262">
        <v>76.507281120000002</v>
      </c>
      <c r="J262">
        <v>14.6961409</v>
      </c>
      <c r="K262">
        <v>10.263</v>
      </c>
      <c r="L262">
        <v>15.07</v>
      </c>
      <c r="M262">
        <v>7.7830026449999998</v>
      </c>
      <c r="N262">
        <v>7.7449954620000003</v>
      </c>
      <c r="O262">
        <v>6.8478205E-2</v>
      </c>
      <c r="P262">
        <v>45.048000000000002</v>
      </c>
      <c r="Q262">
        <v>35.402000000000001</v>
      </c>
      <c r="R262">
        <v>4.6459999999999999</v>
      </c>
      <c r="S262">
        <v>1.3319126000000001E-2</v>
      </c>
      <c r="T262">
        <v>29.856999999999999</v>
      </c>
      <c r="U262">
        <v>40.095999999999997</v>
      </c>
      <c r="V262" s="1" t="str">
        <f>IF(Energy_data_1990___2020[[#This Row],[CO2 emissions from fuel combustion (MtCO2)]]&gt;Energy_data_1990___2020[[#Totals],[CO2 emissions from fuel combustion (MtCO2)]],"Above Average","")</f>
        <v/>
      </c>
      <c r="W262" s="1">
        <f>SUM(Energy_data_1990___2020[[#This Row],[Coal and lignite production (Mt)]]-Energy_data_1990___2020[[#This Row],[Coal and lignite domestic consumption (Mt)]])</f>
        <v>35.449999999999996</v>
      </c>
    </row>
    <row r="263" spans="1:23">
      <c r="A263" t="s">
        <v>36</v>
      </c>
      <c r="B263">
        <v>2003</v>
      </c>
      <c r="C263" t="s">
        <v>26</v>
      </c>
      <c r="D263">
        <v>52.294840360000002</v>
      </c>
      <c r="E263">
        <v>2.0314198640000001</v>
      </c>
      <c r="F263">
        <v>0.13666932700000001</v>
      </c>
      <c r="G263">
        <v>73.427469610000003</v>
      </c>
      <c r="H263">
        <v>25.742999409999999</v>
      </c>
      <c r="I263">
        <v>78.791329189999999</v>
      </c>
      <c r="J263">
        <v>15.143280519999999</v>
      </c>
      <c r="K263">
        <v>10.180999999999999</v>
      </c>
      <c r="L263">
        <v>15.337</v>
      </c>
      <c r="M263">
        <v>7.4500056360000002</v>
      </c>
      <c r="N263">
        <v>7.4540099829999997</v>
      </c>
      <c r="O263">
        <v>6.7277735000000005E-2</v>
      </c>
      <c r="P263">
        <v>46.546999999999997</v>
      </c>
      <c r="Q263">
        <v>36.768000000000001</v>
      </c>
      <c r="R263">
        <v>4.6219999999999999</v>
      </c>
      <c r="S263">
        <v>1.2890197000000001E-2</v>
      </c>
      <c r="T263">
        <v>28.027999999999999</v>
      </c>
      <c r="U263">
        <v>50.481000000000002</v>
      </c>
      <c r="V263" s="1" t="str">
        <f>IF(Energy_data_1990___2020[[#This Row],[CO2 emissions from fuel combustion (MtCO2)]]&gt;Energy_data_1990___2020[[#Totals],[CO2 emissions from fuel combustion (MtCO2)]],"Above Average","")</f>
        <v/>
      </c>
      <c r="W263" s="1">
        <f>SUM(Energy_data_1990___2020[[#This Row],[Coal and lignite production (Mt)]]-Energy_data_1990___2020[[#This Row],[Coal and lignite domestic consumption (Mt)]])</f>
        <v>45.859000000000002</v>
      </c>
    </row>
    <row r="264" spans="1:23">
      <c r="A264" t="s">
        <v>36</v>
      </c>
      <c r="B264">
        <v>2004</v>
      </c>
      <c r="C264" t="s">
        <v>26</v>
      </c>
      <c r="D264">
        <v>52.463369909999997</v>
      </c>
      <c r="E264">
        <v>2.0232831089999999</v>
      </c>
      <c r="F264">
        <v>0.13016788600000001</v>
      </c>
      <c r="G264">
        <v>75.320092020000004</v>
      </c>
      <c r="H264">
        <v>25.929821520000001</v>
      </c>
      <c r="I264">
        <v>81.653460969999998</v>
      </c>
      <c r="J264">
        <v>15.7371696</v>
      </c>
      <c r="K264">
        <v>10.503</v>
      </c>
      <c r="L264">
        <v>15.670999999999999</v>
      </c>
      <c r="M264">
        <v>7.8430046359999999</v>
      </c>
      <c r="N264">
        <v>7.8430086020000003</v>
      </c>
      <c r="O264">
        <v>6.4334983999999998E-2</v>
      </c>
      <c r="P264">
        <v>49.725999999999999</v>
      </c>
      <c r="Q264">
        <v>38.567</v>
      </c>
      <c r="R264">
        <v>3.8570000000000002</v>
      </c>
      <c r="S264">
        <v>0.118650203</v>
      </c>
      <c r="T264">
        <v>27.361000000000001</v>
      </c>
      <c r="U264">
        <v>54.183999999999997</v>
      </c>
      <c r="V264" s="1" t="str">
        <f>IF(Energy_data_1990___2020[[#This Row],[CO2 emissions from fuel combustion (MtCO2)]]&gt;Energy_data_1990___2020[[#Totals],[CO2 emissions from fuel combustion (MtCO2)]],"Above Average","")</f>
        <v/>
      </c>
      <c r="W264" s="1">
        <f>SUM(Energy_data_1990___2020[[#This Row],[Coal and lignite production (Mt)]]-Energy_data_1990___2020[[#This Row],[Coal and lignite domestic consumption (Mt)]])</f>
        <v>50.326999999999998</v>
      </c>
    </row>
    <row r="265" spans="1:23">
      <c r="A265" t="s">
        <v>36</v>
      </c>
      <c r="B265">
        <v>2005</v>
      </c>
      <c r="C265" t="s">
        <v>26</v>
      </c>
      <c r="D265">
        <v>53.426542869999999</v>
      </c>
      <c r="E265">
        <v>1.9709022869999999</v>
      </c>
      <c r="F265">
        <v>0.12659917200000001</v>
      </c>
      <c r="G265">
        <v>78.615600650000005</v>
      </c>
      <c r="H265">
        <v>27.107656850000001</v>
      </c>
      <c r="I265">
        <v>80.172413789999993</v>
      </c>
      <c r="J265">
        <v>15.702787109999999</v>
      </c>
      <c r="K265">
        <v>10.33</v>
      </c>
      <c r="L265">
        <v>14.637</v>
      </c>
      <c r="M265">
        <v>8.2289968669999993</v>
      </c>
      <c r="N265">
        <v>8.2289917480000003</v>
      </c>
      <c r="O265">
        <v>6.4234119000000006E-2</v>
      </c>
      <c r="P265">
        <v>50.344000000000001</v>
      </c>
      <c r="Q265">
        <v>38.926000000000002</v>
      </c>
      <c r="R265">
        <v>4.2569999999999997</v>
      </c>
      <c r="S265">
        <v>0.111234705</v>
      </c>
      <c r="T265">
        <v>27.173999999999999</v>
      </c>
      <c r="U265">
        <v>59.064</v>
      </c>
      <c r="V265" s="1" t="str">
        <f>IF(Energy_data_1990___2020[[#This Row],[CO2 emissions from fuel combustion (MtCO2)]]&gt;Energy_data_1990___2020[[#Totals],[CO2 emissions from fuel combustion (MtCO2)]],"Above Average","")</f>
        <v/>
      </c>
      <c r="W265" s="1">
        <f>SUM(Energy_data_1990___2020[[#This Row],[Coal and lignite production (Mt)]]-Energy_data_1990___2020[[#This Row],[Coal and lignite domestic consumption (Mt)]])</f>
        <v>54.807000000000002</v>
      </c>
    </row>
    <row r="266" spans="1:23">
      <c r="A266" t="s">
        <v>36</v>
      </c>
      <c r="B266">
        <v>2006</v>
      </c>
      <c r="C266" t="s">
        <v>26</v>
      </c>
      <c r="D266">
        <v>53.260371929999998</v>
      </c>
      <c r="E266">
        <v>1.862813649</v>
      </c>
      <c r="F266">
        <v>0.11819265499999999</v>
      </c>
      <c r="G266">
        <v>83.721233900000001</v>
      </c>
      <c r="H266">
        <v>28.591358</v>
      </c>
      <c r="I266">
        <v>80.603287960000003</v>
      </c>
      <c r="J266">
        <v>15.791208170000001</v>
      </c>
      <c r="K266">
        <v>10.558999999999999</v>
      </c>
      <c r="L266">
        <v>14.43</v>
      </c>
      <c r="M266">
        <v>8.2439935139999996</v>
      </c>
      <c r="N266">
        <v>8.247001934</v>
      </c>
      <c r="O266">
        <v>6.3448458999999999E-2</v>
      </c>
      <c r="P266">
        <v>53.771999999999998</v>
      </c>
      <c r="Q266">
        <v>40.625</v>
      </c>
      <c r="R266">
        <v>3.968</v>
      </c>
      <c r="S266">
        <v>0.13017927500000001</v>
      </c>
      <c r="T266">
        <v>27.396000000000001</v>
      </c>
      <c r="U266">
        <v>65.596000000000004</v>
      </c>
      <c r="V266" s="1" t="str">
        <f>IF(Energy_data_1990___2020[[#This Row],[CO2 emissions from fuel combustion (MtCO2)]]&gt;Energy_data_1990___2020[[#Totals],[CO2 emissions from fuel combustion (MtCO2)]],"Above Average","")</f>
        <v/>
      </c>
      <c r="W266" s="1">
        <f>SUM(Energy_data_1990___2020[[#This Row],[Coal and lignite production (Mt)]]-Energy_data_1990___2020[[#This Row],[Coal and lignite domestic consumption (Mt)]])</f>
        <v>61.628</v>
      </c>
    </row>
    <row r="267" spans="1:23">
      <c r="A267" t="s">
        <v>36</v>
      </c>
      <c r="B267">
        <v>2007</v>
      </c>
      <c r="C267" t="s">
        <v>26</v>
      </c>
      <c r="D267">
        <v>54.098878540000001</v>
      </c>
      <c r="E267">
        <v>1.9034272059999999</v>
      </c>
      <c r="F267">
        <v>0.112358388</v>
      </c>
      <c r="G267">
        <v>86.709548499999997</v>
      </c>
      <c r="H267">
        <v>28.421826880000001</v>
      </c>
      <c r="I267">
        <v>81.536066050000002</v>
      </c>
      <c r="J267">
        <v>16.345829250000001</v>
      </c>
      <c r="K267">
        <v>10.458</v>
      </c>
      <c r="L267">
        <v>14.175000000000001</v>
      </c>
      <c r="M267">
        <v>8.2450035410000009</v>
      </c>
      <c r="N267">
        <v>8.1619906180000008</v>
      </c>
      <c r="O267">
        <v>5.9029516999999997E-2</v>
      </c>
      <c r="P267">
        <v>55.231999999999999</v>
      </c>
      <c r="Q267">
        <v>42.235999999999997</v>
      </c>
      <c r="R267">
        <v>4.1829999999999998</v>
      </c>
      <c r="S267">
        <v>0.10320104300000001</v>
      </c>
      <c r="T267">
        <v>27.451000000000001</v>
      </c>
      <c r="U267">
        <v>69.902000000000001</v>
      </c>
      <c r="V267" s="1" t="str">
        <f>IF(Energy_data_1990___2020[[#This Row],[CO2 emissions from fuel combustion (MtCO2)]]&gt;Energy_data_1990___2020[[#Totals],[CO2 emissions from fuel combustion (MtCO2)]],"Above Average","")</f>
        <v/>
      </c>
      <c r="W267" s="1">
        <f>SUM(Energy_data_1990___2020[[#This Row],[Coal and lignite production (Mt)]]-Energy_data_1990___2020[[#This Row],[Coal and lignite domestic consumption (Mt)]])</f>
        <v>65.718999999999994</v>
      </c>
    </row>
    <row r="268" spans="1:23">
      <c r="A268" t="s">
        <v>36</v>
      </c>
      <c r="B268">
        <v>2008</v>
      </c>
      <c r="C268" t="s">
        <v>26</v>
      </c>
      <c r="D268">
        <v>54.738066930000002</v>
      </c>
      <c r="E268">
        <v>1.832144483</v>
      </c>
      <c r="F268">
        <v>0.11009991600000001</v>
      </c>
      <c r="G268">
        <v>92.831298720000007</v>
      </c>
      <c r="H268">
        <v>29.87650125</v>
      </c>
      <c r="I268">
        <v>84.012869780000003</v>
      </c>
      <c r="J268">
        <v>15.86190066</v>
      </c>
      <c r="K268">
        <v>10.472</v>
      </c>
      <c r="L268">
        <v>14.170999999999999</v>
      </c>
      <c r="M268">
        <v>8.8400041619999996</v>
      </c>
      <c r="N268">
        <v>8.7499927740000008</v>
      </c>
      <c r="O268">
        <v>6.0093467999999997E-2</v>
      </c>
      <c r="P268">
        <v>55.945</v>
      </c>
      <c r="Q268">
        <v>43.051000000000002</v>
      </c>
      <c r="R268">
        <v>4.0839999999999996</v>
      </c>
      <c r="S268">
        <v>0.10903566000000001</v>
      </c>
      <c r="T268">
        <v>30.466000000000001</v>
      </c>
      <c r="U268">
        <v>73.501999999999995</v>
      </c>
      <c r="V268" s="1" t="str">
        <f>IF(Energy_data_1990___2020[[#This Row],[CO2 emissions from fuel combustion (MtCO2)]]&gt;Energy_data_1990___2020[[#Totals],[CO2 emissions from fuel combustion (MtCO2)]],"Above Average","")</f>
        <v/>
      </c>
      <c r="W268" s="1">
        <f>SUM(Energy_data_1990___2020[[#This Row],[Coal and lignite production (Mt)]]-Energy_data_1990___2020[[#This Row],[Coal and lignite domestic consumption (Mt)]])</f>
        <v>69.417999999999992</v>
      </c>
    </row>
    <row r="269" spans="1:23">
      <c r="A269" t="s">
        <v>36</v>
      </c>
      <c r="B269">
        <v>2009</v>
      </c>
      <c r="C269" t="s">
        <v>26</v>
      </c>
      <c r="D269">
        <v>57.974533289999997</v>
      </c>
      <c r="E269">
        <v>1.8682454399999999</v>
      </c>
      <c r="F269">
        <v>0.11522083299999999</v>
      </c>
      <c r="G269">
        <v>98.475306709999998</v>
      </c>
      <c r="H269">
        <v>31.031540110000002</v>
      </c>
      <c r="I269">
        <v>72.881237319999997</v>
      </c>
      <c r="J269">
        <v>17.638834259999999</v>
      </c>
      <c r="K269">
        <v>9.5960000000000001</v>
      </c>
      <c r="L269">
        <v>13.025</v>
      </c>
      <c r="M269">
        <v>11.95798516</v>
      </c>
      <c r="N269">
        <v>10.00800636</v>
      </c>
      <c r="O269">
        <v>6.1673285000000001E-2</v>
      </c>
      <c r="P269">
        <v>57.155999999999999</v>
      </c>
      <c r="Q269">
        <v>45.103618259999998</v>
      </c>
      <c r="R269">
        <v>4.9429999999999996</v>
      </c>
      <c r="S269">
        <v>0.113723844</v>
      </c>
      <c r="T269">
        <v>34.622999999999998</v>
      </c>
      <c r="U269">
        <v>72.807000000000002</v>
      </c>
      <c r="V269" s="1" t="str">
        <f>IF(Energy_data_1990___2020[[#This Row],[CO2 emissions from fuel combustion (MtCO2)]]&gt;Energy_data_1990___2020[[#Totals],[CO2 emissions from fuel combustion (MtCO2)]],"Above Average","")</f>
        <v/>
      </c>
      <c r="W269" s="1">
        <f>SUM(Energy_data_1990___2020[[#This Row],[Coal and lignite production (Mt)]]-Energy_data_1990___2020[[#This Row],[Coal and lignite domestic consumption (Mt)]])</f>
        <v>67.864000000000004</v>
      </c>
    </row>
    <row r="270" spans="1:23">
      <c r="A270" t="s">
        <v>36</v>
      </c>
      <c r="B270">
        <v>2010</v>
      </c>
      <c r="C270" t="s">
        <v>26</v>
      </c>
      <c r="D270">
        <v>59.94850589</v>
      </c>
      <c r="E270">
        <v>1.9659918329999999</v>
      </c>
      <c r="F270">
        <v>0.114179948</v>
      </c>
      <c r="G270">
        <v>106.35540229999999</v>
      </c>
      <c r="H270">
        <v>30.49275428</v>
      </c>
      <c r="I270">
        <v>70.700489860000005</v>
      </c>
      <c r="J270">
        <v>17.727559429999999</v>
      </c>
      <c r="K270">
        <v>9.6950000000000003</v>
      </c>
      <c r="L270">
        <v>13.196</v>
      </c>
      <c r="M270">
        <v>12.672996599999999</v>
      </c>
      <c r="N270">
        <v>10.601011079999999</v>
      </c>
      <c r="O270">
        <v>5.8077529000000003E-2</v>
      </c>
      <c r="P270">
        <v>60.628999999999998</v>
      </c>
      <c r="Q270">
        <v>45.873860919999998</v>
      </c>
      <c r="R270">
        <v>4.266</v>
      </c>
      <c r="S270">
        <v>7.7520658000000006E-2</v>
      </c>
      <c r="T270">
        <v>40.558</v>
      </c>
      <c r="U270">
        <v>74.349999999999994</v>
      </c>
      <c r="V270" s="1" t="str">
        <f>IF(Energy_data_1990___2020[[#This Row],[CO2 emissions from fuel combustion (MtCO2)]]&gt;Energy_data_1990___2020[[#Totals],[CO2 emissions from fuel combustion (MtCO2)]],"Above Average","")</f>
        <v/>
      </c>
      <c r="W270" s="1">
        <f>SUM(Energy_data_1990___2020[[#This Row],[Coal and lignite production (Mt)]]-Energy_data_1990___2020[[#This Row],[Coal and lignite domestic consumption (Mt)]])</f>
        <v>70.083999999999989</v>
      </c>
    </row>
    <row r="271" spans="1:23">
      <c r="A271" t="s">
        <v>36</v>
      </c>
      <c r="B271">
        <v>2011</v>
      </c>
      <c r="C271" t="s">
        <v>26</v>
      </c>
      <c r="D271">
        <v>64.672773939999999</v>
      </c>
      <c r="E271">
        <v>2.0687202070000001</v>
      </c>
      <c r="F271">
        <v>0.11473085399999999</v>
      </c>
      <c r="G271">
        <v>120.897009</v>
      </c>
      <c r="H271">
        <v>31.262214050000001</v>
      </c>
      <c r="I271">
        <v>81.891713699999997</v>
      </c>
      <c r="J271">
        <v>16.627060749999998</v>
      </c>
      <c r="K271">
        <v>11.382999999999999</v>
      </c>
      <c r="L271">
        <v>15.058999999999999</v>
      </c>
      <c r="M271">
        <v>12.30299422</v>
      </c>
      <c r="N271">
        <v>10.015001209999999</v>
      </c>
      <c r="O271">
        <v>5.5459821999999999E-2</v>
      </c>
      <c r="P271">
        <v>62.186999999999998</v>
      </c>
      <c r="Q271">
        <v>48.527075330000002</v>
      </c>
      <c r="R271">
        <v>5.0229999999999997</v>
      </c>
      <c r="S271">
        <v>7.8794603000000005E-2</v>
      </c>
      <c r="T271">
        <v>47.3</v>
      </c>
      <c r="U271">
        <v>85.802999999999997</v>
      </c>
      <c r="V271" s="1" t="str">
        <f>IF(Energy_data_1990___2020[[#This Row],[CO2 emissions from fuel combustion (MtCO2)]]&gt;Energy_data_1990___2020[[#Totals],[CO2 emissions from fuel combustion (MtCO2)]],"Above Average","")</f>
        <v/>
      </c>
      <c r="W271" s="1">
        <f>SUM(Energy_data_1990___2020[[#This Row],[Coal and lignite production (Mt)]]-Energy_data_1990___2020[[#This Row],[Coal and lignite domestic consumption (Mt)]])</f>
        <v>80.78</v>
      </c>
    </row>
    <row r="272" spans="1:23">
      <c r="A272" t="s">
        <v>36</v>
      </c>
      <c r="B272">
        <v>2012</v>
      </c>
      <c r="C272" t="s">
        <v>26</v>
      </c>
      <c r="D272">
        <v>64.544272070000005</v>
      </c>
      <c r="E272">
        <v>2.1331232939999998</v>
      </c>
      <c r="F272">
        <v>0.11020165899999999</v>
      </c>
      <c r="G272">
        <v>125.10497820000001</v>
      </c>
      <c r="H272">
        <v>30.25810663</v>
      </c>
      <c r="I272">
        <v>78.059144779999997</v>
      </c>
      <c r="J272">
        <v>17.07192929</v>
      </c>
      <c r="K272">
        <v>11.815</v>
      </c>
      <c r="L272">
        <v>15.09</v>
      </c>
      <c r="M272">
        <v>12.585996099999999</v>
      </c>
      <c r="N272">
        <v>10.386995519999999</v>
      </c>
      <c r="O272">
        <v>5.1662114000000002E-2</v>
      </c>
      <c r="P272">
        <v>63.539000000000001</v>
      </c>
      <c r="Q272">
        <v>49.244964349999997</v>
      </c>
      <c r="R272">
        <v>4.016</v>
      </c>
      <c r="S272">
        <v>9.9151701999999994E-2</v>
      </c>
      <c r="T272">
        <v>49.091999999999999</v>
      </c>
      <c r="U272">
        <v>89.024000000000001</v>
      </c>
      <c r="V272" s="1" t="str">
        <f>IF(Energy_data_1990___2020[[#This Row],[CO2 emissions from fuel combustion (MtCO2)]]&gt;Energy_data_1990___2020[[#Totals],[CO2 emissions from fuel combustion (MtCO2)]],"Above Average","")</f>
        <v/>
      </c>
      <c r="W272" s="1">
        <f>SUM(Energy_data_1990___2020[[#This Row],[Coal and lignite production (Mt)]]-Energy_data_1990___2020[[#This Row],[Coal and lignite domestic consumption (Mt)]])</f>
        <v>85.007999999999996</v>
      </c>
    </row>
    <row r="273" spans="1:23">
      <c r="A273" t="s">
        <v>36</v>
      </c>
      <c r="B273">
        <v>2013</v>
      </c>
      <c r="C273" t="s">
        <v>26</v>
      </c>
      <c r="D273">
        <v>72.303150009999996</v>
      </c>
      <c r="E273">
        <v>1.8266683480000001</v>
      </c>
      <c r="F273">
        <v>0.118057487</v>
      </c>
      <c r="G273">
        <v>130.11441429999999</v>
      </c>
      <c r="H273">
        <v>39.581980010000002</v>
      </c>
      <c r="I273">
        <v>69.423386170000001</v>
      </c>
      <c r="J273">
        <v>16.812010690000001</v>
      </c>
      <c r="K273">
        <v>12.494999999999999</v>
      </c>
      <c r="L273">
        <v>13.093</v>
      </c>
      <c r="M273">
        <v>15.282977969999999</v>
      </c>
      <c r="N273">
        <v>10.724992050000001</v>
      </c>
      <c r="O273">
        <v>6.4629952000000004E-2</v>
      </c>
      <c r="P273">
        <v>74.001000000000005</v>
      </c>
      <c r="Q273">
        <v>61.295000000000002</v>
      </c>
      <c r="R273">
        <v>6.1539999999999999</v>
      </c>
      <c r="S273">
        <v>8.9187983999999998E-2</v>
      </c>
      <c r="T273">
        <v>52.268000000000001</v>
      </c>
      <c r="U273">
        <v>85.495999999999995</v>
      </c>
      <c r="V273" s="1" t="str">
        <f>IF(Energy_data_1990___2020[[#This Row],[CO2 emissions from fuel combustion (MtCO2)]]&gt;Energy_data_1990___2020[[#Totals],[CO2 emissions from fuel combustion (MtCO2)]],"Above Average","")</f>
        <v/>
      </c>
      <c r="W273" s="1">
        <f>SUM(Energy_data_1990___2020[[#This Row],[Coal and lignite production (Mt)]]-Energy_data_1990___2020[[#This Row],[Coal and lignite domestic consumption (Mt)]])</f>
        <v>79.341999999999999</v>
      </c>
    </row>
    <row r="274" spans="1:23">
      <c r="A274" t="s">
        <v>36</v>
      </c>
      <c r="B274">
        <v>2014</v>
      </c>
      <c r="C274" t="s">
        <v>26</v>
      </c>
      <c r="D274">
        <v>73.852301440000005</v>
      </c>
      <c r="E274">
        <v>1.8417139179999999</v>
      </c>
      <c r="F274">
        <v>0.115142657</v>
      </c>
      <c r="G274">
        <v>130.72712000000001</v>
      </c>
      <c r="H274">
        <v>40.099768330000003</v>
      </c>
      <c r="I274">
        <v>69.360648359999999</v>
      </c>
      <c r="J274">
        <v>17.190995560000001</v>
      </c>
      <c r="K274">
        <v>12.541</v>
      </c>
      <c r="L274">
        <v>11.862</v>
      </c>
      <c r="M274">
        <v>14.83201438</v>
      </c>
      <c r="N274">
        <v>11.0090038</v>
      </c>
      <c r="O274">
        <v>6.2519296000000002E-2</v>
      </c>
      <c r="P274">
        <v>71.072000000000003</v>
      </c>
      <c r="Q274">
        <v>64.114999999999995</v>
      </c>
      <c r="R274">
        <v>6.3410000000000002</v>
      </c>
      <c r="S274">
        <v>0.11115488499999999</v>
      </c>
      <c r="T274">
        <v>51.292000000000002</v>
      </c>
      <c r="U274">
        <v>88.578000000000003</v>
      </c>
      <c r="V274" s="1" t="str">
        <f>IF(Energy_data_1990___2020[[#This Row],[CO2 emissions from fuel combustion (MtCO2)]]&gt;Energy_data_1990___2020[[#Totals],[CO2 emissions from fuel combustion (MtCO2)]],"Above Average","")</f>
        <v/>
      </c>
      <c r="W274" s="1">
        <f>SUM(Energy_data_1990___2020[[#This Row],[Coal and lignite production (Mt)]]-Energy_data_1990___2020[[#This Row],[Coal and lignite domestic consumption (Mt)]])</f>
        <v>82.237000000000009</v>
      </c>
    </row>
    <row r="275" spans="1:23">
      <c r="A275" t="s">
        <v>36</v>
      </c>
      <c r="B275">
        <v>2015</v>
      </c>
      <c r="C275" t="s">
        <v>26</v>
      </c>
      <c r="D275">
        <v>75.121632529999999</v>
      </c>
      <c r="E275">
        <v>1.8522546639999999</v>
      </c>
      <c r="F275">
        <v>0.11375900799999999</v>
      </c>
      <c r="G275">
        <v>128.7552748</v>
      </c>
      <c r="H275">
        <v>40.556859699999997</v>
      </c>
      <c r="I275">
        <v>63.636826300000003</v>
      </c>
      <c r="J275">
        <v>17.79001805</v>
      </c>
      <c r="K275">
        <v>12.827</v>
      </c>
      <c r="L275">
        <v>11.778</v>
      </c>
      <c r="M275">
        <v>13.956015689999999</v>
      </c>
      <c r="N275">
        <v>11.34400879</v>
      </c>
      <c r="O275">
        <v>6.1416505000000003E-2</v>
      </c>
      <c r="P275">
        <v>78.596000000000004</v>
      </c>
      <c r="Q275">
        <v>65.447000000000003</v>
      </c>
      <c r="R275">
        <v>5.9710000000000001</v>
      </c>
      <c r="S275">
        <v>9.7969362000000004E-2</v>
      </c>
      <c r="T275">
        <v>52.100999999999999</v>
      </c>
      <c r="U275">
        <v>85.548000000000002</v>
      </c>
      <c r="V275" s="1" t="str">
        <f>IF(Energy_data_1990___2020[[#This Row],[CO2 emissions from fuel combustion (MtCO2)]]&gt;Energy_data_1990___2020[[#Totals],[CO2 emissions from fuel combustion (MtCO2)]],"Above Average","")</f>
        <v/>
      </c>
      <c r="W275" s="1">
        <f>SUM(Energy_data_1990___2020[[#This Row],[Coal and lignite production (Mt)]]-Energy_data_1990___2020[[#This Row],[Coal and lignite domestic consumption (Mt)]])</f>
        <v>79.576999999999998</v>
      </c>
    </row>
    <row r="276" spans="1:23">
      <c r="A276" t="s">
        <v>36</v>
      </c>
      <c r="B276">
        <v>2016</v>
      </c>
      <c r="C276" t="s">
        <v>26</v>
      </c>
      <c r="D276">
        <v>79.035999000000004</v>
      </c>
      <c r="E276">
        <v>1.877486545</v>
      </c>
      <c r="F276">
        <v>0.117239419</v>
      </c>
      <c r="G276">
        <v>124.9536323</v>
      </c>
      <c r="H276">
        <v>42.09670595</v>
      </c>
      <c r="I276">
        <v>65.908854169999998</v>
      </c>
      <c r="J276">
        <v>16.93143031</v>
      </c>
      <c r="K276">
        <v>14.505000000000001</v>
      </c>
      <c r="L276">
        <v>17.047999999999998</v>
      </c>
      <c r="M276">
        <v>12.879002030000001</v>
      </c>
      <c r="N276">
        <v>11.842013229999999</v>
      </c>
      <c r="O276">
        <v>6.2444878000000002E-2</v>
      </c>
      <c r="P276">
        <v>76.8</v>
      </c>
      <c r="Q276">
        <v>65.751000000000005</v>
      </c>
      <c r="R276">
        <v>6.008</v>
      </c>
      <c r="S276">
        <v>7.8125E-2</v>
      </c>
      <c r="T276">
        <v>46.058</v>
      </c>
      <c r="U276">
        <v>90.512</v>
      </c>
      <c r="V276" s="1" t="str">
        <f>IF(Energy_data_1990___2020[[#This Row],[CO2 emissions from fuel combustion (MtCO2)]]&gt;Energy_data_1990___2020[[#Totals],[CO2 emissions from fuel combustion (MtCO2)]],"Above Average","")</f>
        <v/>
      </c>
      <c r="W276" s="1">
        <f>SUM(Energy_data_1990___2020[[#This Row],[Coal and lignite production (Mt)]]-Energy_data_1990___2020[[#This Row],[Coal and lignite domestic consumption (Mt)]])</f>
        <v>84.504000000000005</v>
      </c>
    </row>
    <row r="277" spans="1:23">
      <c r="A277" t="s">
        <v>36</v>
      </c>
      <c r="B277">
        <v>2017</v>
      </c>
      <c r="C277" t="s">
        <v>26</v>
      </c>
      <c r="D277">
        <v>71.32901683</v>
      </c>
      <c r="E277">
        <v>1.7681991779999999</v>
      </c>
      <c r="F277">
        <v>0.104396397</v>
      </c>
      <c r="G277">
        <v>124.0704933</v>
      </c>
      <c r="H277">
        <v>40.339921959999998</v>
      </c>
      <c r="I277">
        <v>79.312998359999995</v>
      </c>
      <c r="J277">
        <v>17.92059759</v>
      </c>
      <c r="K277">
        <v>13.170586</v>
      </c>
      <c r="L277">
        <v>17.919753</v>
      </c>
      <c r="M277">
        <v>13.1860359</v>
      </c>
      <c r="N277">
        <v>10.837796490000001</v>
      </c>
      <c r="O277">
        <v>5.9041084000000001E-2</v>
      </c>
      <c r="P277">
        <v>79.280015000000006</v>
      </c>
      <c r="Q277">
        <v>67.435305</v>
      </c>
      <c r="R277">
        <v>4.9200189999999999</v>
      </c>
      <c r="S277">
        <v>2.1952569000000002E-2</v>
      </c>
      <c r="T277">
        <v>44.351002000000001</v>
      </c>
      <c r="U277">
        <v>90.549046000000004</v>
      </c>
      <c r="V277" s="1" t="str">
        <f>IF(Energy_data_1990___2020[[#This Row],[CO2 emissions from fuel combustion (MtCO2)]]&gt;Energy_data_1990___2020[[#Totals],[CO2 emissions from fuel combustion (MtCO2)]],"Above Average","")</f>
        <v/>
      </c>
      <c r="W277" s="1">
        <f>SUM(Energy_data_1990___2020[[#This Row],[Coal and lignite production (Mt)]]-Energy_data_1990___2020[[#This Row],[Coal and lignite domestic consumption (Mt)]])</f>
        <v>85.629027000000008</v>
      </c>
    </row>
    <row r="278" spans="1:23">
      <c r="A278" t="s">
        <v>36</v>
      </c>
      <c r="B278">
        <v>2018</v>
      </c>
      <c r="C278" t="s">
        <v>26</v>
      </c>
      <c r="D278">
        <v>74.773430360000006</v>
      </c>
      <c r="E278">
        <v>1.92432976</v>
      </c>
      <c r="F278">
        <v>0.10669634</v>
      </c>
      <c r="G278">
        <v>120.45954860000001</v>
      </c>
      <c r="H278">
        <v>38.856869500000002</v>
      </c>
      <c r="I278">
        <v>76.853811280000002</v>
      </c>
      <c r="J278">
        <v>18.338545379999999</v>
      </c>
      <c r="K278">
        <v>13.025948</v>
      </c>
      <c r="L278">
        <v>19.472332000000002</v>
      </c>
      <c r="M278">
        <v>13.76172394</v>
      </c>
      <c r="N278">
        <v>11.26876204</v>
      </c>
      <c r="O278">
        <v>5.5445975000000002E-2</v>
      </c>
      <c r="P278">
        <v>79.963277000000005</v>
      </c>
      <c r="Q278">
        <v>68.097211000000001</v>
      </c>
      <c r="R278">
        <v>5.3886810000000001</v>
      </c>
      <c r="S278">
        <v>8.0514458999999997E-2</v>
      </c>
      <c r="T278">
        <v>44.916347999999999</v>
      </c>
      <c r="U278">
        <v>84.283891999999994</v>
      </c>
      <c r="V278" s="1" t="str">
        <f>IF(Energy_data_1990___2020[[#This Row],[CO2 emissions from fuel combustion (MtCO2)]]&gt;Energy_data_1990___2020[[#Totals],[CO2 emissions from fuel combustion (MtCO2)]],"Above Average","")</f>
        <v/>
      </c>
      <c r="W278" s="1">
        <f>SUM(Energy_data_1990___2020[[#This Row],[Coal and lignite production (Mt)]]-Energy_data_1990___2020[[#This Row],[Coal and lignite domestic consumption (Mt)]])</f>
        <v>78.895210999999989</v>
      </c>
    </row>
    <row r="279" spans="1:23">
      <c r="A279" t="s">
        <v>36</v>
      </c>
      <c r="B279">
        <v>2019</v>
      </c>
      <c r="C279" t="s">
        <v>26</v>
      </c>
      <c r="D279">
        <v>77.789306159999995</v>
      </c>
      <c r="E279">
        <v>1.8889280129999999</v>
      </c>
      <c r="F279">
        <v>0.107495428</v>
      </c>
      <c r="G279">
        <v>120.28788160000001</v>
      </c>
      <c r="H279">
        <v>41.181720869999999</v>
      </c>
      <c r="I279">
        <v>72.584326809999993</v>
      </c>
      <c r="J279">
        <v>19.758216059999999</v>
      </c>
      <c r="K279">
        <v>13.529557560000001</v>
      </c>
      <c r="L279">
        <v>18.80933602</v>
      </c>
      <c r="M279">
        <v>12.87952065</v>
      </c>
      <c r="N279">
        <v>10.667585880000001</v>
      </c>
      <c r="O279">
        <v>5.6908164999999997E-2</v>
      </c>
      <c r="P279">
        <v>82.135386479999994</v>
      </c>
      <c r="Q279">
        <v>74.936677739999993</v>
      </c>
      <c r="R279">
        <v>6.7726383080000003</v>
      </c>
      <c r="S279">
        <v>0.237881438</v>
      </c>
      <c r="T279">
        <v>45.972398009999999</v>
      </c>
      <c r="U279">
        <v>84.342786140000001</v>
      </c>
      <c r="V279" s="1" t="str">
        <f>IF(Energy_data_1990___2020[[#This Row],[CO2 emissions from fuel combustion (MtCO2)]]&gt;Energy_data_1990___2020[[#Totals],[CO2 emissions from fuel combustion (MtCO2)]],"Above Average","")</f>
        <v/>
      </c>
      <c r="W279" s="1">
        <f>SUM(Energy_data_1990___2020[[#This Row],[Coal and lignite production (Mt)]]-Energy_data_1990___2020[[#This Row],[Coal and lignite domestic consumption (Mt)]])</f>
        <v>77.570147832000004</v>
      </c>
    </row>
    <row r="280" spans="1:23">
      <c r="A280" t="s">
        <v>36</v>
      </c>
      <c r="B280">
        <v>2020</v>
      </c>
      <c r="C280" t="s">
        <v>26</v>
      </c>
      <c r="D280">
        <v>75.210027170000004</v>
      </c>
      <c r="E280">
        <v>1.9411579160000001</v>
      </c>
      <c r="F280">
        <v>0.110682828</v>
      </c>
      <c r="G280">
        <v>104.4198497</v>
      </c>
      <c r="H280">
        <v>38.74492979</v>
      </c>
      <c r="I280">
        <v>64.763118469999995</v>
      </c>
      <c r="J280">
        <v>20.867144499999998</v>
      </c>
      <c r="K280">
        <v>11.248085870000001</v>
      </c>
      <c r="L280">
        <v>16.068124709999999</v>
      </c>
      <c r="M280">
        <v>13.729144209999999</v>
      </c>
      <c r="N280">
        <v>11.58697224</v>
      </c>
      <c r="O280">
        <v>5.7018972000000001E-2</v>
      </c>
      <c r="P280">
        <v>76.270869950000005</v>
      </c>
      <c r="Q280">
        <v>72.777480690000004</v>
      </c>
      <c r="R280">
        <v>7.7243584629999997</v>
      </c>
      <c r="S280">
        <v>0.242042916</v>
      </c>
      <c r="T280">
        <v>43.111755049999999</v>
      </c>
      <c r="U280">
        <v>64.627901460000004</v>
      </c>
      <c r="V280" s="1" t="str">
        <f>IF(Energy_data_1990___2020[[#This Row],[CO2 emissions from fuel combustion (MtCO2)]]&gt;Energy_data_1990___2020[[#Totals],[CO2 emissions from fuel combustion (MtCO2)]],"Above Average","")</f>
        <v/>
      </c>
      <c r="W280" s="1">
        <f>SUM(Energy_data_1990___2020[[#This Row],[Coal and lignite production (Mt)]]-Energy_data_1990___2020[[#This Row],[Coal and lignite domestic consumption (Mt)]])</f>
        <v>56.903542997000002</v>
      </c>
    </row>
    <row r="281" spans="1:23">
      <c r="A281" t="s">
        <v>37</v>
      </c>
      <c r="B281">
        <v>1990</v>
      </c>
      <c r="C281" t="s">
        <v>30</v>
      </c>
      <c r="D281">
        <v>147.400938</v>
      </c>
      <c r="E281">
        <v>2.9602859210000001</v>
      </c>
      <c r="F281">
        <v>0.64715122999999997</v>
      </c>
      <c r="G281">
        <v>41.166022720000001</v>
      </c>
      <c r="H281">
        <v>49.792804449999998</v>
      </c>
      <c r="I281">
        <v>2.3162134939999999</v>
      </c>
      <c r="J281">
        <v>12.07940582</v>
      </c>
      <c r="K281">
        <v>8.8170000000000002</v>
      </c>
      <c r="L281">
        <v>7.9480000000000004</v>
      </c>
      <c r="M281">
        <v>0.26200003399999999</v>
      </c>
      <c r="N281">
        <v>6.5729948330000001</v>
      </c>
      <c r="O281">
        <v>0.218611056</v>
      </c>
      <c r="P281">
        <v>62.558999999999997</v>
      </c>
      <c r="Q281">
        <v>53.036999999999999</v>
      </c>
      <c r="R281">
        <v>84.787999999999997</v>
      </c>
      <c r="S281">
        <v>0</v>
      </c>
      <c r="T281">
        <v>0.22</v>
      </c>
      <c r="U281">
        <v>101.398</v>
      </c>
      <c r="V281" s="1" t="str">
        <f>IF(Energy_data_1990___2020[[#This Row],[CO2 emissions from fuel combustion (MtCO2)]]&gt;Energy_data_1990___2020[[#Totals],[CO2 emissions from fuel combustion (MtCO2)]],"Above Average","")</f>
        <v/>
      </c>
      <c r="W281" s="1">
        <f>SUM(Energy_data_1990___2020[[#This Row],[Coal and lignite production (Mt)]]-Energy_data_1990___2020[[#This Row],[Coal and lignite domestic consumption (Mt)]])</f>
        <v>16.61</v>
      </c>
    </row>
    <row r="282" spans="1:23">
      <c r="A282" t="s">
        <v>37</v>
      </c>
      <c r="B282">
        <v>1991</v>
      </c>
      <c r="C282" t="s">
        <v>30</v>
      </c>
      <c r="D282">
        <v>135.9143167</v>
      </c>
      <c r="E282">
        <v>3.0044373809999998</v>
      </c>
      <c r="F282">
        <v>0.67513697100000003</v>
      </c>
      <c r="G282">
        <v>39.01934249</v>
      </c>
      <c r="H282">
        <v>45.237859700000001</v>
      </c>
      <c r="I282">
        <v>2.1791567540000001</v>
      </c>
      <c r="J282">
        <v>12.6041864</v>
      </c>
      <c r="K282">
        <v>7.4109999999999996</v>
      </c>
      <c r="L282">
        <v>6.8369999999999997</v>
      </c>
      <c r="M282">
        <v>0.269000244</v>
      </c>
      <c r="N282">
        <v>6.341999908</v>
      </c>
      <c r="O282">
        <v>0.22471327699999999</v>
      </c>
      <c r="P282">
        <v>60.527999999999999</v>
      </c>
      <c r="Q282">
        <v>49.707999999999998</v>
      </c>
      <c r="R282">
        <v>79.200999999999993</v>
      </c>
      <c r="S282">
        <v>0</v>
      </c>
      <c r="T282">
        <v>0.221</v>
      </c>
      <c r="U282">
        <v>96.864000000000004</v>
      </c>
      <c r="V282" s="1" t="str">
        <f>IF(Energy_data_1990___2020[[#This Row],[CO2 emissions from fuel combustion (MtCO2)]]&gt;Energy_data_1990___2020[[#Totals],[CO2 emissions from fuel combustion (MtCO2)]],"Above Average","")</f>
        <v/>
      </c>
      <c r="W282" s="1">
        <f>SUM(Energy_data_1990___2020[[#This Row],[Coal and lignite production (Mt)]]-Energy_data_1990___2020[[#This Row],[Coal and lignite domestic consumption (Mt)]])</f>
        <v>17.663000000000011</v>
      </c>
    </row>
    <row r="283" spans="1:23">
      <c r="A283" t="s">
        <v>37</v>
      </c>
      <c r="B283">
        <v>1992</v>
      </c>
      <c r="C283" t="s">
        <v>30</v>
      </c>
      <c r="D283">
        <v>129.9928874</v>
      </c>
      <c r="E283">
        <v>2.9512458330000002</v>
      </c>
      <c r="F283">
        <v>0.64901054199999997</v>
      </c>
      <c r="G283">
        <v>36.771230729999999</v>
      </c>
      <c r="H283">
        <v>44.04678389</v>
      </c>
      <c r="I283">
        <v>2.7625520720000001</v>
      </c>
      <c r="J283">
        <v>12.412203590000001</v>
      </c>
      <c r="K283">
        <v>7.98</v>
      </c>
      <c r="L283">
        <v>7.1509999999999998</v>
      </c>
      <c r="M283">
        <v>0.183000045</v>
      </c>
      <c r="N283">
        <v>7.26400896</v>
      </c>
      <c r="O283">
        <v>0.21991070200000001</v>
      </c>
      <c r="P283">
        <v>59.292999999999999</v>
      </c>
      <c r="Q283">
        <v>48.148000000000003</v>
      </c>
      <c r="R283">
        <v>73.631</v>
      </c>
      <c r="S283">
        <v>0</v>
      </c>
      <c r="T283">
        <v>0.23699999999999999</v>
      </c>
      <c r="U283">
        <v>86.721000000000004</v>
      </c>
      <c r="V283" s="1" t="str">
        <f>IF(Energy_data_1990___2020[[#This Row],[CO2 emissions from fuel combustion (MtCO2)]]&gt;Energy_data_1990___2020[[#Totals],[CO2 emissions from fuel combustion (MtCO2)]],"Above Average","")</f>
        <v/>
      </c>
      <c r="W283" s="1">
        <f>SUM(Energy_data_1990___2020[[#This Row],[Coal and lignite production (Mt)]]-Energy_data_1990___2020[[#This Row],[Coal and lignite domestic consumption (Mt)]])</f>
        <v>13.090000000000003</v>
      </c>
    </row>
    <row r="284" spans="1:23">
      <c r="A284" t="s">
        <v>37</v>
      </c>
      <c r="B284">
        <v>1993</v>
      </c>
      <c r="C284" t="s">
        <v>30</v>
      </c>
      <c r="D284">
        <v>130.39851279999999</v>
      </c>
      <c r="E284">
        <v>3.0559534949999998</v>
      </c>
      <c r="F284">
        <v>0.65063292299999997</v>
      </c>
      <c r="G284">
        <v>36.1913111</v>
      </c>
      <c r="H284">
        <v>42.670319749999997</v>
      </c>
      <c r="I284">
        <v>2.9839846470000002</v>
      </c>
      <c r="J284">
        <v>12.67676223</v>
      </c>
      <c r="K284">
        <v>7.5309999999999997</v>
      </c>
      <c r="L284">
        <v>6.5869999999999997</v>
      </c>
      <c r="M284">
        <v>0.23800007100000001</v>
      </c>
      <c r="N284">
        <v>7.328993605</v>
      </c>
      <c r="O284">
        <v>0.21290668300000001</v>
      </c>
      <c r="P284">
        <v>58.881</v>
      </c>
      <c r="Q284">
        <v>47.773000000000003</v>
      </c>
      <c r="R284">
        <v>71.870999999999995</v>
      </c>
      <c r="S284">
        <v>0</v>
      </c>
      <c r="T284">
        <v>0.25700000000000001</v>
      </c>
      <c r="U284">
        <v>85.239000000000004</v>
      </c>
      <c r="V284" s="1" t="str">
        <f>IF(Energy_data_1990___2020[[#This Row],[CO2 emissions from fuel combustion (MtCO2)]]&gt;Energy_data_1990___2020[[#Totals],[CO2 emissions from fuel combustion (MtCO2)]],"Above Average","")</f>
        <v/>
      </c>
      <c r="W284" s="1">
        <f>SUM(Energy_data_1990___2020[[#This Row],[Coal and lignite production (Mt)]]-Energy_data_1990___2020[[#This Row],[Coal and lignite domestic consumption (Mt)]])</f>
        <v>13.368000000000009</v>
      </c>
    </row>
    <row r="285" spans="1:23">
      <c r="A285" t="s">
        <v>37</v>
      </c>
      <c r="B285">
        <v>1994</v>
      </c>
      <c r="C285" t="s">
        <v>30</v>
      </c>
      <c r="D285">
        <v>125.0769391</v>
      </c>
      <c r="E285">
        <v>3.0357449320000001</v>
      </c>
      <c r="F285">
        <v>0.60643740099999999</v>
      </c>
      <c r="G285">
        <v>33.558956979999998</v>
      </c>
      <c r="H285">
        <v>41.201399309999999</v>
      </c>
      <c r="I285">
        <v>3.5720977770000002</v>
      </c>
      <c r="J285">
        <v>13.834937249999999</v>
      </c>
      <c r="K285">
        <v>7.6609999999999996</v>
      </c>
      <c r="L285">
        <v>6.9290000000000003</v>
      </c>
      <c r="M285">
        <v>0.25</v>
      </c>
      <c r="N285">
        <v>7.1480061040000002</v>
      </c>
      <c r="O285">
        <v>0.19976559799999999</v>
      </c>
      <c r="P285">
        <v>58.704999999999998</v>
      </c>
      <c r="Q285">
        <v>49.311999999999998</v>
      </c>
      <c r="R285">
        <v>66.894999999999996</v>
      </c>
      <c r="S285">
        <v>0</v>
      </c>
      <c r="T285">
        <v>0.27</v>
      </c>
      <c r="U285">
        <v>76.944000000000003</v>
      </c>
      <c r="V285" s="1" t="str">
        <f>IF(Energy_data_1990___2020[[#This Row],[CO2 emissions from fuel combustion (MtCO2)]]&gt;Energy_data_1990___2020[[#Totals],[CO2 emissions from fuel combustion (MtCO2)]],"Above Average","")</f>
        <v/>
      </c>
      <c r="W285" s="1">
        <f>SUM(Energy_data_1990___2020[[#This Row],[Coal and lignite production (Mt)]]-Energy_data_1990___2020[[#This Row],[Coal and lignite domestic consumption (Mt)]])</f>
        <v>10.049000000000007</v>
      </c>
    </row>
    <row r="286" spans="1:23">
      <c r="A286" t="s">
        <v>37</v>
      </c>
      <c r="B286">
        <v>1995</v>
      </c>
      <c r="C286" t="s">
        <v>30</v>
      </c>
      <c r="D286">
        <v>126.07253919999999</v>
      </c>
      <c r="E286">
        <v>3.0199602219999999</v>
      </c>
      <c r="F286">
        <v>0.57546271100000002</v>
      </c>
      <c r="G286">
        <v>32.690354790000001</v>
      </c>
      <c r="H286">
        <v>41.74642377</v>
      </c>
      <c r="I286">
        <v>4.4028464840000003</v>
      </c>
      <c r="J286">
        <v>14.53635542</v>
      </c>
      <c r="K286">
        <v>7.8659999999999997</v>
      </c>
      <c r="L286">
        <v>7.26</v>
      </c>
      <c r="M286">
        <v>0.25400029800000001</v>
      </c>
      <c r="N286">
        <v>8.0700081319999999</v>
      </c>
      <c r="O286">
        <v>0.19055307599999999</v>
      </c>
      <c r="P286">
        <v>60.847000000000001</v>
      </c>
      <c r="Q286">
        <v>52.155000000000001</v>
      </c>
      <c r="R286">
        <v>65.807000000000002</v>
      </c>
      <c r="S286">
        <v>0</v>
      </c>
      <c r="T286">
        <v>0.27600000000000002</v>
      </c>
      <c r="U286">
        <v>74.900999999999996</v>
      </c>
      <c r="V286" s="1" t="str">
        <f>IF(Energy_data_1990___2020[[#This Row],[CO2 emissions from fuel combustion (MtCO2)]]&gt;Energy_data_1990___2020[[#Totals],[CO2 emissions from fuel combustion (MtCO2)]],"Above Average","")</f>
        <v/>
      </c>
      <c r="W286" s="1">
        <f>SUM(Energy_data_1990___2020[[#This Row],[Coal and lignite production (Mt)]]-Energy_data_1990___2020[[#This Row],[Coal and lignite domestic consumption (Mt)]])</f>
        <v>9.0939999999999941</v>
      </c>
    </row>
    <row r="287" spans="1:23">
      <c r="A287" t="s">
        <v>37</v>
      </c>
      <c r="B287">
        <v>1996</v>
      </c>
      <c r="C287" t="s">
        <v>30</v>
      </c>
      <c r="D287">
        <v>127.2363251</v>
      </c>
      <c r="E287">
        <v>2.9554025990000001</v>
      </c>
      <c r="F287">
        <v>0.55724349500000003</v>
      </c>
      <c r="G287">
        <v>33.345252070000001</v>
      </c>
      <c r="H287">
        <v>43.052112469999997</v>
      </c>
      <c r="I287">
        <v>4.1940955850000003</v>
      </c>
      <c r="J287">
        <v>14.893946010000001</v>
      </c>
      <c r="K287">
        <v>8.1530000000000005</v>
      </c>
      <c r="L287">
        <v>7.83</v>
      </c>
      <c r="M287">
        <v>0.235999877</v>
      </c>
      <c r="N287">
        <v>9.2909904819999998</v>
      </c>
      <c r="O287">
        <v>0.18855079</v>
      </c>
      <c r="P287">
        <v>64.257000000000005</v>
      </c>
      <c r="Q287">
        <v>54.146000000000001</v>
      </c>
      <c r="R287">
        <v>65.873000000000005</v>
      </c>
      <c r="S287">
        <v>0</v>
      </c>
      <c r="T287">
        <v>0.251</v>
      </c>
      <c r="U287">
        <v>77.144999999999996</v>
      </c>
      <c r="V287" s="1" t="str">
        <f>IF(Energy_data_1990___2020[[#This Row],[CO2 emissions from fuel combustion (MtCO2)]]&gt;Energy_data_1990___2020[[#Totals],[CO2 emissions from fuel combustion (MtCO2)]],"Above Average","")</f>
        <v/>
      </c>
      <c r="W287" s="1">
        <f>SUM(Energy_data_1990___2020[[#This Row],[Coal and lignite production (Mt)]]-Energy_data_1990___2020[[#This Row],[Coal and lignite domestic consumption (Mt)]])</f>
        <v>11.271999999999991</v>
      </c>
    </row>
    <row r="288" spans="1:23">
      <c r="A288" t="s">
        <v>37</v>
      </c>
      <c r="B288">
        <v>1997</v>
      </c>
      <c r="C288" t="s">
        <v>30</v>
      </c>
      <c r="D288">
        <v>125.1024973</v>
      </c>
      <c r="E288">
        <v>2.8836997210000002</v>
      </c>
      <c r="F288">
        <v>0.55117581199999999</v>
      </c>
      <c r="G288">
        <v>33.772871160000001</v>
      </c>
      <c r="H288">
        <v>43.382636669999997</v>
      </c>
      <c r="I288">
        <v>3.984643487</v>
      </c>
      <c r="J288">
        <v>14.91920066</v>
      </c>
      <c r="K288">
        <v>7.8470000000000004</v>
      </c>
      <c r="L288">
        <v>7.41</v>
      </c>
      <c r="M288">
        <v>0.21599997700000001</v>
      </c>
      <c r="N288">
        <v>9.4259936409999998</v>
      </c>
      <c r="O288">
        <v>0.191134953</v>
      </c>
      <c r="P288">
        <v>64.597999999999999</v>
      </c>
      <c r="Q288">
        <v>53.162999999999997</v>
      </c>
      <c r="R288">
        <v>64.531000000000006</v>
      </c>
      <c r="S288">
        <v>0</v>
      </c>
      <c r="T288">
        <v>0.46300000000000002</v>
      </c>
      <c r="U288">
        <v>74.016000000000005</v>
      </c>
      <c r="V288" s="1" t="str">
        <f>IF(Energy_data_1990___2020[[#This Row],[CO2 emissions from fuel combustion (MtCO2)]]&gt;Energy_data_1990___2020[[#Totals],[CO2 emissions from fuel combustion (MtCO2)]],"Above Average","")</f>
        <v/>
      </c>
      <c r="W288" s="1">
        <f>SUM(Energy_data_1990___2020[[#This Row],[Coal and lignite production (Mt)]]-Energy_data_1990___2020[[#This Row],[Coal and lignite domestic consumption (Mt)]])</f>
        <v>9.4849999999999994</v>
      </c>
    </row>
    <row r="289" spans="1:23">
      <c r="A289" t="s">
        <v>37</v>
      </c>
      <c r="B289">
        <v>1998</v>
      </c>
      <c r="C289" t="s">
        <v>30</v>
      </c>
      <c r="D289">
        <v>119.3372083</v>
      </c>
      <c r="E289">
        <v>2.8429020170000001</v>
      </c>
      <c r="F289">
        <v>0.52750914199999999</v>
      </c>
      <c r="G289">
        <v>31.768299259999999</v>
      </c>
      <c r="H289">
        <v>41.977249880000002</v>
      </c>
      <c r="I289">
        <v>3.7949993860000002</v>
      </c>
      <c r="J289">
        <v>15.275559980000001</v>
      </c>
      <c r="K289">
        <v>8.1129999999999995</v>
      </c>
      <c r="L289">
        <v>7.09</v>
      </c>
      <c r="M289">
        <v>0.22800030099999999</v>
      </c>
      <c r="N289">
        <v>9.4209997619999992</v>
      </c>
      <c r="O289">
        <v>0.18555305</v>
      </c>
      <c r="P289">
        <v>65.111999999999995</v>
      </c>
      <c r="Q289">
        <v>52.195999999999998</v>
      </c>
      <c r="R289">
        <v>59.082999999999998</v>
      </c>
      <c r="S289">
        <v>0</v>
      </c>
      <c r="T289">
        <v>0.433</v>
      </c>
      <c r="U289">
        <v>67.528999999999996</v>
      </c>
      <c r="V289" s="1" t="str">
        <f>IF(Energy_data_1990___2020[[#This Row],[CO2 emissions from fuel combustion (MtCO2)]]&gt;Energy_data_1990___2020[[#Totals],[CO2 emissions from fuel combustion (MtCO2)]],"Above Average","")</f>
        <v/>
      </c>
      <c r="W289" s="1">
        <f>SUM(Energy_data_1990___2020[[#This Row],[Coal and lignite production (Mt)]]-Energy_data_1990___2020[[#This Row],[Coal and lignite domestic consumption (Mt)]])</f>
        <v>8.445999999999998</v>
      </c>
    </row>
    <row r="290" spans="1:23">
      <c r="A290" t="s">
        <v>37</v>
      </c>
      <c r="B290">
        <v>1999</v>
      </c>
      <c r="C290" t="s">
        <v>30</v>
      </c>
      <c r="D290">
        <v>111.8119877</v>
      </c>
      <c r="E290">
        <v>2.8553486619999999</v>
      </c>
      <c r="F290">
        <v>0.48726352299999998</v>
      </c>
      <c r="G290">
        <v>28.910151679999998</v>
      </c>
      <c r="H290">
        <v>39.158786159999998</v>
      </c>
      <c r="I290">
        <v>4.4718211889999999</v>
      </c>
      <c r="J290">
        <v>15.70390407</v>
      </c>
      <c r="K290">
        <v>7.9980000000000002</v>
      </c>
      <c r="L290">
        <v>6.2469999999999999</v>
      </c>
      <c r="M290">
        <v>0.230000169</v>
      </c>
      <c r="N290">
        <v>9.5180026919999996</v>
      </c>
      <c r="O290">
        <v>0.17064939500000001</v>
      </c>
      <c r="P290">
        <v>64.694000000000003</v>
      </c>
      <c r="Q290">
        <v>51.177999999999997</v>
      </c>
      <c r="R290">
        <v>51.790999999999997</v>
      </c>
      <c r="S290">
        <v>0</v>
      </c>
      <c r="T290">
        <v>0.38600000000000001</v>
      </c>
      <c r="U290">
        <v>59.133000000000003</v>
      </c>
      <c r="V290" s="1" t="str">
        <f>IF(Energy_data_1990___2020[[#This Row],[CO2 emissions from fuel combustion (MtCO2)]]&gt;Energy_data_1990___2020[[#Totals],[CO2 emissions from fuel combustion (MtCO2)]],"Above Average","")</f>
        <v/>
      </c>
      <c r="W290" s="1">
        <f>SUM(Energy_data_1990___2020[[#This Row],[Coal and lignite production (Mt)]]-Energy_data_1990___2020[[#This Row],[Coal and lignite domestic consumption (Mt)]])</f>
        <v>7.3420000000000059</v>
      </c>
    </row>
    <row r="291" spans="1:23">
      <c r="A291" t="s">
        <v>37</v>
      </c>
      <c r="B291">
        <v>2000</v>
      </c>
      <c r="C291" t="s">
        <v>30</v>
      </c>
      <c r="D291">
        <v>122.555814</v>
      </c>
      <c r="E291">
        <v>2.9765816470000002</v>
      </c>
      <c r="F291">
        <v>0.512228397</v>
      </c>
      <c r="G291">
        <v>30.843210110000001</v>
      </c>
      <c r="H291">
        <v>41.173341970000003</v>
      </c>
      <c r="I291">
        <v>3.8643726350000001</v>
      </c>
      <c r="J291">
        <v>15.7350765</v>
      </c>
      <c r="K291">
        <v>7.74</v>
      </c>
      <c r="L291">
        <v>6.1310000000000002</v>
      </c>
      <c r="M291">
        <v>0.21899981900000001</v>
      </c>
      <c r="N291">
        <v>9.2359950519999998</v>
      </c>
      <c r="O291">
        <v>0.17208612300000001</v>
      </c>
      <c r="P291">
        <v>73.465999999999994</v>
      </c>
      <c r="Q291">
        <v>52.292000000000002</v>
      </c>
      <c r="R291">
        <v>61.507136940000002</v>
      </c>
      <c r="S291">
        <v>0</v>
      </c>
      <c r="T291">
        <v>0.38500000000000001</v>
      </c>
      <c r="U291">
        <v>65.162000000000006</v>
      </c>
      <c r="V291" s="1" t="str">
        <f>IF(Energy_data_1990___2020[[#This Row],[CO2 emissions from fuel combustion (MtCO2)]]&gt;Energy_data_1990___2020[[#Totals],[CO2 emissions from fuel combustion (MtCO2)]],"Above Average","")</f>
        <v/>
      </c>
      <c r="W291" s="1">
        <f>SUM(Energy_data_1990___2020[[#This Row],[Coal and lignite production (Mt)]]-Energy_data_1990___2020[[#This Row],[Coal and lignite domestic consumption (Mt)]])</f>
        <v>3.6548630600000038</v>
      </c>
    </row>
    <row r="292" spans="1:23">
      <c r="A292" t="s">
        <v>37</v>
      </c>
      <c r="B292">
        <v>2001</v>
      </c>
      <c r="C292" t="s">
        <v>30</v>
      </c>
      <c r="D292">
        <v>121.863406</v>
      </c>
      <c r="E292">
        <v>2.8833942829999999</v>
      </c>
      <c r="F292">
        <v>0.49493786299999998</v>
      </c>
      <c r="G292">
        <v>31.546339750000001</v>
      </c>
      <c r="H292">
        <v>42.263871680000001</v>
      </c>
      <c r="I292">
        <v>4.0055193109999996</v>
      </c>
      <c r="J292">
        <v>15.86654905</v>
      </c>
      <c r="K292">
        <v>8.1449999999999996</v>
      </c>
      <c r="L292">
        <v>6.3079999999999998</v>
      </c>
      <c r="M292">
        <v>0.15999977400000001</v>
      </c>
      <c r="N292">
        <v>9.8950005430000001</v>
      </c>
      <c r="O292">
        <v>0.17165112199999999</v>
      </c>
      <c r="P292">
        <v>74.647000000000006</v>
      </c>
      <c r="Q292">
        <v>53.774999999999999</v>
      </c>
      <c r="R292">
        <v>59.517837729999997</v>
      </c>
      <c r="S292">
        <v>1.3611739999999999E-3</v>
      </c>
      <c r="T292">
        <v>0.36599999999999999</v>
      </c>
      <c r="U292">
        <v>66.105999999999995</v>
      </c>
      <c r="V292" s="1" t="str">
        <f>IF(Energy_data_1990___2020[[#This Row],[CO2 emissions from fuel combustion (MtCO2)]]&gt;Energy_data_1990___2020[[#Totals],[CO2 emissions from fuel combustion (MtCO2)]],"Above Average","")</f>
        <v/>
      </c>
      <c r="W292" s="1">
        <f>SUM(Energy_data_1990___2020[[#This Row],[Coal and lignite production (Mt)]]-Energy_data_1990___2020[[#This Row],[Coal and lignite domestic consumption (Mt)]])</f>
        <v>6.588162269999998</v>
      </c>
    </row>
    <row r="293" spans="1:23">
      <c r="A293" t="s">
        <v>37</v>
      </c>
      <c r="B293">
        <v>2002</v>
      </c>
      <c r="C293" t="s">
        <v>30</v>
      </c>
      <c r="D293">
        <v>117.7607701</v>
      </c>
      <c r="E293">
        <v>2.7486147509999999</v>
      </c>
      <c r="F293">
        <v>0.47050036499999998</v>
      </c>
      <c r="G293">
        <v>31.76076196</v>
      </c>
      <c r="H293">
        <v>42.843679729999998</v>
      </c>
      <c r="I293">
        <v>4.3891130089999999</v>
      </c>
      <c r="J293">
        <v>16.105708029999999</v>
      </c>
      <c r="K293">
        <v>7.9630000000000001</v>
      </c>
      <c r="L293">
        <v>6.3890000000000002</v>
      </c>
      <c r="M293">
        <v>0.152999951</v>
      </c>
      <c r="N293">
        <v>9.5519884879999992</v>
      </c>
      <c r="O293">
        <v>0.17117726799999999</v>
      </c>
      <c r="P293">
        <v>76.347999999999999</v>
      </c>
      <c r="Q293">
        <v>53.668999999999997</v>
      </c>
      <c r="R293">
        <v>57.844999999999999</v>
      </c>
      <c r="S293">
        <v>2.6195839999999999E-3</v>
      </c>
      <c r="T293">
        <v>0.42099999999999999</v>
      </c>
      <c r="U293">
        <v>63.356000000000002</v>
      </c>
      <c r="V293" s="1" t="str">
        <f>IF(Energy_data_1990___2020[[#This Row],[CO2 emissions from fuel combustion (MtCO2)]]&gt;Energy_data_1990___2020[[#Totals],[CO2 emissions from fuel combustion (MtCO2)]],"Above Average","")</f>
        <v/>
      </c>
      <c r="W293" s="1">
        <f>SUM(Energy_data_1990___2020[[#This Row],[Coal and lignite production (Mt)]]-Energy_data_1990___2020[[#This Row],[Coal and lignite domestic consumption (Mt)]])</f>
        <v>5.5110000000000028</v>
      </c>
    </row>
    <row r="294" spans="1:23">
      <c r="A294" t="s">
        <v>37</v>
      </c>
      <c r="B294">
        <v>2003</v>
      </c>
      <c r="C294" t="s">
        <v>30</v>
      </c>
      <c r="D294">
        <v>121.8103649</v>
      </c>
      <c r="E294">
        <v>2.7237154870000002</v>
      </c>
      <c r="F294">
        <v>0.46975486300000002</v>
      </c>
      <c r="G294">
        <v>33.80986497</v>
      </c>
      <c r="H294">
        <v>44.722132510000002</v>
      </c>
      <c r="I294">
        <v>2.7515109280000001</v>
      </c>
      <c r="J294">
        <v>15.893219</v>
      </c>
      <c r="K294">
        <v>8.4659999999999993</v>
      </c>
      <c r="L294">
        <v>6.7439999999999998</v>
      </c>
      <c r="M294">
        <v>0.16800008799999999</v>
      </c>
      <c r="N294">
        <v>9.6579904590000005</v>
      </c>
      <c r="O294">
        <v>0.17246840399999999</v>
      </c>
      <c r="P294">
        <v>83.227000000000004</v>
      </c>
      <c r="Q294">
        <v>54.807000000000002</v>
      </c>
      <c r="R294">
        <v>59.344000000000001</v>
      </c>
      <c r="S294">
        <v>6.007666E-3</v>
      </c>
      <c r="T294">
        <v>0.47399999999999998</v>
      </c>
      <c r="U294">
        <v>63.905999999999999</v>
      </c>
      <c r="V294" s="1" t="str">
        <f>IF(Energy_data_1990___2020[[#This Row],[CO2 emissions from fuel combustion (MtCO2)]]&gt;Energy_data_1990___2020[[#Totals],[CO2 emissions from fuel combustion (MtCO2)]],"Above Average","")</f>
        <v/>
      </c>
      <c r="W294" s="1">
        <f>SUM(Energy_data_1990___2020[[#This Row],[Coal and lignite production (Mt)]]-Energy_data_1990___2020[[#This Row],[Coal and lignite domestic consumption (Mt)]])</f>
        <v>4.5619999999999976</v>
      </c>
    </row>
    <row r="295" spans="1:23">
      <c r="A295" t="s">
        <v>37</v>
      </c>
      <c r="B295">
        <v>2004</v>
      </c>
      <c r="C295" t="s">
        <v>30</v>
      </c>
      <c r="D295">
        <v>123.65860790000001</v>
      </c>
      <c r="E295">
        <v>2.7036681219999998</v>
      </c>
      <c r="F295">
        <v>0.454578333</v>
      </c>
      <c r="G295">
        <v>34.801026780000001</v>
      </c>
      <c r="H295">
        <v>45.737347309999997</v>
      </c>
      <c r="I295">
        <v>3.8940865379999998</v>
      </c>
      <c r="J295">
        <v>15.398270910000001</v>
      </c>
      <c r="K295">
        <v>9.2859999999999996</v>
      </c>
      <c r="L295">
        <v>7.0309999999999997</v>
      </c>
      <c r="M295">
        <v>0.215000213</v>
      </c>
      <c r="N295">
        <v>9.6010059650000006</v>
      </c>
      <c r="O295">
        <v>0.16813392499999999</v>
      </c>
      <c r="P295">
        <v>84.332999999999998</v>
      </c>
      <c r="Q295">
        <v>54.91</v>
      </c>
      <c r="R295">
        <v>58.218000000000004</v>
      </c>
      <c r="S295">
        <v>1.1857754E-2</v>
      </c>
      <c r="T295">
        <v>0.57999999999999996</v>
      </c>
      <c r="U295">
        <v>64.075999999999993</v>
      </c>
      <c r="V295" s="1" t="str">
        <f>IF(Energy_data_1990___2020[[#This Row],[CO2 emissions from fuel combustion (MtCO2)]]&gt;Energy_data_1990___2020[[#Totals],[CO2 emissions from fuel combustion (MtCO2)]],"Above Average","")</f>
        <v/>
      </c>
      <c r="W295" s="1">
        <f>SUM(Energy_data_1990___2020[[#This Row],[Coal and lignite production (Mt)]]-Energy_data_1990___2020[[#This Row],[Coal and lignite domestic consumption (Mt)]])</f>
        <v>5.8579999999999899</v>
      </c>
    </row>
    <row r="296" spans="1:23">
      <c r="A296" t="s">
        <v>37</v>
      </c>
      <c r="B296">
        <v>2005</v>
      </c>
      <c r="C296" t="s">
        <v>30</v>
      </c>
      <c r="D296">
        <v>119.3475552</v>
      </c>
      <c r="E296">
        <v>2.6394132529999998</v>
      </c>
      <c r="F296">
        <v>0.41182417599999999</v>
      </c>
      <c r="G296">
        <v>33.201261549999998</v>
      </c>
      <c r="H296">
        <v>45.217456990000002</v>
      </c>
      <c r="I296">
        <v>4.5762793960000003</v>
      </c>
      <c r="J296">
        <v>15.955082900000001</v>
      </c>
      <c r="K296">
        <v>9.6080000000000005</v>
      </c>
      <c r="L296">
        <v>8.1750000000000007</v>
      </c>
      <c r="M296">
        <v>0.201000235</v>
      </c>
      <c r="N296">
        <v>9.4930106520000006</v>
      </c>
      <c r="O296">
        <v>0.156028684</v>
      </c>
      <c r="P296">
        <v>82.578000000000003</v>
      </c>
      <c r="Q296">
        <v>55.973999999999997</v>
      </c>
      <c r="R296">
        <v>56.923999999999999</v>
      </c>
      <c r="S296">
        <v>2.5430502000000001E-2</v>
      </c>
      <c r="T296">
        <v>0.58899999999999997</v>
      </c>
      <c r="U296">
        <v>62.026000000000003</v>
      </c>
      <c r="V296" s="1" t="str">
        <f>IF(Energy_data_1990___2020[[#This Row],[CO2 emissions from fuel combustion (MtCO2)]]&gt;Energy_data_1990___2020[[#Totals],[CO2 emissions from fuel combustion (MtCO2)]],"Above Average","")</f>
        <v/>
      </c>
      <c r="W296" s="1">
        <f>SUM(Energy_data_1990___2020[[#This Row],[Coal and lignite production (Mt)]]-Energy_data_1990___2020[[#This Row],[Coal and lignite domestic consumption (Mt)]])</f>
        <v>5.1020000000000039</v>
      </c>
    </row>
    <row r="297" spans="1:23">
      <c r="A297" t="s">
        <v>37</v>
      </c>
      <c r="B297">
        <v>2006</v>
      </c>
      <c r="C297" t="s">
        <v>30</v>
      </c>
      <c r="D297">
        <v>120.0186308</v>
      </c>
      <c r="E297">
        <v>2.5950278529999999</v>
      </c>
      <c r="F297">
        <v>0.387577124</v>
      </c>
      <c r="G297">
        <v>33.853434909999997</v>
      </c>
      <c r="H297">
        <v>46.249457640000003</v>
      </c>
      <c r="I297">
        <v>5.0106091680000002</v>
      </c>
      <c r="J297">
        <v>16.272908780000002</v>
      </c>
      <c r="K297">
        <v>9.5229999999999997</v>
      </c>
      <c r="L297">
        <v>8.2189999999999994</v>
      </c>
      <c r="M297">
        <v>0.19400023199999999</v>
      </c>
      <c r="N297">
        <v>9.2919968649999998</v>
      </c>
      <c r="O297">
        <v>0.14935374300000001</v>
      </c>
      <c r="P297">
        <v>84.361000000000004</v>
      </c>
      <c r="Q297">
        <v>57.631</v>
      </c>
      <c r="R297">
        <v>57.231000000000002</v>
      </c>
      <c r="S297">
        <v>5.9269094000000001E-2</v>
      </c>
      <c r="T297">
        <v>0.44500000000000001</v>
      </c>
      <c r="U297">
        <v>62.902999999999999</v>
      </c>
      <c r="V297" s="1" t="str">
        <f>IF(Energy_data_1990___2020[[#This Row],[CO2 emissions from fuel combustion (MtCO2)]]&gt;Energy_data_1990___2020[[#Totals],[CO2 emissions from fuel combustion (MtCO2)]],"Above Average","")</f>
        <v/>
      </c>
      <c r="W297" s="1">
        <f>SUM(Energy_data_1990___2020[[#This Row],[Coal and lignite production (Mt)]]-Energy_data_1990___2020[[#This Row],[Coal and lignite domestic consumption (Mt)]])</f>
        <v>5.671999999999997</v>
      </c>
    </row>
    <row r="298" spans="1:23">
      <c r="A298" t="s">
        <v>37</v>
      </c>
      <c r="B298">
        <v>2007</v>
      </c>
      <c r="C298" t="s">
        <v>30</v>
      </c>
      <c r="D298">
        <v>122.913325</v>
      </c>
      <c r="E298">
        <v>2.661570094</v>
      </c>
      <c r="F298">
        <v>0.37586652100000001</v>
      </c>
      <c r="G298">
        <v>33.965379830000003</v>
      </c>
      <c r="H298">
        <v>46.180758220000001</v>
      </c>
      <c r="I298">
        <v>4.3583754729999997</v>
      </c>
      <c r="J298">
        <v>16.79597064</v>
      </c>
      <c r="K298">
        <v>9.5039999999999996</v>
      </c>
      <c r="L298">
        <v>7.7969999999999997</v>
      </c>
      <c r="M298">
        <v>0.20099999499999999</v>
      </c>
      <c r="N298">
        <v>8.7400068330000007</v>
      </c>
      <c r="O298">
        <v>0.14121984700000001</v>
      </c>
      <c r="P298">
        <v>88.197999999999993</v>
      </c>
      <c r="Q298">
        <v>57.89</v>
      </c>
      <c r="R298">
        <v>58.508000000000003</v>
      </c>
      <c r="S298">
        <v>0.14399419499999999</v>
      </c>
      <c r="T298">
        <v>0.434</v>
      </c>
      <c r="U298">
        <v>62.625999999999998</v>
      </c>
      <c r="V298" s="1" t="str">
        <f>IF(Energy_data_1990___2020[[#This Row],[CO2 emissions from fuel combustion (MtCO2)]]&gt;Energy_data_1990___2020[[#Totals],[CO2 emissions from fuel combustion (MtCO2)]],"Above Average","")</f>
        <v/>
      </c>
      <c r="W298" s="1">
        <f>SUM(Energy_data_1990___2020[[#This Row],[Coal and lignite production (Mt)]]-Energy_data_1990___2020[[#This Row],[Coal and lignite domestic consumption (Mt)]])</f>
        <v>4.117999999999995</v>
      </c>
    </row>
    <row r="299" spans="1:23">
      <c r="A299" t="s">
        <v>37</v>
      </c>
      <c r="B299">
        <v>2008</v>
      </c>
      <c r="C299" t="s">
        <v>30</v>
      </c>
      <c r="D299">
        <v>117.7275803</v>
      </c>
      <c r="E299">
        <v>2.60104756</v>
      </c>
      <c r="F299">
        <v>0.350604415</v>
      </c>
      <c r="G299">
        <v>33.145429450000002</v>
      </c>
      <c r="H299">
        <v>45.261602349999997</v>
      </c>
      <c r="I299">
        <v>4.8812270609999997</v>
      </c>
      <c r="J299">
        <v>16.945250219999998</v>
      </c>
      <c r="K299">
        <v>9.5619999999999994</v>
      </c>
      <c r="L299">
        <v>8.6270000000000007</v>
      </c>
      <c r="M299">
        <v>0.19900020299999999</v>
      </c>
      <c r="N299">
        <v>8.6870001370000001</v>
      </c>
      <c r="O299">
        <v>0.13479354199999999</v>
      </c>
      <c r="P299">
        <v>83.647000000000006</v>
      </c>
      <c r="Q299">
        <v>58.585999999999999</v>
      </c>
      <c r="R299">
        <v>55.061</v>
      </c>
      <c r="S299">
        <v>0.30843903499999997</v>
      </c>
      <c r="T299">
        <v>0.34799999999999998</v>
      </c>
      <c r="U299">
        <v>60.2</v>
      </c>
      <c r="V299" s="1" t="str">
        <f>IF(Energy_data_1990___2020[[#This Row],[CO2 emissions from fuel combustion (MtCO2)]]&gt;Energy_data_1990___2020[[#Totals],[CO2 emissions from fuel combustion (MtCO2)]],"Above Average","")</f>
        <v/>
      </c>
      <c r="W299" s="1">
        <f>SUM(Energy_data_1990___2020[[#This Row],[Coal and lignite production (Mt)]]-Energy_data_1990___2020[[#This Row],[Coal and lignite domestic consumption (Mt)]])</f>
        <v>5.1390000000000029</v>
      </c>
    </row>
    <row r="300" spans="1:23">
      <c r="A300" t="s">
        <v>37</v>
      </c>
      <c r="B300">
        <v>2009</v>
      </c>
      <c r="C300" t="s">
        <v>30</v>
      </c>
      <c r="D300">
        <v>110.00828009999999</v>
      </c>
      <c r="E300">
        <v>2.5855575449999999</v>
      </c>
      <c r="F300">
        <v>0.34414330300000001</v>
      </c>
      <c r="G300">
        <v>31.66006776</v>
      </c>
      <c r="H300">
        <v>42.54721782</v>
      </c>
      <c r="I300">
        <v>6.3357060289999998</v>
      </c>
      <c r="J300">
        <v>16.877491580000001</v>
      </c>
      <c r="K300">
        <v>9.0030000000000001</v>
      </c>
      <c r="L300">
        <v>7.6829999999999998</v>
      </c>
      <c r="M300">
        <v>0.22499993300000001</v>
      </c>
      <c r="N300">
        <v>8.2270097440000001</v>
      </c>
      <c r="O300">
        <v>0.133102163</v>
      </c>
      <c r="P300">
        <v>82.185000000000002</v>
      </c>
      <c r="Q300">
        <v>55.337000000000003</v>
      </c>
      <c r="R300">
        <v>51.93</v>
      </c>
      <c r="S300">
        <v>0.45872117800000001</v>
      </c>
      <c r="T300">
        <v>0.31</v>
      </c>
      <c r="U300">
        <v>56.417000000000002</v>
      </c>
      <c r="V300" s="1" t="str">
        <f>IF(Energy_data_1990___2020[[#This Row],[CO2 emissions from fuel combustion (MtCO2)]]&gt;Energy_data_1990___2020[[#Totals],[CO2 emissions from fuel combustion (MtCO2)]],"Above Average","")</f>
        <v/>
      </c>
      <c r="W300" s="1">
        <f>SUM(Energy_data_1990___2020[[#This Row],[Coal and lignite production (Mt)]]-Energy_data_1990___2020[[#This Row],[Coal and lignite domestic consumption (Mt)]])</f>
        <v>4.4870000000000019</v>
      </c>
    </row>
    <row r="301" spans="1:23">
      <c r="A301" t="s">
        <v>37</v>
      </c>
      <c r="B301">
        <v>2010</v>
      </c>
      <c r="C301" t="s">
        <v>30</v>
      </c>
      <c r="D301">
        <v>113.6746084</v>
      </c>
      <c r="E301">
        <v>2.520574007</v>
      </c>
      <c r="F301">
        <v>0.34770796199999998</v>
      </c>
      <c r="G301">
        <v>32.054253920000001</v>
      </c>
      <c r="H301">
        <v>45.098698990000003</v>
      </c>
      <c r="I301">
        <v>7.5585253129999996</v>
      </c>
      <c r="J301">
        <v>16.812696389999999</v>
      </c>
      <c r="K301">
        <v>8.8040000000000003</v>
      </c>
      <c r="L301">
        <v>8.2010000000000005</v>
      </c>
      <c r="M301">
        <v>0.24600007300000001</v>
      </c>
      <c r="N301">
        <v>9.2800006289999999</v>
      </c>
      <c r="O301">
        <v>0.137947928</v>
      </c>
      <c r="P301">
        <v>85.903000000000006</v>
      </c>
      <c r="Q301">
        <v>56.173000000000002</v>
      </c>
      <c r="R301">
        <v>52.129746269999998</v>
      </c>
      <c r="S301">
        <v>1.2060114310000001</v>
      </c>
      <c r="T301">
        <v>0.27200000000000002</v>
      </c>
      <c r="U301">
        <v>55.366999999999997</v>
      </c>
      <c r="V301" s="1" t="str">
        <f>IF(Energy_data_1990___2020[[#This Row],[CO2 emissions from fuel combustion (MtCO2)]]&gt;Energy_data_1990___2020[[#Totals],[CO2 emissions from fuel combustion (MtCO2)]],"Above Average","")</f>
        <v/>
      </c>
      <c r="W301" s="1">
        <f>SUM(Energy_data_1990___2020[[#This Row],[Coal and lignite production (Mt)]]-Energy_data_1990___2020[[#This Row],[Coal and lignite domestic consumption (Mt)]])</f>
        <v>3.2372537299999991</v>
      </c>
    </row>
    <row r="302" spans="1:23">
      <c r="A302" t="s">
        <v>37</v>
      </c>
      <c r="B302">
        <v>2011</v>
      </c>
      <c r="C302" t="s">
        <v>30</v>
      </c>
      <c r="D302">
        <v>110.10340100000001</v>
      </c>
      <c r="E302">
        <v>2.5312293499999998</v>
      </c>
      <c r="F302">
        <v>0.33090147399999997</v>
      </c>
      <c r="G302">
        <v>32.614156649999998</v>
      </c>
      <c r="H302">
        <v>43.497994749999997</v>
      </c>
      <c r="I302">
        <v>9.0869600009999996</v>
      </c>
      <c r="J302">
        <v>17.26534367</v>
      </c>
      <c r="K302">
        <v>8.5269999999999992</v>
      </c>
      <c r="L302">
        <v>7.4489999999999998</v>
      </c>
      <c r="M302">
        <v>0.23500010700000001</v>
      </c>
      <c r="N302">
        <v>8.4129893360000008</v>
      </c>
      <c r="O302">
        <v>0.13072757500000001</v>
      </c>
      <c r="P302">
        <v>87.477000000000004</v>
      </c>
      <c r="Q302">
        <v>55.747</v>
      </c>
      <c r="R302">
        <v>52.836069600000002</v>
      </c>
      <c r="S302">
        <v>3.0442287690000001</v>
      </c>
      <c r="T302">
        <v>0.34899999999999998</v>
      </c>
      <c r="U302">
        <v>58.08</v>
      </c>
      <c r="V302" s="1" t="str">
        <f>IF(Energy_data_1990___2020[[#This Row],[CO2 emissions from fuel combustion (MtCO2)]]&gt;Energy_data_1990___2020[[#Totals],[CO2 emissions from fuel combustion (MtCO2)]],"Above Average","")</f>
        <v/>
      </c>
      <c r="W302" s="1">
        <f>SUM(Energy_data_1990___2020[[#This Row],[Coal and lignite production (Mt)]]-Energy_data_1990___2020[[#This Row],[Coal and lignite domestic consumption (Mt)]])</f>
        <v>5.2439303999999964</v>
      </c>
    </row>
    <row r="303" spans="1:23">
      <c r="A303" t="s">
        <v>37</v>
      </c>
      <c r="B303">
        <v>2012</v>
      </c>
      <c r="C303" t="s">
        <v>30</v>
      </c>
      <c r="D303">
        <v>106.73244699999999</v>
      </c>
      <c r="E303">
        <v>2.4698427270000001</v>
      </c>
      <c r="F303">
        <v>0.323356861</v>
      </c>
      <c r="G303">
        <v>32.674929110000001</v>
      </c>
      <c r="H303">
        <v>43.214268599999997</v>
      </c>
      <c r="I303">
        <v>10.062000960000001</v>
      </c>
      <c r="J303">
        <v>17.255533679999999</v>
      </c>
      <c r="K303">
        <v>8.4489999999999998</v>
      </c>
      <c r="L303">
        <v>7.6269999999999998</v>
      </c>
      <c r="M303">
        <v>0.26300001299999998</v>
      </c>
      <c r="N303">
        <v>8.3859890830000001</v>
      </c>
      <c r="O303">
        <v>0.13092204499999999</v>
      </c>
      <c r="P303">
        <v>87.418000000000006</v>
      </c>
      <c r="Q303">
        <v>55.984000000000002</v>
      </c>
      <c r="R303">
        <v>50.496805379999998</v>
      </c>
      <c r="S303">
        <v>3.0188290740000001</v>
      </c>
      <c r="T303">
        <v>0.32700000000000001</v>
      </c>
      <c r="U303">
        <v>55.185000000000002</v>
      </c>
      <c r="V303" s="1" t="str">
        <f>IF(Energy_data_1990___2020[[#This Row],[CO2 emissions from fuel combustion (MtCO2)]]&gt;Energy_data_1990___2020[[#Totals],[CO2 emissions from fuel combustion (MtCO2)]],"Above Average","")</f>
        <v/>
      </c>
      <c r="W303" s="1">
        <f>SUM(Energy_data_1990___2020[[#This Row],[Coal and lignite production (Mt)]]-Energy_data_1990___2020[[#This Row],[Coal and lignite domestic consumption (Mt)]])</f>
        <v>4.6881946200000044</v>
      </c>
    </row>
    <row r="304" spans="1:23">
      <c r="A304" t="s">
        <v>37</v>
      </c>
      <c r="B304">
        <v>2013</v>
      </c>
      <c r="C304" t="s">
        <v>30</v>
      </c>
      <c r="D304">
        <v>102.6404862</v>
      </c>
      <c r="E304">
        <v>2.3767863980000001</v>
      </c>
      <c r="F304">
        <v>0.31247118000000002</v>
      </c>
      <c r="G304">
        <v>30.591406880000001</v>
      </c>
      <c r="H304">
        <v>43.184564780000002</v>
      </c>
      <c r="I304">
        <v>11.75198187</v>
      </c>
      <c r="J304">
        <v>17.2239246</v>
      </c>
      <c r="K304">
        <v>8.1029999999999998</v>
      </c>
      <c r="L304">
        <v>7.0060000000000002</v>
      </c>
      <c r="M304">
        <v>0.25200003199999998</v>
      </c>
      <c r="N304">
        <v>8.4659942360000002</v>
      </c>
      <c r="O304">
        <v>0.13146792700000001</v>
      </c>
      <c r="P304">
        <v>86.912999999999997</v>
      </c>
      <c r="Q304">
        <v>55.137</v>
      </c>
      <c r="R304">
        <v>47.579656020000002</v>
      </c>
      <c r="S304">
        <v>2.9788409100000002</v>
      </c>
      <c r="T304">
        <v>0.26200000000000001</v>
      </c>
      <c r="U304">
        <v>49.131</v>
      </c>
      <c r="V304" s="1" t="str">
        <f>IF(Energy_data_1990___2020[[#This Row],[CO2 emissions from fuel combustion (MtCO2)]]&gt;Energy_data_1990___2020[[#Totals],[CO2 emissions from fuel combustion (MtCO2)]],"Above Average","")</f>
        <v/>
      </c>
      <c r="W304" s="1">
        <f>SUM(Energy_data_1990___2020[[#This Row],[Coal and lignite production (Mt)]]-Energy_data_1990___2020[[#This Row],[Coal and lignite domestic consumption (Mt)]])</f>
        <v>1.5513439799999986</v>
      </c>
    </row>
    <row r="305" spans="1:23">
      <c r="A305" t="s">
        <v>37</v>
      </c>
      <c r="B305">
        <v>2014</v>
      </c>
      <c r="C305" t="s">
        <v>30</v>
      </c>
      <c r="D305">
        <v>100.0194034</v>
      </c>
      <c r="E305">
        <v>2.384965529</v>
      </c>
      <c r="F305">
        <v>0.29644297600000002</v>
      </c>
      <c r="G305">
        <v>29.819357490000002</v>
      </c>
      <c r="H305">
        <v>41.9374629</v>
      </c>
      <c r="I305">
        <v>11.867948180000001</v>
      </c>
      <c r="J305">
        <v>17.5074118</v>
      </c>
      <c r="K305">
        <v>8.6389999999999993</v>
      </c>
      <c r="L305">
        <v>7.8810000000000002</v>
      </c>
      <c r="M305">
        <v>0.25900025199999999</v>
      </c>
      <c r="N305">
        <v>7.5220095520000001</v>
      </c>
      <c r="O305">
        <v>0.12429654599999999</v>
      </c>
      <c r="P305">
        <v>86.147999999999996</v>
      </c>
      <c r="Q305">
        <v>55.098999999999997</v>
      </c>
      <c r="R305">
        <v>46.282119289999997</v>
      </c>
      <c r="S305">
        <v>3.1097645909999998</v>
      </c>
      <c r="T305">
        <v>0.26800000000000002</v>
      </c>
      <c r="U305">
        <v>47.076999999999998</v>
      </c>
      <c r="V305" s="1" t="str">
        <f>IF(Energy_data_1990___2020[[#This Row],[CO2 emissions from fuel combustion (MtCO2)]]&gt;Energy_data_1990___2020[[#Totals],[CO2 emissions from fuel combustion (MtCO2)]],"Above Average","")</f>
        <v/>
      </c>
      <c r="W305" s="1">
        <f>SUM(Energy_data_1990___2020[[#This Row],[Coal and lignite production (Mt)]]-Energy_data_1990___2020[[#This Row],[Coal and lignite domestic consumption (Mt)]])</f>
        <v>0.79488071000000105</v>
      </c>
    </row>
    <row r="306" spans="1:23">
      <c r="A306" t="s">
        <v>37</v>
      </c>
      <c r="B306">
        <v>2015</v>
      </c>
      <c r="C306" t="s">
        <v>30</v>
      </c>
      <c r="D306">
        <v>100.89972040000001</v>
      </c>
      <c r="E306">
        <v>2.4029948249999999</v>
      </c>
      <c r="F306">
        <v>0.28397518799999999</v>
      </c>
      <c r="G306">
        <v>28.891623490000001</v>
      </c>
      <c r="H306">
        <v>41.989154249999999</v>
      </c>
      <c r="I306">
        <v>12.752109859999999</v>
      </c>
      <c r="J306">
        <v>17.780849280000002</v>
      </c>
      <c r="K306">
        <v>8.4920000000000009</v>
      </c>
      <c r="L306">
        <v>7.5359999999999996</v>
      </c>
      <c r="M306">
        <v>0.247000303</v>
      </c>
      <c r="N306">
        <v>7.8679979229999999</v>
      </c>
      <c r="O306">
        <v>0.11817553</v>
      </c>
      <c r="P306">
        <v>83.891999999999996</v>
      </c>
      <c r="Q306">
        <v>56.398000000000003</v>
      </c>
      <c r="R306">
        <v>46.075409960000002</v>
      </c>
      <c r="S306">
        <v>3.4758975830000001</v>
      </c>
      <c r="T306">
        <v>0.216</v>
      </c>
      <c r="U306">
        <v>46.530999999999999</v>
      </c>
      <c r="V306" s="1" t="str">
        <f>IF(Energy_data_1990___2020[[#This Row],[CO2 emissions from fuel combustion (MtCO2)]]&gt;Energy_data_1990___2020[[#Totals],[CO2 emissions from fuel combustion (MtCO2)]],"Above Average","")</f>
        <v/>
      </c>
      <c r="W306" s="1">
        <f>SUM(Energy_data_1990___2020[[#This Row],[Coal and lignite production (Mt)]]-Energy_data_1990___2020[[#This Row],[Coal and lignite domestic consumption (Mt)]])</f>
        <v>0.45559003999999703</v>
      </c>
    </row>
    <row r="307" spans="1:23">
      <c r="A307" t="s">
        <v>37</v>
      </c>
      <c r="B307">
        <v>2016</v>
      </c>
      <c r="C307" t="s">
        <v>30</v>
      </c>
      <c r="D307">
        <v>102.3413501</v>
      </c>
      <c r="E307">
        <v>2.4685571949999998</v>
      </c>
      <c r="F307">
        <v>0.28114302499999999</v>
      </c>
      <c r="G307">
        <v>27.369536950000001</v>
      </c>
      <c r="H307">
        <v>41.457961879999999</v>
      </c>
      <c r="I307">
        <v>12.70691042</v>
      </c>
      <c r="J307">
        <v>18.270656299999999</v>
      </c>
      <c r="K307">
        <v>7.774</v>
      </c>
      <c r="L307">
        <v>5.6040000000000001</v>
      </c>
      <c r="M307">
        <v>0.21800008800000001</v>
      </c>
      <c r="N307">
        <v>8.4909964979999994</v>
      </c>
      <c r="O307">
        <v>0.113889613</v>
      </c>
      <c r="P307">
        <v>83.308999999999997</v>
      </c>
      <c r="Q307">
        <v>57.642000000000003</v>
      </c>
      <c r="R307">
        <v>46.126702029999997</v>
      </c>
      <c r="S307">
        <v>3.2481484589999998</v>
      </c>
      <c r="T307">
        <v>0.192</v>
      </c>
      <c r="U307">
        <v>45.542999999999999</v>
      </c>
      <c r="V307" s="1" t="str">
        <f>IF(Energy_data_1990___2020[[#This Row],[CO2 emissions from fuel combustion (MtCO2)]]&gt;Energy_data_1990___2020[[#Totals],[CO2 emissions from fuel combustion (MtCO2)]],"Above Average","")</f>
        <v/>
      </c>
      <c r="W307" s="1">
        <f>SUM(Energy_data_1990___2020[[#This Row],[Coal and lignite production (Mt)]]-Energy_data_1990___2020[[#This Row],[Coal and lignite domestic consumption (Mt)]])</f>
        <v>-0.58370202999999776</v>
      </c>
    </row>
    <row r="308" spans="1:23">
      <c r="A308" t="s">
        <v>37</v>
      </c>
      <c r="B308">
        <v>2017</v>
      </c>
      <c r="C308" t="s">
        <v>30</v>
      </c>
      <c r="D308">
        <v>103.84201830000001</v>
      </c>
      <c r="E308">
        <v>2.397997589</v>
      </c>
      <c r="F308">
        <v>0.27336694700000003</v>
      </c>
      <c r="G308">
        <v>27.713425130000001</v>
      </c>
      <c r="H308">
        <v>43.303637500000001</v>
      </c>
      <c r="I308">
        <v>12.39663558</v>
      </c>
      <c r="J308">
        <v>17.589256200000001</v>
      </c>
      <c r="K308">
        <v>9.1460000000000008</v>
      </c>
      <c r="L308">
        <v>8.1829999999999998</v>
      </c>
      <c r="M308">
        <v>0.22900005700000001</v>
      </c>
      <c r="N308">
        <v>8.7269932659999991</v>
      </c>
      <c r="O308">
        <v>0.113998008</v>
      </c>
      <c r="P308">
        <v>87.050263999999999</v>
      </c>
      <c r="Q308">
        <v>59.122968</v>
      </c>
      <c r="R308">
        <v>45.888747330000001</v>
      </c>
      <c r="S308">
        <v>3.2964943099999999</v>
      </c>
      <c r="T308">
        <v>0.23100000000000001</v>
      </c>
      <c r="U308">
        <v>44.906773999999999</v>
      </c>
      <c r="V308" s="1" t="str">
        <f>IF(Energy_data_1990___2020[[#This Row],[CO2 emissions from fuel combustion (MtCO2)]]&gt;Energy_data_1990___2020[[#Totals],[CO2 emissions from fuel combustion (MtCO2)]],"Above Average","")</f>
        <v/>
      </c>
      <c r="W308" s="1">
        <f>SUM(Energy_data_1990___2020[[#This Row],[Coal and lignite production (Mt)]]-Energy_data_1990___2020[[#This Row],[Coal and lignite domestic consumption (Mt)]])</f>
        <v>-0.98197333000000242</v>
      </c>
    </row>
    <row r="309" spans="1:23">
      <c r="A309" t="s">
        <v>37</v>
      </c>
      <c r="B309">
        <v>2018</v>
      </c>
      <c r="C309" t="s">
        <v>30</v>
      </c>
      <c r="D309">
        <v>102.60895530000001</v>
      </c>
      <c r="E309">
        <v>2.370808738</v>
      </c>
      <c r="F309">
        <v>0.262360808</v>
      </c>
      <c r="G309">
        <v>27.65468667</v>
      </c>
      <c r="H309">
        <v>43.280148949999997</v>
      </c>
      <c r="I309">
        <v>11.90010949</v>
      </c>
      <c r="J309">
        <v>17.901788809999999</v>
      </c>
      <c r="K309">
        <v>9.2080000000000002</v>
      </c>
      <c r="L309">
        <v>7.8479999999999999</v>
      </c>
      <c r="M309">
        <v>0.21773910799999999</v>
      </c>
      <c r="N309">
        <v>8.2676280119999994</v>
      </c>
      <c r="O309">
        <v>0.110663</v>
      </c>
      <c r="P309">
        <v>88.032021999999998</v>
      </c>
      <c r="Q309">
        <v>59.765357999999999</v>
      </c>
      <c r="R309">
        <v>45.474093519999997</v>
      </c>
      <c r="S309">
        <v>3.4727510860000002</v>
      </c>
      <c r="T309">
        <v>0.222</v>
      </c>
      <c r="U309">
        <v>43.765593000000003</v>
      </c>
      <c r="V309" s="1" t="str">
        <f>IF(Energy_data_1990___2020[[#This Row],[CO2 emissions from fuel combustion (MtCO2)]]&gt;Energy_data_1990___2020[[#Totals],[CO2 emissions from fuel combustion (MtCO2)]],"Above Average","")</f>
        <v/>
      </c>
      <c r="W309" s="1">
        <f>SUM(Energy_data_1990___2020[[#This Row],[Coal and lignite production (Mt)]]-Energy_data_1990___2020[[#This Row],[Coal and lignite domestic consumption (Mt)]])</f>
        <v>-1.7085005199999941</v>
      </c>
    </row>
    <row r="310" spans="1:23">
      <c r="A310" t="s">
        <v>37</v>
      </c>
      <c r="B310">
        <v>2019</v>
      </c>
      <c r="C310" t="s">
        <v>30</v>
      </c>
      <c r="D310">
        <v>98.014369470000005</v>
      </c>
      <c r="E310">
        <v>2.293012144</v>
      </c>
      <c r="F310">
        <v>0.24489462300000001</v>
      </c>
      <c r="G310">
        <v>26.673213369999999</v>
      </c>
      <c r="H310">
        <v>42.744810469999997</v>
      </c>
      <c r="I310">
        <v>12.89039066</v>
      </c>
      <c r="J310">
        <v>18.078063620000002</v>
      </c>
      <c r="K310">
        <v>9.2685615129999999</v>
      </c>
      <c r="L310">
        <v>8.1147139429999999</v>
      </c>
      <c r="M310">
        <v>0.209170144</v>
      </c>
      <c r="N310">
        <v>8.6787426990000007</v>
      </c>
      <c r="O310">
        <v>0.106800404</v>
      </c>
      <c r="P310">
        <v>87.030602000000002</v>
      </c>
      <c r="Q310">
        <v>60.222836260000001</v>
      </c>
      <c r="R310">
        <v>41.341607979999999</v>
      </c>
      <c r="S310">
        <v>3.5746388649999998</v>
      </c>
      <c r="T310">
        <v>0.17807200500000001</v>
      </c>
      <c r="U310">
        <v>40.020570489999997</v>
      </c>
      <c r="V310" s="1" t="str">
        <f>IF(Energy_data_1990___2020[[#This Row],[CO2 emissions from fuel combustion (MtCO2)]]&gt;Energy_data_1990___2020[[#Totals],[CO2 emissions from fuel combustion (MtCO2)]],"Above Average","")</f>
        <v/>
      </c>
      <c r="W310" s="1">
        <f>SUM(Energy_data_1990___2020[[#This Row],[Coal and lignite production (Mt)]]-Energy_data_1990___2020[[#This Row],[Coal and lignite domestic consumption (Mt)]])</f>
        <v>-1.3210374900000019</v>
      </c>
    </row>
    <row r="311" spans="1:23">
      <c r="A311" t="s">
        <v>37</v>
      </c>
      <c r="B311">
        <v>2020</v>
      </c>
      <c r="C311" t="s">
        <v>30</v>
      </c>
      <c r="D311">
        <v>85.355379310000004</v>
      </c>
      <c r="E311">
        <v>2.1750317259999998</v>
      </c>
      <c r="F311">
        <v>0.226156307</v>
      </c>
      <c r="G311">
        <v>23.273925120000001</v>
      </c>
      <c r="H311">
        <v>39.243280130000002</v>
      </c>
      <c r="I311">
        <v>14.263439050000001</v>
      </c>
      <c r="J311">
        <v>18.802177579999999</v>
      </c>
      <c r="K311">
        <v>8.2087407120000009</v>
      </c>
      <c r="L311">
        <v>6.3551381920000001</v>
      </c>
      <c r="M311">
        <v>0.19615956000000001</v>
      </c>
      <c r="N311">
        <v>8.8187062950000001</v>
      </c>
      <c r="O311">
        <v>0.103978395</v>
      </c>
      <c r="P311">
        <v>81.484415530000007</v>
      </c>
      <c r="Q311">
        <v>58.156297330000001</v>
      </c>
      <c r="R311">
        <v>33.078802019999998</v>
      </c>
      <c r="S311">
        <v>3.7490094749999998</v>
      </c>
      <c r="T311">
        <v>0.103784298</v>
      </c>
      <c r="U311">
        <v>30.948056149999999</v>
      </c>
      <c r="V311" s="1" t="str">
        <f>IF(Energy_data_1990___2020[[#This Row],[CO2 emissions from fuel combustion (MtCO2)]]&gt;Energy_data_1990___2020[[#Totals],[CO2 emissions from fuel combustion (MtCO2)]],"Above Average","")</f>
        <v/>
      </c>
      <c r="W311" s="1">
        <f>SUM(Energy_data_1990___2020[[#This Row],[Coal and lignite production (Mt)]]-Energy_data_1990___2020[[#This Row],[Coal and lignite domestic consumption (Mt)]])</f>
        <v>-2.1307458699999984</v>
      </c>
    </row>
    <row r="312" spans="1:23">
      <c r="A312" t="s">
        <v>38</v>
      </c>
      <c r="B312">
        <v>1990</v>
      </c>
      <c r="C312" t="s">
        <v>39</v>
      </c>
      <c r="D312">
        <v>78.403283349999995</v>
      </c>
      <c r="E312">
        <v>2.3718348749999998</v>
      </c>
      <c r="F312">
        <v>0.213631395</v>
      </c>
      <c r="G312">
        <v>55.672725159999999</v>
      </c>
      <c r="H312">
        <v>33.055961940000003</v>
      </c>
      <c r="I312">
        <v>23.504354410000001</v>
      </c>
      <c r="J312">
        <v>13.144622289999999</v>
      </c>
      <c r="K312">
        <v>20.523</v>
      </c>
      <c r="L312">
        <v>24.045000000000002</v>
      </c>
      <c r="M312">
        <v>8.2420000000000009</v>
      </c>
      <c r="N312">
        <v>8.2420063690000003</v>
      </c>
      <c r="O312">
        <v>9.0070096000000002E-2</v>
      </c>
      <c r="P312">
        <v>42.256</v>
      </c>
      <c r="Q312">
        <v>36.201999999999998</v>
      </c>
      <c r="R312">
        <v>1.1990000000000001</v>
      </c>
      <c r="S312">
        <v>0</v>
      </c>
      <c r="T312">
        <v>45.499000000000002</v>
      </c>
      <c r="U312">
        <v>0</v>
      </c>
      <c r="V312" s="1" t="str">
        <f>IF(Energy_data_1990___2020[[#This Row],[CO2 emissions from fuel combustion (MtCO2)]]&gt;Energy_data_1990___2020[[#Totals],[CO2 emissions from fuel combustion (MtCO2)]],"Above Average","")</f>
        <v/>
      </c>
      <c r="W312" s="1">
        <f>SUM(Energy_data_1990___2020[[#This Row],[Coal and lignite production (Mt)]]-Energy_data_1990___2020[[#This Row],[Coal and lignite domestic consumption (Mt)]])</f>
        <v>-1.1990000000000001</v>
      </c>
    </row>
    <row r="313" spans="1:23">
      <c r="A313" t="s">
        <v>38</v>
      </c>
      <c r="B313">
        <v>1991</v>
      </c>
      <c r="C313" t="s">
        <v>39</v>
      </c>
      <c r="D313">
        <v>77.431712169999997</v>
      </c>
      <c r="E313">
        <v>2.3428225060000001</v>
      </c>
      <c r="F313">
        <v>0.208636081</v>
      </c>
      <c r="G313">
        <v>56.31223121</v>
      </c>
      <c r="H313">
        <v>33.05060967</v>
      </c>
      <c r="I313">
        <v>22.349647820000001</v>
      </c>
      <c r="J313">
        <v>14.14226916</v>
      </c>
      <c r="K313">
        <v>19.696000000000002</v>
      </c>
      <c r="L313">
        <v>24.44</v>
      </c>
      <c r="M313">
        <v>9.08</v>
      </c>
      <c r="N313">
        <v>9.0799927369999995</v>
      </c>
      <c r="O313">
        <v>8.9053303E-2</v>
      </c>
      <c r="P313">
        <v>44.295999999999999</v>
      </c>
      <c r="Q313">
        <v>37.975000000000001</v>
      </c>
      <c r="R313">
        <v>1.3069999999999999</v>
      </c>
      <c r="S313">
        <v>0</v>
      </c>
      <c r="T313">
        <v>45.417999999999999</v>
      </c>
      <c r="U313">
        <v>0</v>
      </c>
      <c r="V313" s="1" t="str">
        <f>IF(Energy_data_1990___2020[[#This Row],[CO2 emissions from fuel combustion (MtCO2)]]&gt;Energy_data_1990___2020[[#Totals],[CO2 emissions from fuel combustion (MtCO2)]],"Above Average","")</f>
        <v/>
      </c>
      <c r="W313" s="1">
        <f>SUM(Energy_data_1990___2020[[#This Row],[Coal and lignite production (Mt)]]-Energy_data_1990___2020[[#This Row],[Coal and lignite domestic consumption (Mt)]])</f>
        <v>-1.3069999999999999</v>
      </c>
    </row>
    <row r="314" spans="1:23">
      <c r="A314" t="s">
        <v>38</v>
      </c>
      <c r="B314">
        <v>1992</v>
      </c>
      <c r="C314" t="s">
        <v>39</v>
      </c>
      <c r="D314">
        <v>80.353521200000003</v>
      </c>
      <c r="E314">
        <v>2.3655740010000001</v>
      </c>
      <c r="F314">
        <v>0.20723923799999999</v>
      </c>
      <c r="G314">
        <v>57.369341319999997</v>
      </c>
      <c r="H314">
        <v>33.96787467</v>
      </c>
      <c r="I314">
        <v>21.235605759999999</v>
      </c>
      <c r="J314">
        <v>13.95475772</v>
      </c>
      <c r="K314">
        <v>20.186</v>
      </c>
      <c r="L314">
        <v>24.2</v>
      </c>
      <c r="M314">
        <v>9.7789999999999999</v>
      </c>
      <c r="N314">
        <v>9.7789988369999996</v>
      </c>
      <c r="O314">
        <v>8.7606322E-2</v>
      </c>
      <c r="P314">
        <v>45.677999999999997</v>
      </c>
      <c r="Q314">
        <v>39.009</v>
      </c>
      <c r="R314">
        <v>1.343</v>
      </c>
      <c r="S314">
        <v>0</v>
      </c>
      <c r="T314">
        <v>45.869</v>
      </c>
      <c r="U314">
        <v>0</v>
      </c>
      <c r="V314" s="1" t="str">
        <f>IF(Energy_data_1990___2020[[#This Row],[CO2 emissions from fuel combustion (MtCO2)]]&gt;Energy_data_1990___2020[[#Totals],[CO2 emissions from fuel combustion (MtCO2)]],"Above Average","")</f>
        <v/>
      </c>
      <c r="W314" s="1">
        <f>SUM(Energy_data_1990___2020[[#This Row],[Coal and lignite production (Mt)]]-Energy_data_1990___2020[[#This Row],[Coal and lignite domestic consumption (Mt)]])</f>
        <v>-1.343</v>
      </c>
    </row>
    <row r="315" spans="1:23">
      <c r="A315" t="s">
        <v>38</v>
      </c>
      <c r="B315">
        <v>1993</v>
      </c>
      <c r="C315" t="s">
        <v>39</v>
      </c>
      <c r="D315">
        <v>82.116247090000002</v>
      </c>
      <c r="E315">
        <v>2.333522168</v>
      </c>
      <c r="F315">
        <v>0.205815204</v>
      </c>
      <c r="G315">
        <v>60.60678171</v>
      </c>
      <c r="H315">
        <v>35.189829439999997</v>
      </c>
      <c r="I315">
        <v>21.93698217</v>
      </c>
      <c r="J315">
        <v>13.95447388</v>
      </c>
      <c r="K315">
        <v>19.699000000000002</v>
      </c>
      <c r="L315">
        <v>25.725000000000001</v>
      </c>
      <c r="M315">
        <v>11.544</v>
      </c>
      <c r="N315">
        <v>11.54398975</v>
      </c>
      <c r="O315">
        <v>8.8199377999999995E-2</v>
      </c>
      <c r="P315">
        <v>47.795999999999999</v>
      </c>
      <c r="Q315">
        <v>40.762</v>
      </c>
      <c r="R315">
        <v>1.6140000000000001</v>
      </c>
      <c r="S315">
        <v>0</v>
      </c>
      <c r="T315">
        <v>47.527000000000001</v>
      </c>
      <c r="U315">
        <v>0</v>
      </c>
      <c r="V315" s="1" t="str">
        <f>IF(Energy_data_1990___2020[[#This Row],[CO2 emissions from fuel combustion (MtCO2)]]&gt;Energy_data_1990___2020[[#Totals],[CO2 emissions from fuel combustion (MtCO2)]],"Above Average","")</f>
        <v/>
      </c>
      <c r="W315" s="1">
        <f>SUM(Energy_data_1990___2020[[#This Row],[Coal and lignite production (Mt)]]-Energy_data_1990___2020[[#This Row],[Coal and lignite domestic consumption (Mt)]])</f>
        <v>-1.6140000000000001</v>
      </c>
    </row>
    <row r="316" spans="1:23">
      <c r="A316" t="s">
        <v>38</v>
      </c>
      <c r="B316">
        <v>1994</v>
      </c>
      <c r="C316" t="s">
        <v>39</v>
      </c>
      <c r="D316">
        <v>77.153539230000007</v>
      </c>
      <c r="E316">
        <v>2.2794749209999998</v>
      </c>
      <c r="F316">
        <v>0.18598714199999999</v>
      </c>
      <c r="G316">
        <v>60.003579180000003</v>
      </c>
      <c r="H316">
        <v>33.847066499999997</v>
      </c>
      <c r="I316">
        <v>22.25174428</v>
      </c>
      <c r="J316">
        <v>15.34902228</v>
      </c>
      <c r="K316">
        <v>17.864999999999998</v>
      </c>
      <c r="L316">
        <v>26.678000000000001</v>
      </c>
      <c r="M316">
        <v>11.97501493</v>
      </c>
      <c r="N316">
        <v>11.97501493</v>
      </c>
      <c r="O316">
        <v>8.1592098000000002E-2</v>
      </c>
      <c r="P316">
        <v>49.304000000000002</v>
      </c>
      <c r="Q316">
        <v>42.563000000000002</v>
      </c>
      <c r="R316">
        <v>1.5109999999999999</v>
      </c>
      <c r="S316">
        <v>0</v>
      </c>
      <c r="T316">
        <v>46.497</v>
      </c>
      <c r="U316">
        <v>0</v>
      </c>
      <c r="V316" s="1" t="str">
        <f>IF(Energy_data_1990___2020[[#This Row],[CO2 emissions from fuel combustion (MtCO2)]]&gt;Energy_data_1990___2020[[#Totals],[CO2 emissions from fuel combustion (MtCO2)]],"Above Average","")</f>
        <v/>
      </c>
      <c r="W316" s="1">
        <f>SUM(Energy_data_1990___2020[[#This Row],[Coal and lignite production (Mt)]]-Energy_data_1990___2020[[#This Row],[Coal and lignite domestic consumption (Mt)]])</f>
        <v>-1.5109999999999999</v>
      </c>
    </row>
    <row r="317" spans="1:23">
      <c r="A317" t="s">
        <v>38</v>
      </c>
      <c r="B317">
        <v>1995</v>
      </c>
      <c r="C317" t="s">
        <v>39</v>
      </c>
      <c r="D317">
        <v>82.659217979999994</v>
      </c>
      <c r="E317">
        <v>2.2954474120000001</v>
      </c>
      <c r="F317">
        <v>0.190419063</v>
      </c>
      <c r="G317">
        <v>60.664125460000001</v>
      </c>
      <c r="H317">
        <v>36.010068259999997</v>
      </c>
      <c r="I317">
        <v>21.948076919999998</v>
      </c>
      <c r="J317">
        <v>14.871371379999999</v>
      </c>
      <c r="K317">
        <v>19.451000000000001</v>
      </c>
      <c r="L317">
        <v>27.24</v>
      </c>
      <c r="M317">
        <v>12.593999999999999</v>
      </c>
      <c r="N317">
        <v>12.593999999999999</v>
      </c>
      <c r="O317">
        <v>8.2955097000000005E-2</v>
      </c>
      <c r="P317">
        <v>52</v>
      </c>
      <c r="Q317">
        <v>44.555</v>
      </c>
      <c r="R317">
        <v>1.3140000000000001</v>
      </c>
      <c r="S317">
        <v>0</v>
      </c>
      <c r="T317">
        <v>46.588000000000001</v>
      </c>
      <c r="U317">
        <v>0</v>
      </c>
      <c r="V317" s="1" t="str">
        <f>IF(Energy_data_1990___2020[[#This Row],[CO2 emissions from fuel combustion (MtCO2)]]&gt;Energy_data_1990___2020[[#Totals],[CO2 emissions from fuel combustion (MtCO2)]],"Above Average","")</f>
        <v/>
      </c>
      <c r="W317" s="1">
        <f>SUM(Energy_data_1990___2020[[#This Row],[Coal and lignite production (Mt)]]-Energy_data_1990___2020[[#This Row],[Coal and lignite domestic consumption (Mt)]])</f>
        <v>-1.3140000000000001</v>
      </c>
    </row>
    <row r="318" spans="1:23">
      <c r="A318" t="s">
        <v>38</v>
      </c>
      <c r="B318">
        <v>1996</v>
      </c>
      <c r="C318" t="s">
        <v>39</v>
      </c>
      <c r="D318">
        <v>87.050490890000006</v>
      </c>
      <c r="E318">
        <v>2.281997177</v>
      </c>
      <c r="F318">
        <v>0.19100629099999999</v>
      </c>
      <c r="G318">
        <v>59.518662859999999</v>
      </c>
      <c r="H318">
        <v>38.146625139999998</v>
      </c>
      <c r="I318">
        <v>20.955749000000001</v>
      </c>
      <c r="J318">
        <v>15.446464860000001</v>
      </c>
      <c r="K318">
        <v>20.486000000000001</v>
      </c>
      <c r="L318">
        <v>28.335000000000001</v>
      </c>
      <c r="M318">
        <v>13.026999999999999</v>
      </c>
      <c r="N318">
        <v>13.026999999999999</v>
      </c>
      <c r="O318">
        <v>8.3701369999999997E-2</v>
      </c>
      <c r="P318">
        <v>55.14</v>
      </c>
      <c r="Q318">
        <v>49.139000000000003</v>
      </c>
      <c r="R318">
        <v>1.393</v>
      </c>
      <c r="S318">
        <v>0</v>
      </c>
      <c r="T318">
        <v>45.08</v>
      </c>
      <c r="U318">
        <v>0</v>
      </c>
      <c r="V318" s="1" t="str">
        <f>IF(Energy_data_1990___2020[[#This Row],[CO2 emissions from fuel combustion (MtCO2)]]&gt;Energy_data_1990___2020[[#Totals],[CO2 emissions from fuel combustion (MtCO2)]],"Above Average","")</f>
        <v/>
      </c>
      <c r="W318" s="1">
        <f>SUM(Energy_data_1990___2020[[#This Row],[Coal and lignite production (Mt)]]-Energy_data_1990___2020[[#This Row],[Coal and lignite domestic consumption (Mt)]])</f>
        <v>-1.393</v>
      </c>
    </row>
    <row r="319" spans="1:23">
      <c r="A319" t="s">
        <v>38</v>
      </c>
      <c r="B319">
        <v>1997</v>
      </c>
      <c r="C319" t="s">
        <v>39</v>
      </c>
      <c r="D319">
        <v>93.751047470000003</v>
      </c>
      <c r="E319">
        <v>2.3623124579999999</v>
      </c>
      <c r="F319">
        <v>0.194998643</v>
      </c>
      <c r="G319">
        <v>58.537055090000003</v>
      </c>
      <c r="H319">
        <v>39.686133460000001</v>
      </c>
      <c r="I319">
        <v>20.515848569999999</v>
      </c>
      <c r="J319">
        <v>15.53916207</v>
      </c>
      <c r="K319">
        <v>22.478000000000002</v>
      </c>
      <c r="L319">
        <v>29.286000000000001</v>
      </c>
      <c r="M319">
        <v>13.353</v>
      </c>
      <c r="N319">
        <v>13.353</v>
      </c>
      <c r="O319">
        <v>8.2545661000000006E-2</v>
      </c>
      <c r="P319">
        <v>58.427999999999997</v>
      </c>
      <c r="Q319">
        <v>52.63</v>
      </c>
      <c r="R319">
        <v>1.4259999999999999</v>
      </c>
      <c r="S319">
        <v>0</v>
      </c>
      <c r="T319">
        <v>43.795999999999999</v>
      </c>
      <c r="U319">
        <v>0</v>
      </c>
      <c r="V319" s="1" t="str">
        <f>IF(Energy_data_1990___2020[[#This Row],[CO2 emissions from fuel combustion (MtCO2)]]&gt;Energy_data_1990___2020[[#Totals],[CO2 emissions from fuel combustion (MtCO2)]],"Above Average","")</f>
        <v/>
      </c>
      <c r="W319" s="1">
        <f>SUM(Energy_data_1990___2020[[#This Row],[Coal and lignite production (Mt)]]-Energy_data_1990___2020[[#This Row],[Coal and lignite domestic consumption (Mt)]])</f>
        <v>-1.4259999999999999</v>
      </c>
    </row>
    <row r="320" spans="1:23">
      <c r="A320" t="s">
        <v>38</v>
      </c>
      <c r="B320">
        <v>1998</v>
      </c>
      <c r="C320" t="s">
        <v>39</v>
      </c>
      <c r="D320">
        <v>98.942659250000005</v>
      </c>
      <c r="E320">
        <v>2.3329378369999998</v>
      </c>
      <c r="F320">
        <v>0.19492875200000001</v>
      </c>
      <c r="G320">
        <v>58.047262590000003</v>
      </c>
      <c r="H320">
        <v>42.411185449999998</v>
      </c>
      <c r="I320">
        <v>19.41047549</v>
      </c>
      <c r="J320">
        <v>16.118359640000001</v>
      </c>
      <c r="K320">
        <v>24.065999999999999</v>
      </c>
      <c r="L320">
        <v>29.166</v>
      </c>
      <c r="M320">
        <v>13.742000000000001</v>
      </c>
      <c r="N320">
        <v>13.742000000000001</v>
      </c>
      <c r="O320">
        <v>8.3555056000000003E-2</v>
      </c>
      <c r="P320">
        <v>62.966000000000001</v>
      </c>
      <c r="Q320">
        <v>56.53</v>
      </c>
      <c r="R320">
        <v>1.4339999999999999</v>
      </c>
      <c r="S320">
        <v>0</v>
      </c>
      <c r="T320">
        <v>42.962000000000003</v>
      </c>
      <c r="U320">
        <v>0</v>
      </c>
      <c r="V320" s="1" t="str">
        <f>IF(Energy_data_1990___2020[[#This Row],[CO2 emissions from fuel combustion (MtCO2)]]&gt;Energy_data_1990___2020[[#Totals],[CO2 emissions from fuel combustion (MtCO2)]],"Above Average","")</f>
        <v/>
      </c>
      <c r="W320" s="1">
        <f>SUM(Energy_data_1990___2020[[#This Row],[Coal and lignite production (Mt)]]-Energy_data_1990___2020[[#This Row],[Coal and lignite domestic consumption (Mt)]])</f>
        <v>-1.4339999999999999</v>
      </c>
    </row>
    <row r="321" spans="1:23">
      <c r="A321" t="s">
        <v>38</v>
      </c>
      <c r="B321">
        <v>1999</v>
      </c>
      <c r="C321" t="s">
        <v>39</v>
      </c>
      <c r="D321">
        <v>103.9541201</v>
      </c>
      <c r="E321">
        <v>2.403374012</v>
      </c>
      <c r="F321">
        <v>0.193112006</v>
      </c>
      <c r="G321">
        <v>60.166092980000002</v>
      </c>
      <c r="H321">
        <v>43.253409419999997</v>
      </c>
      <c r="I321">
        <v>21.436601209999999</v>
      </c>
      <c r="J321">
        <v>16.421551239999999</v>
      </c>
      <c r="K321">
        <v>23.638999999999999</v>
      </c>
      <c r="L321">
        <v>27.978000000000002</v>
      </c>
      <c r="M321">
        <v>17.408999040000001</v>
      </c>
      <c r="N321">
        <v>17.408999040000001</v>
      </c>
      <c r="O321">
        <v>8.0350376000000001E-2</v>
      </c>
      <c r="P321">
        <v>68.495000000000005</v>
      </c>
      <c r="Q321">
        <v>60.805999999999997</v>
      </c>
      <c r="R321">
        <v>1.2769999999999999</v>
      </c>
      <c r="S321">
        <v>3.5039054E-2</v>
      </c>
      <c r="T321">
        <v>41.845999999999997</v>
      </c>
      <c r="U321">
        <v>0</v>
      </c>
      <c r="V321" s="1" t="str">
        <f>IF(Energy_data_1990___2020[[#This Row],[CO2 emissions from fuel combustion (MtCO2)]]&gt;Energy_data_1990___2020[[#Totals],[CO2 emissions from fuel combustion (MtCO2)]],"Above Average","")</f>
        <v/>
      </c>
      <c r="W321" s="1">
        <f>SUM(Energy_data_1990___2020[[#This Row],[Coal and lignite production (Mt)]]-Energy_data_1990___2020[[#This Row],[Coal and lignite domestic consumption (Mt)]])</f>
        <v>-1.2769999999999999</v>
      </c>
    </row>
    <row r="322" spans="1:23">
      <c r="A322" t="s">
        <v>38</v>
      </c>
      <c r="B322">
        <v>2000</v>
      </c>
      <c r="C322" t="s">
        <v>39</v>
      </c>
      <c r="D322">
        <v>101.7043309</v>
      </c>
      <c r="E322">
        <v>2.482266562</v>
      </c>
      <c r="F322">
        <v>0.17761835400000001</v>
      </c>
      <c r="G322">
        <v>53.933764889999999</v>
      </c>
      <c r="H322">
        <v>40.972364720000002</v>
      </c>
      <c r="I322">
        <v>17.703441130000002</v>
      </c>
      <c r="J322">
        <v>17.305645559999999</v>
      </c>
      <c r="K322">
        <v>22.501000000000001</v>
      </c>
      <c r="L322">
        <v>25.873999999999999</v>
      </c>
      <c r="M322">
        <v>17.672999999999998</v>
      </c>
      <c r="N322">
        <v>17.672999999999998</v>
      </c>
      <c r="O322">
        <v>7.1554907000000001E-2</v>
      </c>
      <c r="P322">
        <v>78.143000000000001</v>
      </c>
      <c r="Q322">
        <v>64.33</v>
      </c>
      <c r="R322">
        <v>1.5880000000000001</v>
      </c>
      <c r="S322">
        <v>0.17531960599999999</v>
      </c>
      <c r="T322">
        <v>35.539000000000001</v>
      </c>
      <c r="U322">
        <v>0</v>
      </c>
      <c r="V322" s="1" t="str">
        <f>IF(Energy_data_1990___2020[[#This Row],[CO2 emissions from fuel combustion (MtCO2)]]&gt;Energy_data_1990___2020[[#Totals],[CO2 emissions from fuel combustion (MtCO2)]],"Above Average","")</f>
        <v/>
      </c>
      <c r="W322" s="1">
        <f>SUM(Energy_data_1990___2020[[#This Row],[Coal and lignite production (Mt)]]-Energy_data_1990___2020[[#This Row],[Coal and lignite domestic consumption (Mt)]])</f>
        <v>-1.5880000000000001</v>
      </c>
    </row>
    <row r="323" spans="1:23">
      <c r="A323" t="s">
        <v>38</v>
      </c>
      <c r="B323">
        <v>2001</v>
      </c>
      <c r="C323" t="s">
        <v>39</v>
      </c>
      <c r="D323">
        <v>111.6904667</v>
      </c>
      <c r="E323">
        <v>2.3946565230000001</v>
      </c>
      <c r="F323">
        <v>0.18839798599999999</v>
      </c>
      <c r="G323">
        <v>57.859717230000001</v>
      </c>
      <c r="H323">
        <v>46.641539440000003</v>
      </c>
      <c r="I323">
        <v>18.432554450000001</v>
      </c>
      <c r="J323">
        <v>17.365376309999998</v>
      </c>
      <c r="K323">
        <v>22.251999999999999</v>
      </c>
      <c r="L323">
        <v>29.689</v>
      </c>
      <c r="M323">
        <v>23.215</v>
      </c>
      <c r="N323">
        <v>23.215</v>
      </c>
      <c r="O323">
        <v>7.8674325000000003E-2</v>
      </c>
      <c r="P323">
        <v>83.281999999999996</v>
      </c>
      <c r="Q323">
        <v>69.174000000000007</v>
      </c>
      <c r="R323">
        <v>1.4</v>
      </c>
      <c r="S323">
        <v>0.26536346399999999</v>
      </c>
      <c r="T323">
        <v>34.811999999999998</v>
      </c>
      <c r="U323">
        <v>0</v>
      </c>
      <c r="V323" s="1" t="str">
        <f>IF(Energy_data_1990___2020[[#This Row],[CO2 emissions from fuel combustion (MtCO2)]]&gt;Energy_data_1990___2020[[#Totals],[CO2 emissions from fuel combustion (MtCO2)]],"Above Average","")</f>
        <v/>
      </c>
      <c r="W323" s="1">
        <f>SUM(Energy_data_1990___2020[[#This Row],[Coal and lignite production (Mt)]]-Energy_data_1990___2020[[#This Row],[Coal and lignite domestic consumption (Mt)]])</f>
        <v>-1.4</v>
      </c>
    </row>
    <row r="324" spans="1:23">
      <c r="A324" t="s">
        <v>38</v>
      </c>
      <c r="B324">
        <v>2002</v>
      </c>
      <c r="C324" t="s">
        <v>39</v>
      </c>
      <c r="D324">
        <v>117.1667459</v>
      </c>
      <c r="E324">
        <v>2.4502826440000001</v>
      </c>
      <c r="F324">
        <v>0.193021688</v>
      </c>
      <c r="G324">
        <v>59.842525109999997</v>
      </c>
      <c r="H324">
        <v>47.817645110000001</v>
      </c>
      <c r="I324">
        <v>14.646260789999999</v>
      </c>
      <c r="J324">
        <v>17.283712090000002</v>
      </c>
      <c r="K324">
        <v>22.972000000000001</v>
      </c>
      <c r="L324">
        <v>30.488</v>
      </c>
      <c r="M324">
        <v>26.04</v>
      </c>
      <c r="N324">
        <v>26.04</v>
      </c>
      <c r="O324">
        <v>7.8775275000000006E-2</v>
      </c>
      <c r="P324">
        <v>89.19</v>
      </c>
      <c r="Q324">
        <v>74.12</v>
      </c>
      <c r="R324">
        <v>1.502</v>
      </c>
      <c r="S324">
        <v>0.22872519299999999</v>
      </c>
      <c r="T324">
        <v>34.665999999999997</v>
      </c>
      <c r="U324">
        <v>0</v>
      </c>
      <c r="V324" s="1" t="str">
        <f>IF(Energy_data_1990___2020[[#This Row],[CO2 emissions from fuel combustion (MtCO2)]]&gt;Energy_data_1990___2020[[#Totals],[CO2 emissions from fuel combustion (MtCO2)]],"Above Average","")</f>
        <v/>
      </c>
      <c r="W324" s="1">
        <f>SUM(Energy_data_1990___2020[[#This Row],[Coal and lignite production (Mt)]]-Energy_data_1990___2020[[#This Row],[Coal and lignite domestic consumption (Mt)]])</f>
        <v>-1.502</v>
      </c>
    </row>
    <row r="325" spans="1:23">
      <c r="A325" t="s">
        <v>38</v>
      </c>
      <c r="B325">
        <v>2003</v>
      </c>
      <c r="C325" t="s">
        <v>39</v>
      </c>
      <c r="D325">
        <v>120.6089965</v>
      </c>
      <c r="E325">
        <v>2.4274547470000001</v>
      </c>
      <c r="F325">
        <v>0.19254369099999999</v>
      </c>
      <c r="G325">
        <v>62.893898040000003</v>
      </c>
      <c r="H325">
        <v>49.685373820000002</v>
      </c>
      <c r="I325">
        <v>14.064486309999999</v>
      </c>
      <c r="J325">
        <v>18.722286270000001</v>
      </c>
      <c r="K325">
        <v>22.478000000000002</v>
      </c>
      <c r="L325">
        <v>31.472999999999999</v>
      </c>
      <c r="M325">
        <v>28.571999999999999</v>
      </c>
      <c r="N325">
        <v>28.571999999999999</v>
      </c>
      <c r="O325">
        <v>7.9319167999999995E-2</v>
      </c>
      <c r="P325">
        <v>95.183000000000007</v>
      </c>
      <c r="Q325">
        <v>79.641999999999996</v>
      </c>
      <c r="R325">
        <v>1.5569999999999999</v>
      </c>
      <c r="S325">
        <v>0.38662366199999998</v>
      </c>
      <c r="T325">
        <v>35.585999999999999</v>
      </c>
      <c r="U325">
        <v>0</v>
      </c>
      <c r="V325" s="1" t="str">
        <f>IF(Energy_data_1990___2020[[#This Row],[CO2 emissions from fuel combustion (MtCO2)]]&gt;Energy_data_1990___2020[[#Totals],[CO2 emissions from fuel combustion (MtCO2)]],"Above Average","")</f>
        <v/>
      </c>
      <c r="W325" s="1">
        <f>SUM(Energy_data_1990___2020[[#This Row],[Coal and lignite production (Mt)]]-Energy_data_1990___2020[[#This Row],[Coal and lignite domestic consumption (Mt)]])</f>
        <v>-1.5569999999999999</v>
      </c>
    </row>
    <row r="326" spans="1:23">
      <c r="A326" t="s">
        <v>38</v>
      </c>
      <c r="B326">
        <v>2004</v>
      </c>
      <c r="C326" t="s">
        <v>39</v>
      </c>
      <c r="D326">
        <v>131.7831956</v>
      </c>
      <c r="E326">
        <v>2.4284475639999998</v>
      </c>
      <c r="F326">
        <v>0.20211193999999999</v>
      </c>
      <c r="G326">
        <v>63.144025849999998</v>
      </c>
      <c r="H326">
        <v>54.26643653</v>
      </c>
      <c r="I326">
        <v>12.99815398</v>
      </c>
      <c r="J326">
        <v>20.08466086</v>
      </c>
      <c r="K326">
        <v>26.513000000000002</v>
      </c>
      <c r="L326">
        <v>31.893999999999998</v>
      </c>
      <c r="M326">
        <v>31.643999999999998</v>
      </c>
      <c r="N326">
        <v>27.959</v>
      </c>
      <c r="O326">
        <v>8.3226808999999999E-2</v>
      </c>
      <c r="P326">
        <v>101.29900000000001</v>
      </c>
      <c r="Q326">
        <v>85.087999999999994</v>
      </c>
      <c r="R326">
        <v>1.591</v>
      </c>
      <c r="S326">
        <v>0.51629334900000001</v>
      </c>
      <c r="T326">
        <v>33.363</v>
      </c>
      <c r="U326">
        <v>0</v>
      </c>
      <c r="V326" s="1" t="str">
        <f>IF(Energy_data_1990___2020[[#This Row],[CO2 emissions from fuel combustion (MtCO2)]]&gt;Energy_data_1990___2020[[#Totals],[CO2 emissions from fuel combustion (MtCO2)]],"Above Average","")</f>
        <v/>
      </c>
      <c r="W326" s="1">
        <f>SUM(Energy_data_1990___2020[[#This Row],[Coal and lignite production (Mt)]]-Energy_data_1990___2020[[#This Row],[Coal and lignite domestic consumption (Mt)]])</f>
        <v>-1.591</v>
      </c>
    </row>
    <row r="327" spans="1:23">
      <c r="A327" t="s">
        <v>38</v>
      </c>
      <c r="B327">
        <v>2005</v>
      </c>
      <c r="C327" t="s">
        <v>39</v>
      </c>
      <c r="D327">
        <v>149.0893178</v>
      </c>
      <c r="E327">
        <v>2.3892973080000002</v>
      </c>
      <c r="F327">
        <v>0.21886666399999999</v>
      </c>
      <c r="G327">
        <v>78.806560640000001</v>
      </c>
      <c r="H327">
        <v>62.398813799999999</v>
      </c>
      <c r="I327">
        <v>12.14095133</v>
      </c>
      <c r="J327">
        <v>18.627578719999999</v>
      </c>
      <c r="K327">
        <v>26.827999999999999</v>
      </c>
      <c r="L327">
        <v>31.945</v>
      </c>
      <c r="M327">
        <v>52.189043599999998</v>
      </c>
      <c r="N327">
        <v>36.709008660000002</v>
      </c>
      <c r="O327">
        <v>9.1602942000000007E-2</v>
      </c>
      <c r="P327">
        <v>108.69</v>
      </c>
      <c r="Q327">
        <v>92.084999999999994</v>
      </c>
      <c r="R327">
        <v>1.5569999999999999</v>
      </c>
      <c r="S327">
        <v>0.50786640900000002</v>
      </c>
      <c r="T327">
        <v>32.243000000000002</v>
      </c>
      <c r="U327">
        <v>0</v>
      </c>
      <c r="V327" s="1" t="str">
        <f>IF(Energy_data_1990___2020[[#This Row],[CO2 emissions from fuel combustion (MtCO2)]]&gt;Energy_data_1990___2020[[#Totals],[CO2 emissions from fuel combustion (MtCO2)]],"Above Average","")</f>
        <v/>
      </c>
      <c r="W327" s="1">
        <f>SUM(Energy_data_1990___2020[[#This Row],[Coal and lignite production (Mt)]]-Energy_data_1990___2020[[#This Row],[Coal and lignite domestic consumption (Mt)]])</f>
        <v>-1.5569999999999999</v>
      </c>
    </row>
    <row r="328" spans="1:23">
      <c r="A328" t="s">
        <v>38</v>
      </c>
      <c r="B328">
        <v>2006</v>
      </c>
      <c r="C328" t="s">
        <v>39</v>
      </c>
      <c r="D328">
        <v>157.42647120000001</v>
      </c>
      <c r="E328">
        <v>2.3884456690000002</v>
      </c>
      <c r="F328">
        <v>0.216302416</v>
      </c>
      <c r="G328">
        <v>81.788666469999995</v>
      </c>
      <c r="H328">
        <v>65.911681889999997</v>
      </c>
      <c r="I328">
        <v>11.73325708</v>
      </c>
      <c r="J328">
        <v>18.610692889999999</v>
      </c>
      <c r="K328">
        <v>27.841999999999999</v>
      </c>
      <c r="L328">
        <v>31.713999999999999</v>
      </c>
      <c r="M328">
        <v>56.127062819999999</v>
      </c>
      <c r="N328">
        <v>39.497002649999999</v>
      </c>
      <c r="O328">
        <v>9.0562000000000004E-2</v>
      </c>
      <c r="P328">
        <v>115.407</v>
      </c>
      <c r="Q328">
        <v>98.093999999999994</v>
      </c>
      <c r="R328">
        <v>1.393</v>
      </c>
      <c r="S328">
        <v>0.53376311700000001</v>
      </c>
      <c r="T328">
        <v>31.983000000000001</v>
      </c>
      <c r="U328">
        <v>0</v>
      </c>
      <c r="V328" s="1" t="str">
        <f>IF(Energy_data_1990___2020[[#This Row],[CO2 emissions from fuel combustion (MtCO2)]]&gt;Energy_data_1990___2020[[#Totals],[CO2 emissions from fuel combustion (MtCO2)]],"Above Average","")</f>
        <v/>
      </c>
      <c r="W328" s="1">
        <f>SUM(Energy_data_1990___2020[[#This Row],[Coal and lignite production (Mt)]]-Energy_data_1990___2020[[#This Row],[Coal and lignite domestic consumption (Mt)]])</f>
        <v>-1.393</v>
      </c>
    </row>
    <row r="329" spans="1:23">
      <c r="A329" t="s">
        <v>38</v>
      </c>
      <c r="B329">
        <v>2007</v>
      </c>
      <c r="C329" t="s">
        <v>39</v>
      </c>
      <c r="D329">
        <v>169.5337743</v>
      </c>
      <c r="E329">
        <v>2.409474264</v>
      </c>
      <c r="F329">
        <v>0.21752026899999999</v>
      </c>
      <c r="G329">
        <v>86.152750280000006</v>
      </c>
      <c r="H329">
        <v>70.361313580000001</v>
      </c>
      <c r="I329">
        <v>13.05932278</v>
      </c>
      <c r="J329">
        <v>18.224050479999999</v>
      </c>
      <c r="K329">
        <v>29.422000000000001</v>
      </c>
      <c r="L329">
        <v>33.450000000000003</v>
      </c>
      <c r="M329">
        <v>60</v>
      </c>
      <c r="N329">
        <v>43.4</v>
      </c>
      <c r="O329">
        <v>9.0277067000000003E-2</v>
      </c>
      <c r="P329">
        <v>125.129</v>
      </c>
      <c r="Q329">
        <v>106.595</v>
      </c>
      <c r="R329">
        <v>1.2769999999999999</v>
      </c>
      <c r="S329">
        <v>0.66411463400000004</v>
      </c>
      <c r="T329">
        <v>32.912999999999997</v>
      </c>
      <c r="U329">
        <v>0</v>
      </c>
      <c r="V329" s="1" t="str">
        <f>IF(Energy_data_1990___2020[[#This Row],[CO2 emissions from fuel combustion (MtCO2)]]&gt;Energy_data_1990___2020[[#Totals],[CO2 emissions from fuel combustion (MtCO2)]],"Above Average","")</f>
        <v/>
      </c>
      <c r="W329" s="1">
        <f>SUM(Energy_data_1990___2020[[#This Row],[Coal and lignite production (Mt)]]-Energy_data_1990___2020[[#This Row],[Coal and lignite domestic consumption (Mt)]])</f>
        <v>-1.2769999999999999</v>
      </c>
    </row>
    <row r="330" spans="1:23">
      <c r="A330" t="s">
        <v>38</v>
      </c>
      <c r="B330">
        <v>2008</v>
      </c>
      <c r="C330" t="s">
        <v>39</v>
      </c>
      <c r="D330">
        <v>177.5112062</v>
      </c>
      <c r="E330">
        <v>2.4332989170000001</v>
      </c>
      <c r="F330">
        <v>0.21254536299999999</v>
      </c>
      <c r="G330">
        <v>89.934016</v>
      </c>
      <c r="H330">
        <v>72.950842589999993</v>
      </c>
      <c r="I330">
        <v>13.273131169999999</v>
      </c>
      <c r="J330">
        <v>16.957850799999999</v>
      </c>
      <c r="K330">
        <v>31.300999999999998</v>
      </c>
      <c r="L330">
        <v>31.695</v>
      </c>
      <c r="M330">
        <v>62.266072979999997</v>
      </c>
      <c r="N330">
        <v>44.567947369999999</v>
      </c>
      <c r="O330">
        <v>8.7348645000000003E-2</v>
      </c>
      <c r="P330">
        <v>117.49299999999999</v>
      </c>
      <c r="Q330">
        <v>98.167000000000002</v>
      </c>
      <c r="R330">
        <v>1.139</v>
      </c>
      <c r="S330">
        <v>0.77706757000000004</v>
      </c>
      <c r="T330">
        <v>34.860999999999997</v>
      </c>
      <c r="U330">
        <v>0</v>
      </c>
      <c r="V330" s="1" t="str">
        <f>IF(Energy_data_1990___2020[[#This Row],[CO2 emissions from fuel combustion (MtCO2)]]&gt;Energy_data_1990___2020[[#Totals],[CO2 emissions from fuel combustion (MtCO2)]],"Above Average","")</f>
        <v/>
      </c>
      <c r="W330" s="1">
        <f>SUM(Energy_data_1990___2020[[#This Row],[Coal and lignite production (Mt)]]-Energy_data_1990___2020[[#This Row],[Coal and lignite domestic consumption (Mt)]])</f>
        <v>-1.139</v>
      </c>
    </row>
    <row r="331" spans="1:23">
      <c r="A331" t="s">
        <v>38</v>
      </c>
      <c r="B331">
        <v>2009</v>
      </c>
      <c r="C331" t="s">
        <v>39</v>
      </c>
      <c r="D331">
        <v>181.87320690000001</v>
      </c>
      <c r="E331">
        <v>2.4371629540000002</v>
      </c>
      <c r="F331">
        <v>0.208045067</v>
      </c>
      <c r="G331">
        <v>88.769947040000005</v>
      </c>
      <c r="H331">
        <v>74.624967780000006</v>
      </c>
      <c r="I331">
        <v>11.14579683</v>
      </c>
      <c r="J331">
        <v>18.024328830000002</v>
      </c>
      <c r="K331">
        <v>33.415999999999997</v>
      </c>
      <c r="L331">
        <v>30.285</v>
      </c>
      <c r="M331">
        <v>62.078000000000003</v>
      </c>
      <c r="N331">
        <v>43.753</v>
      </c>
      <c r="O331">
        <v>8.5363625999999998E-2</v>
      </c>
      <c r="P331">
        <v>125.572</v>
      </c>
      <c r="Q331">
        <v>105.47499999999999</v>
      </c>
      <c r="R331">
        <v>1.012</v>
      </c>
      <c r="S331">
        <v>0.90227120699999996</v>
      </c>
      <c r="T331">
        <v>33.987000000000002</v>
      </c>
      <c r="U331">
        <v>0</v>
      </c>
      <c r="V331" s="1" t="str">
        <f>IF(Energy_data_1990___2020[[#This Row],[CO2 emissions from fuel combustion (MtCO2)]]&gt;Energy_data_1990___2020[[#Totals],[CO2 emissions from fuel combustion (MtCO2)]],"Above Average","")</f>
        <v/>
      </c>
      <c r="W331" s="1">
        <f>SUM(Energy_data_1990___2020[[#This Row],[Coal and lignite production (Mt)]]-Energy_data_1990___2020[[#This Row],[Coal and lignite domestic consumption (Mt)]])</f>
        <v>-1.012</v>
      </c>
    </row>
    <row r="332" spans="1:23">
      <c r="A332" t="s">
        <v>38</v>
      </c>
      <c r="B332">
        <v>2010</v>
      </c>
      <c r="C332" t="s">
        <v>39</v>
      </c>
      <c r="D332">
        <v>184.1211022</v>
      </c>
      <c r="E332">
        <v>2.4914150450000001</v>
      </c>
      <c r="F332">
        <v>0.20030620800000001</v>
      </c>
      <c r="G332">
        <v>85.250065609999993</v>
      </c>
      <c r="H332">
        <v>73.902219779999996</v>
      </c>
      <c r="I332">
        <v>10.04795771</v>
      </c>
      <c r="J332">
        <v>20.09577672</v>
      </c>
      <c r="K332">
        <v>34.020000000000003</v>
      </c>
      <c r="L332">
        <v>30.23</v>
      </c>
      <c r="M332">
        <v>56.814062180000001</v>
      </c>
      <c r="N332">
        <v>43.838963579999998</v>
      </c>
      <c r="O332">
        <v>8.0398570000000003E-2</v>
      </c>
      <c r="P332">
        <v>146.79599999999999</v>
      </c>
      <c r="Q332">
        <v>123.71599999999999</v>
      </c>
      <c r="R332">
        <v>0.95799999999999996</v>
      </c>
      <c r="S332">
        <v>1.1607945719999999</v>
      </c>
      <c r="T332">
        <v>34.676000000000002</v>
      </c>
      <c r="U332">
        <v>0</v>
      </c>
      <c r="V332" s="1" t="str">
        <f>IF(Energy_data_1990___2020[[#This Row],[CO2 emissions from fuel combustion (MtCO2)]]&gt;Energy_data_1990___2020[[#Totals],[CO2 emissions from fuel combustion (MtCO2)]],"Above Average","")</f>
        <v/>
      </c>
      <c r="W332" s="1">
        <f>SUM(Energy_data_1990___2020[[#This Row],[Coal and lignite production (Mt)]]-Energy_data_1990___2020[[#This Row],[Coal and lignite domestic consumption (Mt)]])</f>
        <v>-0.95799999999999996</v>
      </c>
    </row>
    <row r="333" spans="1:23">
      <c r="A333" t="s">
        <v>38</v>
      </c>
      <c r="B333">
        <v>2011</v>
      </c>
      <c r="C333" t="s">
        <v>39</v>
      </c>
      <c r="D333">
        <v>189.99972819999999</v>
      </c>
      <c r="E333">
        <v>2.4698757009999999</v>
      </c>
      <c r="F333">
        <v>0.20311743900000001</v>
      </c>
      <c r="G333">
        <v>84.383676899999998</v>
      </c>
      <c r="H333">
        <v>76.926838099999998</v>
      </c>
      <c r="I333">
        <v>10.19278965</v>
      </c>
      <c r="J333">
        <v>19.83684556</v>
      </c>
      <c r="K333">
        <v>33.607999999999997</v>
      </c>
      <c r="L333">
        <v>27.356999999999999</v>
      </c>
      <c r="M333">
        <v>56.38694958</v>
      </c>
      <c r="N333">
        <v>47.784029310000001</v>
      </c>
      <c r="O333">
        <v>8.2237919000000007E-2</v>
      </c>
      <c r="P333">
        <v>144.04300000000001</v>
      </c>
      <c r="Q333">
        <v>124.72199999999999</v>
      </c>
      <c r="R333">
        <v>0.70199999999999996</v>
      </c>
      <c r="S333">
        <v>1.2135265159999999</v>
      </c>
      <c r="T333">
        <v>34.165999999999997</v>
      </c>
      <c r="U333">
        <v>0</v>
      </c>
      <c r="V333" s="1" t="str">
        <f>IF(Energy_data_1990___2020[[#This Row],[CO2 emissions from fuel combustion (MtCO2)]]&gt;Energy_data_1990___2020[[#Totals],[CO2 emissions from fuel combustion (MtCO2)]],"Above Average","")</f>
        <v/>
      </c>
      <c r="W333" s="1">
        <f>SUM(Energy_data_1990___2020[[#This Row],[Coal and lignite production (Mt)]]-Energy_data_1990___2020[[#This Row],[Coal and lignite domestic consumption (Mt)]])</f>
        <v>-0.70199999999999996</v>
      </c>
    </row>
    <row r="334" spans="1:23">
      <c r="A334" t="s">
        <v>38</v>
      </c>
      <c r="B334">
        <v>2012</v>
      </c>
      <c r="C334" t="s">
        <v>39</v>
      </c>
      <c r="D334">
        <v>196.3911118</v>
      </c>
      <c r="E334">
        <v>2.4790104720000001</v>
      </c>
      <c r="F334">
        <v>0.205377964</v>
      </c>
      <c r="G334">
        <v>82.825515420000002</v>
      </c>
      <c r="H334">
        <v>79.221574079999996</v>
      </c>
      <c r="I334">
        <v>9.6569614680000004</v>
      </c>
      <c r="J334">
        <v>19.79583259</v>
      </c>
      <c r="K334">
        <v>35.935000000000002</v>
      </c>
      <c r="L334">
        <v>27.904</v>
      </c>
      <c r="M334">
        <v>54.106032419999998</v>
      </c>
      <c r="N334">
        <v>47.904058149999997</v>
      </c>
      <c r="O334">
        <v>8.2846750999999996E-2</v>
      </c>
      <c r="P334">
        <v>149.95400000000001</v>
      </c>
      <c r="Q334">
        <v>125.84699999999999</v>
      </c>
      <c r="R334">
        <v>0.61199999999999999</v>
      </c>
      <c r="S334">
        <v>0.906944796</v>
      </c>
      <c r="T334">
        <v>34.478000000000002</v>
      </c>
      <c r="U334">
        <v>0</v>
      </c>
      <c r="V334" s="1" t="str">
        <f>IF(Energy_data_1990___2020[[#This Row],[CO2 emissions from fuel combustion (MtCO2)]]&gt;Energy_data_1990___2020[[#Totals],[CO2 emissions from fuel combustion (MtCO2)]],"Above Average","")</f>
        <v/>
      </c>
      <c r="W334" s="1">
        <f>SUM(Energy_data_1990___2020[[#This Row],[Coal and lignite production (Mt)]]-Energy_data_1990___2020[[#This Row],[Coal and lignite domestic consumption (Mt)]])</f>
        <v>-0.61199999999999999</v>
      </c>
    </row>
    <row r="335" spans="1:23">
      <c r="A335" t="s">
        <v>38</v>
      </c>
      <c r="B335">
        <v>2013</v>
      </c>
      <c r="C335" t="s">
        <v>39</v>
      </c>
      <c r="D335">
        <v>195.7904274</v>
      </c>
      <c r="E335">
        <v>2.5206068419999998</v>
      </c>
      <c r="F335">
        <v>0.20037075800000001</v>
      </c>
      <c r="G335">
        <v>77.947749310000006</v>
      </c>
      <c r="H335">
        <v>77.675908879999994</v>
      </c>
      <c r="I335">
        <v>9.6345536579999997</v>
      </c>
      <c r="J335">
        <v>20.036097040000001</v>
      </c>
      <c r="K335">
        <v>35.874000000000002</v>
      </c>
      <c r="L335">
        <v>26.516999999999999</v>
      </c>
      <c r="M335">
        <v>48.081021270000001</v>
      </c>
      <c r="N335">
        <v>46.006031530000001</v>
      </c>
      <c r="O335">
        <v>7.9493063000000003E-2</v>
      </c>
      <c r="P335">
        <v>153.59299999999999</v>
      </c>
      <c r="Q335">
        <v>123.468</v>
      </c>
      <c r="R335">
        <v>0.67100000000000004</v>
      </c>
      <c r="S335">
        <v>0.94144915500000004</v>
      </c>
      <c r="T335">
        <v>34.488</v>
      </c>
      <c r="U335">
        <v>0</v>
      </c>
      <c r="V335" s="1" t="str">
        <f>IF(Energy_data_1990___2020[[#This Row],[CO2 emissions from fuel combustion (MtCO2)]]&gt;Energy_data_1990___2020[[#Totals],[CO2 emissions from fuel combustion (MtCO2)]],"Above Average","")</f>
        <v/>
      </c>
      <c r="W335" s="1">
        <f>SUM(Energy_data_1990___2020[[#This Row],[Coal and lignite production (Mt)]]-Energy_data_1990___2020[[#This Row],[Coal and lignite domestic consumption (Mt)]])</f>
        <v>-0.67100000000000004</v>
      </c>
    </row>
    <row r="336" spans="1:23">
      <c r="A336" t="s">
        <v>38</v>
      </c>
      <c r="B336">
        <v>2014</v>
      </c>
      <c r="C336" t="s">
        <v>39</v>
      </c>
      <c r="D336">
        <v>199.01754109999999</v>
      </c>
      <c r="E336">
        <v>2.4724402699999999</v>
      </c>
      <c r="F336">
        <v>0.19790269799999999</v>
      </c>
      <c r="G336">
        <v>74.587199720000001</v>
      </c>
      <c r="H336">
        <v>80.494377740000004</v>
      </c>
      <c r="I336">
        <v>9.6632503659999998</v>
      </c>
      <c r="J336">
        <v>21.742208529999999</v>
      </c>
      <c r="K336">
        <v>38.466000000000001</v>
      </c>
      <c r="L336">
        <v>26.748000000000001</v>
      </c>
      <c r="M336">
        <v>43.062018260000002</v>
      </c>
      <c r="N336">
        <v>42.73701191</v>
      </c>
      <c r="O336">
        <v>8.0043470000000005E-2</v>
      </c>
      <c r="P336">
        <v>160.505</v>
      </c>
      <c r="Q336">
        <v>133.197</v>
      </c>
      <c r="R336">
        <v>1.006</v>
      </c>
      <c r="S336">
        <v>1.0516806329999999</v>
      </c>
      <c r="T336">
        <v>35.149000000000001</v>
      </c>
      <c r="U336">
        <v>3.9E-2</v>
      </c>
      <c r="V336" s="1" t="str">
        <f>IF(Energy_data_1990___2020[[#This Row],[CO2 emissions from fuel combustion (MtCO2)]]&gt;Energy_data_1990___2020[[#Totals],[CO2 emissions from fuel combustion (MtCO2)]],"Above Average","")</f>
        <v/>
      </c>
      <c r="W336" s="1">
        <f>SUM(Energy_data_1990___2020[[#This Row],[Coal and lignite production (Mt)]]-Energy_data_1990___2020[[#This Row],[Coal and lignite domestic consumption (Mt)]])</f>
        <v>-0.96699999999999997</v>
      </c>
    </row>
    <row r="337" spans="1:23">
      <c r="A337" t="s">
        <v>38</v>
      </c>
      <c r="B337">
        <v>2015</v>
      </c>
      <c r="C337" t="s">
        <v>39</v>
      </c>
      <c r="D337">
        <v>208.8624992</v>
      </c>
      <c r="E337">
        <v>2.5900717759999998</v>
      </c>
      <c r="F337">
        <v>0.19899251700000001</v>
      </c>
      <c r="G337">
        <v>70.130263529999993</v>
      </c>
      <c r="H337">
        <v>80.639656849999994</v>
      </c>
      <c r="I337">
        <v>9.1253102810000009</v>
      </c>
      <c r="J337">
        <v>21.634369499999998</v>
      </c>
      <c r="K337">
        <v>39.343000000000004</v>
      </c>
      <c r="L337">
        <v>26.984999999999999</v>
      </c>
      <c r="M337">
        <v>38.302</v>
      </c>
      <c r="N337">
        <v>45.017000000000003</v>
      </c>
      <c r="O337">
        <v>7.6828958000000003E-2</v>
      </c>
      <c r="P337">
        <v>172.827</v>
      </c>
      <c r="Q337">
        <v>138.46700000000001</v>
      </c>
      <c r="R337">
        <v>2.0880000000000001</v>
      </c>
      <c r="S337">
        <v>1.287993196</v>
      </c>
      <c r="T337">
        <v>34.561</v>
      </c>
      <c r="U337">
        <v>5.8000000000000003E-2</v>
      </c>
      <c r="V337" s="1" t="str">
        <f>IF(Energy_data_1990___2020[[#This Row],[CO2 emissions from fuel combustion (MtCO2)]]&gt;Energy_data_1990___2020[[#Totals],[CO2 emissions from fuel combustion (MtCO2)]],"Above Average","")</f>
        <v/>
      </c>
      <c r="W337" s="1">
        <f>SUM(Energy_data_1990___2020[[#This Row],[Coal and lignite production (Mt)]]-Energy_data_1990___2020[[#This Row],[Coal and lignite domestic consumption (Mt)]])</f>
        <v>-2.0300000000000002</v>
      </c>
    </row>
    <row r="338" spans="1:23">
      <c r="A338" t="s">
        <v>38</v>
      </c>
      <c r="B338">
        <v>2016</v>
      </c>
      <c r="C338" t="s">
        <v>39</v>
      </c>
      <c r="D338">
        <v>217.82661580000001</v>
      </c>
      <c r="E338">
        <v>2.4721568280000001</v>
      </c>
      <c r="F338">
        <v>0.198888071</v>
      </c>
      <c r="G338">
        <v>70.737627450000005</v>
      </c>
      <c r="H338">
        <v>88.111973039999995</v>
      </c>
      <c r="I338">
        <v>8.8182028470000002</v>
      </c>
      <c r="J338">
        <v>20.281177329999998</v>
      </c>
      <c r="K338">
        <v>37.982999999999997</v>
      </c>
      <c r="L338">
        <v>25.01</v>
      </c>
      <c r="M338">
        <v>42.578026319999999</v>
      </c>
      <c r="N338">
        <v>50.757969690000003</v>
      </c>
      <c r="O338">
        <v>8.0451234999999996E-2</v>
      </c>
      <c r="P338">
        <v>177.24700000000001</v>
      </c>
      <c r="Q338">
        <v>134.45099999999999</v>
      </c>
      <c r="R338">
        <v>3.3210000000000002</v>
      </c>
      <c r="S338">
        <v>1.5684327520000001</v>
      </c>
      <c r="T338">
        <v>31.728999999999999</v>
      </c>
      <c r="U338">
        <v>3.6999999999999998E-2</v>
      </c>
      <c r="V338" s="1" t="str">
        <f>IF(Energy_data_1990___2020[[#This Row],[CO2 emissions from fuel combustion (MtCO2)]]&gt;Energy_data_1990___2020[[#Totals],[CO2 emissions from fuel combustion (MtCO2)]],"Above Average","")</f>
        <v/>
      </c>
      <c r="W338" s="1">
        <f>SUM(Energy_data_1990___2020[[#This Row],[Coal and lignite production (Mt)]]-Energy_data_1990___2020[[#This Row],[Coal and lignite domestic consumption (Mt)]])</f>
        <v>-3.2840000000000003</v>
      </c>
    </row>
    <row r="339" spans="1:23">
      <c r="A339" t="s">
        <v>38</v>
      </c>
      <c r="B339">
        <v>2017</v>
      </c>
      <c r="C339" t="s">
        <v>39</v>
      </c>
      <c r="D339">
        <v>224.49294499999999</v>
      </c>
      <c r="E339">
        <v>2.4149354540000001</v>
      </c>
      <c r="F339">
        <v>0.196748326</v>
      </c>
      <c r="G339">
        <v>79.830410380000004</v>
      </c>
      <c r="H339">
        <v>92.960225730000005</v>
      </c>
      <c r="I339">
        <v>8.4318590960000002</v>
      </c>
      <c r="J339">
        <v>21.436792010000001</v>
      </c>
      <c r="K339">
        <v>34.741627999999999</v>
      </c>
      <c r="L339">
        <v>26.061754000000001</v>
      </c>
      <c r="M339">
        <v>52.97427811</v>
      </c>
      <c r="N339">
        <v>60.635379110000002</v>
      </c>
      <c r="O339">
        <v>8.1471462999999994E-2</v>
      </c>
      <c r="P339">
        <v>184.977</v>
      </c>
      <c r="Q339">
        <v>146.553979</v>
      </c>
      <c r="R339">
        <v>2.7903199999999999</v>
      </c>
      <c r="S339">
        <v>1.5520848540000001</v>
      </c>
      <c r="T339">
        <v>32.318972000000002</v>
      </c>
      <c r="U339">
        <v>3.6999999999999998E-2</v>
      </c>
      <c r="V339" s="1" t="str">
        <f>IF(Energy_data_1990___2020[[#This Row],[CO2 emissions from fuel combustion (MtCO2)]]&gt;Energy_data_1990___2020[[#Totals],[CO2 emissions from fuel combustion (MtCO2)]],"Above Average","")</f>
        <v/>
      </c>
      <c r="W339" s="1">
        <f>SUM(Energy_data_1990___2020[[#This Row],[Coal and lignite production (Mt)]]-Energy_data_1990___2020[[#This Row],[Coal and lignite domestic consumption (Mt)]])</f>
        <v>-2.75332</v>
      </c>
    </row>
    <row r="340" spans="1:23">
      <c r="A340" t="s">
        <v>38</v>
      </c>
      <c r="B340">
        <v>2018</v>
      </c>
      <c r="C340" t="s">
        <v>39</v>
      </c>
      <c r="D340">
        <v>231.7504007</v>
      </c>
      <c r="E340">
        <v>2.4245538569999998</v>
      </c>
      <c r="F340">
        <v>0.19286003199999999</v>
      </c>
      <c r="G340">
        <v>86.833386129999994</v>
      </c>
      <c r="H340">
        <v>95.584760900000006</v>
      </c>
      <c r="I340">
        <v>8.1424497650000003</v>
      </c>
      <c r="J340">
        <v>21.79970814</v>
      </c>
      <c r="K340">
        <v>34.147436999999996</v>
      </c>
      <c r="L340">
        <v>26.850348</v>
      </c>
      <c r="M340">
        <v>62.100022639999999</v>
      </c>
      <c r="N340">
        <v>61.778708700000003</v>
      </c>
      <c r="O340">
        <v>7.9544543999999995E-2</v>
      </c>
      <c r="P340">
        <v>194.06908799999999</v>
      </c>
      <c r="Q340">
        <v>153.75638900000001</v>
      </c>
      <c r="R340">
        <v>5.3492569999999997</v>
      </c>
      <c r="S340">
        <v>1.4958003</v>
      </c>
      <c r="T340">
        <v>31.358343000000001</v>
      </c>
      <c r="U340">
        <v>3.6999999999999998E-2</v>
      </c>
      <c r="V340" s="1" t="str">
        <f>IF(Energy_data_1990___2020[[#This Row],[CO2 emissions from fuel combustion (MtCO2)]]&gt;Energy_data_1990___2020[[#Totals],[CO2 emissions from fuel combustion (MtCO2)]],"Above Average","")</f>
        <v/>
      </c>
      <c r="W340" s="1">
        <f>SUM(Energy_data_1990___2020[[#This Row],[Coal and lignite production (Mt)]]-Energy_data_1990___2020[[#This Row],[Coal and lignite domestic consumption (Mt)]])</f>
        <v>-5.3122569999999998</v>
      </c>
    </row>
    <row r="341" spans="1:23">
      <c r="A341" t="s">
        <v>38</v>
      </c>
      <c r="B341">
        <v>2019</v>
      </c>
      <c r="C341" t="s">
        <v>39</v>
      </c>
      <c r="D341">
        <v>237.17586729999999</v>
      </c>
      <c r="E341">
        <v>2.442037682</v>
      </c>
      <c r="F341">
        <v>0.186982553</v>
      </c>
      <c r="G341">
        <v>91.927669679999994</v>
      </c>
      <c r="H341">
        <v>97.122116109999993</v>
      </c>
      <c r="I341">
        <v>8.9601070479999994</v>
      </c>
      <c r="J341">
        <v>21.168740530000001</v>
      </c>
      <c r="K341">
        <v>34.55170665</v>
      </c>
      <c r="L341">
        <v>29.1646316</v>
      </c>
      <c r="M341">
        <v>68.896127660000005</v>
      </c>
      <c r="N341">
        <v>62.321802529999999</v>
      </c>
      <c r="O341">
        <v>7.6568250000000004E-2</v>
      </c>
      <c r="P341">
        <v>195.21182089999999</v>
      </c>
      <c r="Q341">
        <v>154.73264639999999</v>
      </c>
      <c r="R341">
        <v>7.0602626300000004</v>
      </c>
      <c r="S341">
        <v>2.3396473210000002</v>
      </c>
      <c r="T341">
        <v>30.513916999999999</v>
      </c>
      <c r="U341">
        <v>3.3000000000000002E-2</v>
      </c>
      <c r="V341" s="1" t="str">
        <f>IF(Energy_data_1990___2020[[#This Row],[CO2 emissions from fuel combustion (MtCO2)]]&gt;Energy_data_1990___2020[[#Totals],[CO2 emissions from fuel combustion (MtCO2)]],"Above Average","")</f>
        <v/>
      </c>
      <c r="W341" s="1">
        <f>SUM(Energy_data_1990___2020[[#This Row],[Coal and lignite production (Mt)]]-Energy_data_1990___2020[[#This Row],[Coal and lignite domestic consumption (Mt)]])</f>
        <v>-7.0272626300000001</v>
      </c>
    </row>
    <row r="342" spans="1:23">
      <c r="A342" t="s">
        <v>38</v>
      </c>
      <c r="B342">
        <v>2020</v>
      </c>
      <c r="C342" t="s">
        <v>39</v>
      </c>
      <c r="D342">
        <v>224.95969049999999</v>
      </c>
      <c r="E342">
        <v>2.4497422900000001</v>
      </c>
      <c r="F342">
        <v>0.17118887499999999</v>
      </c>
      <c r="G342">
        <v>84.737534220000001</v>
      </c>
      <c r="H342">
        <v>91.829941230000003</v>
      </c>
      <c r="I342">
        <v>10.15248087</v>
      </c>
      <c r="J342">
        <v>22.371743630000001</v>
      </c>
      <c r="K342">
        <v>30.721744990000001</v>
      </c>
      <c r="L342">
        <v>31.150723110000001</v>
      </c>
      <c r="M342">
        <v>61.799826520000003</v>
      </c>
      <c r="N342">
        <v>60.668468760000003</v>
      </c>
      <c r="O342">
        <v>6.9880361000000002E-2</v>
      </c>
      <c r="P342">
        <v>193.2675132</v>
      </c>
      <c r="Q342">
        <v>153.13185139999999</v>
      </c>
      <c r="R342">
        <v>7.1016800050000004</v>
      </c>
      <c r="S342">
        <v>3.5320211380000002</v>
      </c>
      <c r="T342">
        <v>28.98268217</v>
      </c>
      <c r="U342">
        <v>2.5000000000000001E-2</v>
      </c>
      <c r="V342" s="1" t="str">
        <f>IF(Energy_data_1990___2020[[#This Row],[CO2 emissions from fuel combustion (MtCO2)]]&gt;Energy_data_1990___2020[[#Totals],[CO2 emissions from fuel combustion (MtCO2)]],"Above Average","")</f>
        <v/>
      </c>
      <c r="W342" s="1">
        <f>SUM(Energy_data_1990___2020[[#This Row],[Coal and lignite production (Mt)]]-Energy_data_1990___2020[[#This Row],[Coal and lignite domestic consumption (Mt)]])</f>
        <v>-7.0766800050000001</v>
      </c>
    </row>
    <row r="343" spans="1:23">
      <c r="A343" t="s">
        <v>40</v>
      </c>
      <c r="B343">
        <v>1990</v>
      </c>
      <c r="C343" t="s">
        <v>30</v>
      </c>
      <c r="D343">
        <v>365.43100779999997</v>
      </c>
      <c r="E343">
        <v>1.626524053</v>
      </c>
      <c r="F343">
        <v>0.19733882599999999</v>
      </c>
      <c r="G343">
        <v>111.9021915</v>
      </c>
      <c r="H343">
        <v>224.66990709999999</v>
      </c>
      <c r="I343">
        <v>14.101214260000001</v>
      </c>
      <c r="J343">
        <v>17.9799513</v>
      </c>
      <c r="K343">
        <v>80.459999999999994</v>
      </c>
      <c r="L343">
        <v>78.477999999999994</v>
      </c>
      <c r="M343">
        <v>2.8570033590000001</v>
      </c>
      <c r="N343">
        <v>28.23198331</v>
      </c>
      <c r="O343">
        <v>0.12132548899999999</v>
      </c>
      <c r="P343">
        <v>420.75099999999998</v>
      </c>
      <c r="Q343">
        <v>323.25200000000001</v>
      </c>
      <c r="R343">
        <v>31.208985989999999</v>
      </c>
      <c r="S343">
        <v>0.119548141</v>
      </c>
      <c r="T343">
        <v>3.47</v>
      </c>
      <c r="U343">
        <v>0</v>
      </c>
      <c r="V343" s="1" t="str">
        <f>IF(Energy_data_1990___2020[[#This Row],[CO2 emissions from fuel combustion (MtCO2)]]&gt;Energy_data_1990___2020[[#Totals],[CO2 emissions from fuel combustion (MtCO2)]],"Above Average","")</f>
        <v/>
      </c>
      <c r="W343" s="1">
        <f>SUM(Energy_data_1990___2020[[#This Row],[Coal and lignite production (Mt)]]-Energy_data_1990___2020[[#This Row],[Coal and lignite domestic consumption (Mt)]])</f>
        <v>-31.208985989999999</v>
      </c>
    </row>
    <row r="344" spans="1:23">
      <c r="A344" t="s">
        <v>40</v>
      </c>
      <c r="B344">
        <v>1991</v>
      </c>
      <c r="C344" t="s">
        <v>30</v>
      </c>
      <c r="D344">
        <v>392.66688420000003</v>
      </c>
      <c r="E344">
        <v>1.6537438799999999</v>
      </c>
      <c r="F344">
        <v>0.20984708599999999</v>
      </c>
      <c r="G344">
        <v>118.5272027</v>
      </c>
      <c r="H344">
        <v>237.4411714</v>
      </c>
      <c r="I344">
        <v>13.971309720000001</v>
      </c>
      <c r="J344">
        <v>17.83036194</v>
      </c>
      <c r="K344">
        <v>85.927999999999997</v>
      </c>
      <c r="L344">
        <v>81.284999999999997</v>
      </c>
      <c r="M344">
        <v>3.2379977580000001</v>
      </c>
      <c r="N344">
        <v>32.03303622</v>
      </c>
      <c r="O344">
        <v>0.12689213199999999</v>
      </c>
      <c r="P344">
        <v>455.55500000000001</v>
      </c>
      <c r="Q344">
        <v>346.798</v>
      </c>
      <c r="R344">
        <v>33.50417118</v>
      </c>
      <c r="S344">
        <v>0.11348794299999999</v>
      </c>
      <c r="T344">
        <v>3.798</v>
      </c>
      <c r="U344">
        <v>0</v>
      </c>
      <c r="V344" s="1" t="str">
        <f>IF(Energy_data_1990___2020[[#This Row],[CO2 emissions from fuel combustion (MtCO2)]]&gt;Energy_data_1990___2020[[#Totals],[CO2 emissions from fuel combustion (MtCO2)]],"Above Average","")</f>
        <v/>
      </c>
      <c r="W344" s="1">
        <f>SUM(Energy_data_1990___2020[[#This Row],[Coal and lignite production (Mt)]]-Energy_data_1990___2020[[#This Row],[Coal and lignite domestic consumption (Mt)]])</f>
        <v>-33.50417118</v>
      </c>
    </row>
    <row r="345" spans="1:23">
      <c r="A345" t="s">
        <v>40</v>
      </c>
      <c r="B345">
        <v>1992</v>
      </c>
      <c r="C345" t="s">
        <v>30</v>
      </c>
      <c r="D345">
        <v>381.54651030000002</v>
      </c>
      <c r="E345">
        <v>1.629483499</v>
      </c>
      <c r="F345">
        <v>0.2006944</v>
      </c>
      <c r="G345">
        <v>120.1997695</v>
      </c>
      <c r="H345">
        <v>234.1518098</v>
      </c>
      <c r="I345">
        <v>16.11555542</v>
      </c>
      <c r="J345">
        <v>18.248502219999999</v>
      </c>
      <c r="K345">
        <v>85.287999999999997</v>
      </c>
      <c r="L345">
        <v>80.004000000000005</v>
      </c>
      <c r="M345">
        <v>3.1539992639999999</v>
      </c>
      <c r="N345">
        <v>32.463967019999998</v>
      </c>
      <c r="O345">
        <v>0.12316442599999999</v>
      </c>
      <c r="P345">
        <v>463.63900000000001</v>
      </c>
      <c r="Q345">
        <v>355.87400000000002</v>
      </c>
      <c r="R345">
        <v>29.65870387</v>
      </c>
      <c r="S345">
        <v>0.111293485</v>
      </c>
      <c r="T345">
        <v>3.5640000000000001</v>
      </c>
      <c r="U345">
        <v>0</v>
      </c>
      <c r="V345" s="1" t="str">
        <f>IF(Energy_data_1990___2020[[#This Row],[CO2 emissions from fuel combustion (MtCO2)]]&gt;Energy_data_1990___2020[[#Totals],[CO2 emissions from fuel combustion (MtCO2)]],"Above Average","")</f>
        <v/>
      </c>
      <c r="W345" s="1">
        <f>SUM(Energy_data_1990___2020[[#This Row],[Coal and lignite production (Mt)]]-Energy_data_1990___2020[[#This Row],[Coal and lignite domestic consumption (Mt)]])</f>
        <v>-29.65870387</v>
      </c>
    </row>
    <row r="346" spans="1:23">
      <c r="A346" t="s">
        <v>40</v>
      </c>
      <c r="B346">
        <v>1993</v>
      </c>
      <c r="C346" t="s">
        <v>30</v>
      </c>
      <c r="D346">
        <v>362.72311880000001</v>
      </c>
      <c r="E346">
        <v>1.5254150200000001</v>
      </c>
      <c r="F346">
        <v>0.19200029099999999</v>
      </c>
      <c r="G346">
        <v>126.41177519999999</v>
      </c>
      <c r="H346">
        <v>237.7865133</v>
      </c>
      <c r="I346">
        <v>14.792249740000001</v>
      </c>
      <c r="J346">
        <v>18.782178349999999</v>
      </c>
      <c r="K346">
        <v>82.516000000000005</v>
      </c>
      <c r="L346">
        <v>82.168999999999997</v>
      </c>
      <c r="M346">
        <v>3.4229992930000002</v>
      </c>
      <c r="N346">
        <v>32.802003659999997</v>
      </c>
      <c r="O346">
        <v>0.12586757600000001</v>
      </c>
      <c r="P346">
        <v>472.70699999999999</v>
      </c>
      <c r="Q346">
        <v>356.18799999999999</v>
      </c>
      <c r="R346">
        <v>23.271133859999999</v>
      </c>
      <c r="S346">
        <v>0.10492757699999999</v>
      </c>
      <c r="T346">
        <v>3.4580000000000002</v>
      </c>
      <c r="U346">
        <v>0</v>
      </c>
      <c r="V346" s="1" t="str">
        <f>IF(Energy_data_1990___2020[[#This Row],[CO2 emissions from fuel combustion (MtCO2)]]&gt;Energy_data_1990___2020[[#Totals],[CO2 emissions from fuel combustion (MtCO2)]],"Above Average","")</f>
        <v/>
      </c>
      <c r="W346" s="1">
        <f>SUM(Energy_data_1990___2020[[#This Row],[Coal and lignite production (Mt)]]-Energy_data_1990___2020[[#This Row],[Coal and lignite domestic consumption (Mt)]])</f>
        <v>-23.271133859999999</v>
      </c>
    </row>
    <row r="347" spans="1:23">
      <c r="A347" t="s">
        <v>40</v>
      </c>
      <c r="B347">
        <v>1994</v>
      </c>
      <c r="C347" t="s">
        <v>30</v>
      </c>
      <c r="D347">
        <v>356.09138009999998</v>
      </c>
      <c r="E347">
        <v>1.5417664230000001</v>
      </c>
      <c r="F347">
        <v>0.18414709300000001</v>
      </c>
      <c r="G347">
        <v>123.790904</v>
      </c>
      <c r="H347">
        <v>230.96324770000001</v>
      </c>
      <c r="I347">
        <v>17.453886610000001</v>
      </c>
      <c r="J347">
        <v>19.25570239</v>
      </c>
      <c r="K347">
        <v>81.843000000000004</v>
      </c>
      <c r="L347">
        <v>80.076999999999998</v>
      </c>
      <c r="M347">
        <v>3.5330013999999998</v>
      </c>
      <c r="N347">
        <v>32.761026819999998</v>
      </c>
      <c r="O347">
        <v>0.119439035</v>
      </c>
      <c r="P347">
        <v>476.86799999999999</v>
      </c>
      <c r="Q347">
        <v>363.23899999999998</v>
      </c>
      <c r="R347">
        <v>23.037457719999999</v>
      </c>
      <c r="S347">
        <v>0.10631873</v>
      </c>
      <c r="T347">
        <v>3.387</v>
      </c>
      <c r="U347">
        <v>0</v>
      </c>
      <c r="V347" s="1" t="str">
        <f>IF(Energy_data_1990___2020[[#This Row],[CO2 emissions from fuel combustion (MtCO2)]]&gt;Energy_data_1990___2020[[#Totals],[CO2 emissions from fuel combustion (MtCO2)]],"Above Average","")</f>
        <v/>
      </c>
      <c r="W347" s="1">
        <f>SUM(Energy_data_1990___2020[[#This Row],[Coal and lignite production (Mt)]]-Energy_data_1990___2020[[#This Row],[Coal and lignite domestic consumption (Mt)]])</f>
        <v>-23.037457719999999</v>
      </c>
    </row>
    <row r="348" spans="1:23">
      <c r="A348" t="s">
        <v>40</v>
      </c>
      <c r="B348">
        <v>1995</v>
      </c>
      <c r="C348" t="s">
        <v>30</v>
      </c>
      <c r="D348">
        <v>366.5739706</v>
      </c>
      <c r="E348">
        <v>1.528755503</v>
      </c>
      <c r="F348">
        <v>0.18565677899999999</v>
      </c>
      <c r="G348">
        <v>127.8680981</v>
      </c>
      <c r="H348">
        <v>239.78587150000001</v>
      </c>
      <c r="I348">
        <v>15.887341839999999</v>
      </c>
      <c r="J348">
        <v>19.178438570000001</v>
      </c>
      <c r="K348">
        <v>84.091999999999999</v>
      </c>
      <c r="L348">
        <v>81.947000000000003</v>
      </c>
      <c r="M348">
        <v>3.3529979509999999</v>
      </c>
      <c r="N348">
        <v>33.491027889999998</v>
      </c>
      <c r="O348">
        <v>0.12144308099999999</v>
      </c>
      <c r="P348">
        <v>494.274</v>
      </c>
      <c r="Q348">
        <v>367.887</v>
      </c>
      <c r="R348">
        <v>24.849950020000001</v>
      </c>
      <c r="S348">
        <v>0.103788587</v>
      </c>
      <c r="T348">
        <v>3.0270000000000001</v>
      </c>
      <c r="U348">
        <v>0</v>
      </c>
      <c r="V348" s="1" t="str">
        <f>IF(Energy_data_1990___2020[[#This Row],[CO2 emissions from fuel combustion (MtCO2)]]&gt;Energy_data_1990___2020[[#Totals],[CO2 emissions from fuel combustion (MtCO2)]],"Above Average","")</f>
        <v/>
      </c>
      <c r="W348" s="1">
        <f>SUM(Energy_data_1990___2020[[#This Row],[Coal and lignite production (Mt)]]-Energy_data_1990___2020[[#This Row],[Coal and lignite domestic consumption (Mt)]])</f>
        <v>-24.849950020000001</v>
      </c>
    </row>
    <row r="349" spans="1:23">
      <c r="A349" t="s">
        <v>40</v>
      </c>
      <c r="B349">
        <v>1996</v>
      </c>
      <c r="C349" t="s">
        <v>30</v>
      </c>
      <c r="D349">
        <v>380.6896534</v>
      </c>
      <c r="E349">
        <v>1.5182841039999999</v>
      </c>
      <c r="F349">
        <v>0.190119497</v>
      </c>
      <c r="G349">
        <v>131.79868429999999</v>
      </c>
      <c r="H349">
        <v>250.73677090000001</v>
      </c>
      <c r="I349">
        <v>14.163085949999999</v>
      </c>
      <c r="J349">
        <v>19.170549279999999</v>
      </c>
      <c r="K349">
        <v>85.248000000000005</v>
      </c>
      <c r="L349">
        <v>85.885999999999996</v>
      </c>
      <c r="M349">
        <v>2.9110003999999998</v>
      </c>
      <c r="N349">
        <v>37.217022489999998</v>
      </c>
      <c r="O349">
        <v>0.12521997500000001</v>
      </c>
      <c r="P349">
        <v>513.39800000000002</v>
      </c>
      <c r="Q349">
        <v>384.18099999999998</v>
      </c>
      <c r="R349">
        <v>25.417408080000001</v>
      </c>
      <c r="S349">
        <v>9.7195548000000007E-2</v>
      </c>
      <c r="T349">
        <v>2.6480000000000001</v>
      </c>
      <c r="U349">
        <v>13.532</v>
      </c>
      <c r="V349" s="1" t="str">
        <f>IF(Energy_data_1990___2020[[#This Row],[CO2 emissions from fuel combustion (MtCO2)]]&gt;Energy_data_1990___2020[[#Totals],[CO2 emissions from fuel combustion (MtCO2)]],"Above Average","")</f>
        <v/>
      </c>
      <c r="W349" s="1">
        <f>SUM(Energy_data_1990___2020[[#This Row],[Coal and lignite production (Mt)]]-Energy_data_1990___2020[[#This Row],[Coal and lignite domestic consumption (Mt)]])</f>
        <v>-11.885408080000001</v>
      </c>
    </row>
    <row r="350" spans="1:23">
      <c r="A350" t="s">
        <v>40</v>
      </c>
      <c r="B350">
        <v>1997</v>
      </c>
      <c r="C350" t="s">
        <v>30</v>
      </c>
      <c r="D350">
        <v>371.98818640000002</v>
      </c>
      <c r="E350">
        <v>1.5232118589999999</v>
      </c>
      <c r="F350">
        <v>0.18153277100000001</v>
      </c>
      <c r="G350">
        <v>128.73881990000001</v>
      </c>
      <c r="H350">
        <v>244.2130319</v>
      </c>
      <c r="I350">
        <v>13.916635299999999</v>
      </c>
      <c r="J350">
        <v>19.28415167</v>
      </c>
      <c r="K350">
        <v>85.402000000000001</v>
      </c>
      <c r="L350">
        <v>91.085999999999999</v>
      </c>
      <c r="M350">
        <v>2.5860027759999999</v>
      </c>
      <c r="N350">
        <v>36.813026739999998</v>
      </c>
      <c r="O350">
        <v>0.119177624</v>
      </c>
      <c r="P350">
        <v>504.77</v>
      </c>
      <c r="Q350">
        <v>381.61799999999999</v>
      </c>
      <c r="R350">
        <v>23.170765840000001</v>
      </c>
      <c r="S350">
        <v>0.103611546</v>
      </c>
      <c r="T350">
        <v>2.266</v>
      </c>
      <c r="U350">
        <v>12.875999999999999</v>
      </c>
      <c r="V350" s="1" t="str">
        <f>IF(Energy_data_1990___2020[[#This Row],[CO2 emissions from fuel combustion (MtCO2)]]&gt;Energy_data_1990___2020[[#Totals],[CO2 emissions from fuel combustion (MtCO2)]],"Above Average","")</f>
        <v/>
      </c>
      <c r="W350" s="1">
        <f>SUM(Energy_data_1990___2020[[#This Row],[Coal and lignite production (Mt)]]-Energy_data_1990___2020[[#This Row],[Coal and lignite domestic consumption (Mt)]])</f>
        <v>-10.294765840000002</v>
      </c>
    </row>
    <row r="351" spans="1:23">
      <c r="A351" t="s">
        <v>40</v>
      </c>
      <c r="B351">
        <v>1998</v>
      </c>
      <c r="C351" t="s">
        <v>30</v>
      </c>
      <c r="D351">
        <v>395.00042960000002</v>
      </c>
      <c r="E351">
        <v>1.5693083130000001</v>
      </c>
      <c r="F351">
        <v>0.186084947</v>
      </c>
      <c r="G351">
        <v>125.4201798</v>
      </c>
      <c r="H351">
        <v>251.70352209999999</v>
      </c>
      <c r="I351">
        <v>13.45202982</v>
      </c>
      <c r="J351">
        <v>19.419429950000001</v>
      </c>
      <c r="K351">
        <v>89.012</v>
      </c>
      <c r="L351">
        <v>93.616</v>
      </c>
      <c r="M351">
        <v>2.2619973849999999</v>
      </c>
      <c r="N351">
        <v>37.17698197</v>
      </c>
      <c r="O351">
        <v>0.118577685</v>
      </c>
      <c r="P351">
        <v>511.27600000000001</v>
      </c>
      <c r="Q351">
        <v>393.30700000000002</v>
      </c>
      <c r="R351">
        <v>27.108470390000001</v>
      </c>
      <c r="S351">
        <v>0.10620486799999999</v>
      </c>
      <c r="T351">
        <v>2.0920000000000001</v>
      </c>
      <c r="U351">
        <v>11.827</v>
      </c>
      <c r="V351" s="1" t="str">
        <f>IF(Energy_data_1990___2020[[#This Row],[CO2 emissions from fuel combustion (MtCO2)]]&gt;Energy_data_1990___2020[[#Totals],[CO2 emissions from fuel combustion (MtCO2)]],"Above Average","")</f>
        <v/>
      </c>
      <c r="W351" s="1">
        <f>SUM(Energy_data_1990___2020[[#This Row],[Coal and lignite production (Mt)]]-Energy_data_1990___2020[[#This Row],[Coal and lignite domestic consumption (Mt)]])</f>
        <v>-15.281470390000001</v>
      </c>
    </row>
    <row r="352" spans="1:23">
      <c r="A352" t="s">
        <v>40</v>
      </c>
      <c r="B352">
        <v>1999</v>
      </c>
      <c r="C352" t="s">
        <v>30</v>
      </c>
      <c r="D352">
        <v>390.01127889999998</v>
      </c>
      <c r="E352">
        <v>1.547860123</v>
      </c>
      <c r="F352">
        <v>0.17765627000000001</v>
      </c>
      <c r="G352">
        <v>127.1421397</v>
      </c>
      <c r="H352">
        <v>251.96803840000001</v>
      </c>
      <c r="I352">
        <v>15.20998239</v>
      </c>
      <c r="J352">
        <v>19.755268480000002</v>
      </c>
      <c r="K352">
        <v>88.084999999999994</v>
      </c>
      <c r="L352">
        <v>85.245999999999995</v>
      </c>
      <c r="M352">
        <v>2.0669998559999998</v>
      </c>
      <c r="N352">
        <v>39.151979189999999</v>
      </c>
      <c r="O352">
        <v>0.114775403</v>
      </c>
      <c r="P352">
        <v>525.80600000000004</v>
      </c>
      <c r="Q352">
        <v>401.03699999999998</v>
      </c>
      <c r="R352">
        <v>24.409051040000001</v>
      </c>
      <c r="S352">
        <v>0.105362054</v>
      </c>
      <c r="T352">
        <v>2.0009999999999999</v>
      </c>
      <c r="U352">
        <v>10.662000000000001</v>
      </c>
      <c r="V352" s="1" t="str">
        <f>IF(Energy_data_1990___2020[[#This Row],[CO2 emissions from fuel combustion (MtCO2)]]&gt;Energy_data_1990___2020[[#Totals],[CO2 emissions from fuel combustion (MtCO2)]],"Above Average","")</f>
        <v/>
      </c>
      <c r="W352" s="1">
        <f>SUM(Energy_data_1990___2020[[#This Row],[Coal and lignite production (Mt)]]-Energy_data_1990___2020[[#This Row],[Coal and lignite domestic consumption (Mt)]])</f>
        <v>-13.747051040000001</v>
      </c>
    </row>
    <row r="353" spans="1:23">
      <c r="A353" t="s">
        <v>40</v>
      </c>
      <c r="B353">
        <v>2000</v>
      </c>
      <c r="C353" t="s">
        <v>30</v>
      </c>
      <c r="D353">
        <v>386.2016074</v>
      </c>
      <c r="E353">
        <v>1.5144293069999999</v>
      </c>
      <c r="F353">
        <v>0.16927895800000001</v>
      </c>
      <c r="G353">
        <v>130.659097</v>
      </c>
      <c r="H353">
        <v>255.01461549999999</v>
      </c>
      <c r="I353">
        <v>13.736725720000001</v>
      </c>
      <c r="J353">
        <v>20.145749479999999</v>
      </c>
      <c r="K353">
        <v>86.367999999999995</v>
      </c>
      <c r="L353">
        <v>88.569000000000003</v>
      </c>
      <c r="M353">
        <v>1.877998133</v>
      </c>
      <c r="N353">
        <v>39.752970580000003</v>
      </c>
      <c r="O353">
        <v>0.111777392</v>
      </c>
      <c r="P353">
        <v>539.95399999999995</v>
      </c>
      <c r="Q353">
        <v>410.39299999999997</v>
      </c>
      <c r="R353">
        <v>23.548989070000001</v>
      </c>
      <c r="S353">
        <v>0.10371253800000001</v>
      </c>
      <c r="T353">
        <v>1.907</v>
      </c>
      <c r="U353">
        <v>9.61</v>
      </c>
      <c r="V353" s="1" t="str">
        <f>IF(Energy_data_1990___2020[[#This Row],[CO2 emissions from fuel combustion (MtCO2)]]&gt;Energy_data_1990___2020[[#Totals],[CO2 emissions from fuel combustion (MtCO2)]],"Above Average","")</f>
        <v/>
      </c>
      <c r="W353" s="1">
        <f>SUM(Energy_data_1990___2020[[#This Row],[Coal and lignite production (Mt)]]-Energy_data_1990___2020[[#This Row],[Coal and lignite domestic consumption (Mt)]])</f>
        <v>-13.938989070000002</v>
      </c>
    </row>
    <row r="354" spans="1:23">
      <c r="A354" t="s">
        <v>40</v>
      </c>
      <c r="B354">
        <v>2001</v>
      </c>
      <c r="C354" t="s">
        <v>30</v>
      </c>
      <c r="D354">
        <v>390.1213176</v>
      </c>
      <c r="E354">
        <v>1.4984122099999999</v>
      </c>
      <c r="F354">
        <v>0.167670913</v>
      </c>
      <c r="G354">
        <v>132.01567679999999</v>
      </c>
      <c r="H354">
        <v>260.35647260000002</v>
      </c>
      <c r="I354">
        <v>14.918566780000001</v>
      </c>
      <c r="J354">
        <v>20.062384229999999</v>
      </c>
      <c r="K354">
        <v>89.358999999999995</v>
      </c>
      <c r="L354">
        <v>90.524000000000001</v>
      </c>
      <c r="M354">
        <v>1.864002315</v>
      </c>
      <c r="N354">
        <v>41.717988689999999</v>
      </c>
      <c r="O354">
        <v>0.111899056</v>
      </c>
      <c r="P354">
        <v>549.53</v>
      </c>
      <c r="Q354">
        <v>421.42500000000001</v>
      </c>
      <c r="R354">
        <v>20.438968849999998</v>
      </c>
      <c r="S354">
        <v>0.113187633</v>
      </c>
      <c r="T354">
        <v>1.6319999999999999</v>
      </c>
      <c r="U354">
        <v>9.8960000000000008</v>
      </c>
      <c r="V354" s="1" t="str">
        <f>IF(Energy_data_1990___2020[[#This Row],[CO2 emissions from fuel combustion (MtCO2)]]&gt;Energy_data_1990___2020[[#Totals],[CO2 emissions from fuel combustion (MtCO2)]],"Above Average","")</f>
        <v/>
      </c>
      <c r="W354" s="1">
        <f>SUM(Energy_data_1990___2020[[#This Row],[Coal and lignite production (Mt)]]-Energy_data_1990___2020[[#This Row],[Coal and lignite domestic consumption (Mt)]])</f>
        <v>-10.542968849999998</v>
      </c>
    </row>
    <row r="355" spans="1:23">
      <c r="A355" t="s">
        <v>40</v>
      </c>
      <c r="B355">
        <v>2002</v>
      </c>
      <c r="C355" t="s">
        <v>30</v>
      </c>
      <c r="D355">
        <v>383.1980787</v>
      </c>
      <c r="E355">
        <v>1.4680930720000001</v>
      </c>
      <c r="F355">
        <v>0.162846192</v>
      </c>
      <c r="G355">
        <v>134.08619229999999</v>
      </c>
      <c r="H355">
        <v>261.01756499999999</v>
      </c>
      <c r="I355">
        <v>12.456534489999999</v>
      </c>
      <c r="J355">
        <v>20.37759308</v>
      </c>
      <c r="K355">
        <v>85.893000000000001</v>
      </c>
      <c r="L355">
        <v>84.155000000000001</v>
      </c>
      <c r="M355">
        <v>1.7780015870000001</v>
      </c>
      <c r="N355">
        <v>42.219956410000002</v>
      </c>
      <c r="O355">
        <v>0.110923616</v>
      </c>
      <c r="P355">
        <v>559.06399999999996</v>
      </c>
      <c r="Q355">
        <v>419.44600000000003</v>
      </c>
      <c r="R355">
        <v>21.052000459999999</v>
      </c>
      <c r="S355">
        <v>0.137014725</v>
      </c>
      <c r="T355">
        <v>1.5189999999999999</v>
      </c>
      <c r="U355">
        <v>8.5530000000000008</v>
      </c>
      <c r="V355" s="1" t="str">
        <f>IF(Energy_data_1990___2020[[#This Row],[CO2 emissions from fuel combustion (MtCO2)]]&gt;Energy_data_1990___2020[[#Totals],[CO2 emissions from fuel combustion (MtCO2)]],"Above Average","")</f>
        <v/>
      </c>
      <c r="W355" s="1">
        <f>SUM(Energy_data_1990___2020[[#This Row],[Coal and lignite production (Mt)]]-Energy_data_1990___2020[[#This Row],[Coal and lignite domestic consumption (Mt)]])</f>
        <v>-12.499000459999998</v>
      </c>
    </row>
    <row r="356" spans="1:23">
      <c r="A356" t="s">
        <v>40</v>
      </c>
      <c r="B356">
        <v>2003</v>
      </c>
      <c r="C356" t="s">
        <v>30</v>
      </c>
      <c r="D356">
        <v>388.40393549999999</v>
      </c>
      <c r="E356">
        <v>1.4513430620000001</v>
      </c>
      <c r="F356">
        <v>0.16371090099999999</v>
      </c>
      <c r="G356">
        <v>135.75458929999999</v>
      </c>
      <c r="H356">
        <v>267.6169031</v>
      </c>
      <c r="I356">
        <v>12.065507139999999</v>
      </c>
      <c r="J356">
        <v>20.742962139999999</v>
      </c>
      <c r="K356">
        <v>86.347999999999999</v>
      </c>
      <c r="L356">
        <v>87.47</v>
      </c>
      <c r="M356">
        <v>1.582999896</v>
      </c>
      <c r="N356">
        <v>44.447956910000002</v>
      </c>
      <c r="O356">
        <v>0.11279958900000001</v>
      </c>
      <c r="P356">
        <v>566.83900000000006</v>
      </c>
      <c r="Q356">
        <v>436.99900000000002</v>
      </c>
      <c r="R356">
        <v>21.14215424</v>
      </c>
      <c r="S356">
        <v>0.15630540600000001</v>
      </c>
      <c r="T356">
        <v>1.5880000000000001</v>
      </c>
      <c r="U356">
        <v>7.3159999999999998</v>
      </c>
      <c r="V356" s="1" t="str">
        <f>IF(Energy_data_1990___2020[[#This Row],[CO2 emissions from fuel combustion (MtCO2)]]&gt;Energy_data_1990___2020[[#Totals],[CO2 emissions from fuel combustion (MtCO2)]],"Above Average","")</f>
        <v/>
      </c>
      <c r="W356" s="1">
        <f>SUM(Energy_data_1990___2020[[#This Row],[Coal and lignite production (Mt)]]-Energy_data_1990___2020[[#This Row],[Coal and lignite domestic consumption (Mt)]])</f>
        <v>-13.826154240000001</v>
      </c>
    </row>
    <row r="357" spans="1:23">
      <c r="A357" t="s">
        <v>40</v>
      </c>
      <c r="B357">
        <v>2004</v>
      </c>
      <c r="C357" t="s">
        <v>30</v>
      </c>
      <c r="D357">
        <v>388.71797470000001</v>
      </c>
      <c r="E357">
        <v>1.431746178</v>
      </c>
      <c r="F357">
        <v>0.15933449499999999</v>
      </c>
      <c r="G357">
        <v>136.9397707</v>
      </c>
      <c r="H357">
        <v>271.49922290000001</v>
      </c>
      <c r="I357">
        <v>12.069247839999999</v>
      </c>
      <c r="J357">
        <v>21.160283400000001</v>
      </c>
      <c r="K357">
        <v>86.402000000000001</v>
      </c>
      <c r="L357">
        <v>88.307000000000002</v>
      </c>
      <c r="M357">
        <v>1.3779990799999999</v>
      </c>
      <c r="N357">
        <v>45.490974880000003</v>
      </c>
      <c r="O357">
        <v>0.111286831</v>
      </c>
      <c r="P357">
        <v>574.05399999999997</v>
      </c>
      <c r="Q357">
        <v>448.72</v>
      </c>
      <c r="R357">
        <v>20.424287190000001</v>
      </c>
      <c r="S357">
        <v>0.186916213</v>
      </c>
      <c r="T357">
        <v>1.635</v>
      </c>
      <c r="U357">
        <v>6.1120000000000001</v>
      </c>
      <c r="V357" s="1" t="str">
        <f>IF(Energy_data_1990___2020[[#This Row],[CO2 emissions from fuel combustion (MtCO2)]]&gt;Energy_data_1990___2020[[#Totals],[CO2 emissions from fuel combustion (MtCO2)]],"Above Average","")</f>
        <v/>
      </c>
      <c r="W357" s="1">
        <f>SUM(Energy_data_1990___2020[[#This Row],[Coal and lignite production (Mt)]]-Energy_data_1990___2020[[#This Row],[Coal and lignite domestic consumption (Mt)]])</f>
        <v>-14.312287190000001</v>
      </c>
    </row>
    <row r="358" spans="1:23">
      <c r="A358" t="s">
        <v>40</v>
      </c>
      <c r="B358">
        <v>2005</v>
      </c>
      <c r="C358" t="s">
        <v>30</v>
      </c>
      <c r="D358">
        <v>391.74640679999999</v>
      </c>
      <c r="E358">
        <v>1.437102391</v>
      </c>
      <c r="F358">
        <v>0.157948805</v>
      </c>
      <c r="G358">
        <v>137.1088915</v>
      </c>
      <c r="H358">
        <v>272.59463849999997</v>
      </c>
      <c r="I358">
        <v>10.61986383</v>
      </c>
      <c r="J358">
        <v>21.43676438</v>
      </c>
      <c r="K358">
        <v>85.247</v>
      </c>
      <c r="L358">
        <v>86.254999999999995</v>
      </c>
      <c r="M358">
        <v>1.148998856</v>
      </c>
      <c r="N358">
        <v>47.169967710000002</v>
      </c>
      <c r="O358">
        <v>0.10990783</v>
      </c>
      <c r="P358">
        <v>576.06200000000001</v>
      </c>
      <c r="Q358">
        <v>451.11</v>
      </c>
      <c r="R358">
        <v>22.179512689999999</v>
      </c>
      <c r="S358">
        <v>0.25240338699999998</v>
      </c>
      <c r="T358">
        <v>1.4430000000000001</v>
      </c>
      <c r="U358">
        <v>5.69</v>
      </c>
      <c r="V358" s="1" t="str">
        <f>IF(Energy_data_1990___2020[[#This Row],[CO2 emissions from fuel combustion (MtCO2)]]&gt;Energy_data_1990___2020[[#Totals],[CO2 emissions from fuel combustion (MtCO2)]],"Above Average","")</f>
        <v/>
      </c>
      <c r="W358" s="1">
        <f>SUM(Energy_data_1990___2020[[#This Row],[Coal and lignite production (Mt)]]-Energy_data_1990___2020[[#This Row],[Coal and lignite domestic consumption (Mt)]])</f>
        <v>-16.489512689999998</v>
      </c>
    </row>
    <row r="359" spans="1:23">
      <c r="A359" t="s">
        <v>40</v>
      </c>
      <c r="B359">
        <v>2006</v>
      </c>
      <c r="C359" t="s">
        <v>30</v>
      </c>
      <c r="D359">
        <v>382.91079180000003</v>
      </c>
      <c r="E359">
        <v>1.4277536070000001</v>
      </c>
      <c r="F359">
        <v>0.15069534400000001</v>
      </c>
      <c r="G359">
        <v>136.20599569999999</v>
      </c>
      <c r="H359">
        <v>268.19108690000002</v>
      </c>
      <c r="I359">
        <v>11.78996991</v>
      </c>
      <c r="J359">
        <v>21.872925949999999</v>
      </c>
      <c r="K359">
        <v>84.748000000000005</v>
      </c>
      <c r="L359">
        <v>86.828999999999994</v>
      </c>
      <c r="M359">
        <v>1.2980008860000001</v>
      </c>
      <c r="N359">
        <v>45.363026779999998</v>
      </c>
      <c r="O359">
        <v>0.105547164</v>
      </c>
      <c r="P359">
        <v>574.87</v>
      </c>
      <c r="Q359">
        <v>446.46600000000001</v>
      </c>
      <c r="R359">
        <v>20.57927136</v>
      </c>
      <c r="S359">
        <v>0.46236540399999998</v>
      </c>
      <c r="T359">
        <v>1.3089999999999999</v>
      </c>
      <c r="U359">
        <v>4.0999999999999996</v>
      </c>
      <c r="V359" s="1" t="str">
        <f>IF(Energy_data_1990___2020[[#This Row],[CO2 emissions from fuel combustion (MtCO2)]]&gt;Energy_data_1990___2020[[#Totals],[CO2 emissions from fuel combustion (MtCO2)]],"Above Average","")</f>
        <v/>
      </c>
      <c r="W359" s="1">
        <f>SUM(Energy_data_1990___2020[[#This Row],[Coal and lignite production (Mt)]]-Energy_data_1990___2020[[#This Row],[Coal and lignite domestic consumption (Mt)]])</f>
        <v>-16.479271359999998</v>
      </c>
    </row>
    <row r="360" spans="1:23">
      <c r="A360" t="s">
        <v>40</v>
      </c>
      <c r="B360">
        <v>2007</v>
      </c>
      <c r="C360" t="s">
        <v>30</v>
      </c>
      <c r="D360">
        <v>374.1112043</v>
      </c>
      <c r="E360">
        <v>1.4102236429999999</v>
      </c>
      <c r="F360">
        <v>0.143746768</v>
      </c>
      <c r="G360">
        <v>134.40839969999999</v>
      </c>
      <c r="H360">
        <v>265.28501790000001</v>
      </c>
      <c r="I360">
        <v>12.56002443</v>
      </c>
      <c r="J360">
        <v>22.302652179999999</v>
      </c>
      <c r="K360">
        <v>82.706999999999994</v>
      </c>
      <c r="L360">
        <v>85.721000000000004</v>
      </c>
      <c r="M360">
        <v>1.107000998</v>
      </c>
      <c r="N360">
        <v>44.417019879999998</v>
      </c>
      <c r="O360">
        <v>0.10193189499999999</v>
      </c>
      <c r="P360">
        <v>569.76800000000003</v>
      </c>
      <c r="Q360">
        <v>448.43200000000002</v>
      </c>
      <c r="R360">
        <v>21.556596119999998</v>
      </c>
      <c r="S360">
        <v>0.85245222600000004</v>
      </c>
      <c r="T360">
        <v>1.319</v>
      </c>
      <c r="U360">
        <v>2.6709999999999998</v>
      </c>
      <c r="V360" s="1" t="str">
        <f>IF(Energy_data_1990___2020[[#This Row],[CO2 emissions from fuel combustion (MtCO2)]]&gt;Energy_data_1990___2020[[#Totals],[CO2 emissions from fuel combustion (MtCO2)]],"Above Average","")</f>
        <v/>
      </c>
      <c r="W360" s="1">
        <f>SUM(Energy_data_1990___2020[[#This Row],[Coal and lignite production (Mt)]]-Energy_data_1990___2020[[#This Row],[Coal and lignite domestic consumption (Mt)]])</f>
        <v>-18.885596119999999</v>
      </c>
    </row>
    <row r="361" spans="1:23">
      <c r="A361" t="s">
        <v>40</v>
      </c>
      <c r="B361">
        <v>2008</v>
      </c>
      <c r="C361" t="s">
        <v>30</v>
      </c>
      <c r="D361">
        <v>367.57204039999999</v>
      </c>
      <c r="E361">
        <v>1.3794455059999999</v>
      </c>
      <c r="F361">
        <v>0.14087503400000001</v>
      </c>
      <c r="G361">
        <v>136.40560060000001</v>
      </c>
      <c r="H361">
        <v>266.463618</v>
      </c>
      <c r="I361">
        <v>13.687529079999999</v>
      </c>
      <c r="J361">
        <v>22.57934461</v>
      </c>
      <c r="K361">
        <v>80.314999999999998</v>
      </c>
      <c r="L361">
        <v>87.947000000000003</v>
      </c>
      <c r="M361">
        <v>0.96200091300000001</v>
      </c>
      <c r="N361">
        <v>45.821040029999999</v>
      </c>
      <c r="O361">
        <v>0.10212439299999999</v>
      </c>
      <c r="P361">
        <v>573.80700000000002</v>
      </c>
      <c r="Q361">
        <v>460.90600000000001</v>
      </c>
      <c r="R361">
        <v>20.046479059999999</v>
      </c>
      <c r="S361">
        <v>1.1226771369999999</v>
      </c>
      <c r="T361">
        <v>1.425</v>
      </c>
      <c r="U361">
        <v>2.0680000000000001</v>
      </c>
      <c r="V361" s="1" t="str">
        <f>IF(Energy_data_1990___2020[[#This Row],[CO2 emissions from fuel combustion (MtCO2)]]&gt;Energy_data_1990___2020[[#Totals],[CO2 emissions from fuel combustion (MtCO2)]],"Above Average","")</f>
        <v/>
      </c>
      <c r="W361" s="1">
        <f>SUM(Energy_data_1990___2020[[#This Row],[Coal and lignite production (Mt)]]-Energy_data_1990___2020[[#This Row],[Coal and lignite domestic consumption (Mt)]])</f>
        <v>-17.978479059999998</v>
      </c>
    </row>
    <row r="362" spans="1:23">
      <c r="A362" t="s">
        <v>40</v>
      </c>
      <c r="B362">
        <v>2009</v>
      </c>
      <c r="C362" t="s">
        <v>30</v>
      </c>
      <c r="D362">
        <v>350.89008530000001</v>
      </c>
      <c r="E362">
        <v>1.376363998</v>
      </c>
      <c r="F362">
        <v>0.13845992500000001</v>
      </c>
      <c r="G362">
        <v>128.7211131</v>
      </c>
      <c r="H362">
        <v>254.9398893</v>
      </c>
      <c r="I362">
        <v>13.92545599</v>
      </c>
      <c r="J362">
        <v>22.809960239999999</v>
      </c>
      <c r="K362">
        <v>77.218999999999994</v>
      </c>
      <c r="L362">
        <v>77.772000000000006</v>
      </c>
      <c r="M362">
        <v>0.9110007</v>
      </c>
      <c r="N362">
        <v>45.298037649999998</v>
      </c>
      <c r="O362">
        <v>0.100598334</v>
      </c>
      <c r="P362">
        <v>535.92499999999995</v>
      </c>
      <c r="Q362">
        <v>447.64600000000002</v>
      </c>
      <c r="R362">
        <v>16.64816489</v>
      </c>
      <c r="S362">
        <v>1.637355973</v>
      </c>
      <c r="T362">
        <v>1.242</v>
      </c>
      <c r="U362">
        <v>2.2429999999999999</v>
      </c>
      <c r="V362" s="1" t="str">
        <f>IF(Energy_data_1990___2020[[#This Row],[CO2 emissions from fuel combustion (MtCO2)]]&gt;Energy_data_1990___2020[[#Totals],[CO2 emissions from fuel combustion (MtCO2)]],"Above Average","")</f>
        <v/>
      </c>
      <c r="W362" s="1">
        <f>SUM(Energy_data_1990___2020[[#This Row],[Coal and lignite production (Mt)]]-Energy_data_1990___2020[[#This Row],[Coal and lignite domestic consumption (Mt)]])</f>
        <v>-14.40516489</v>
      </c>
    </row>
    <row r="363" spans="1:23">
      <c r="A363" t="s">
        <v>40</v>
      </c>
      <c r="B363">
        <v>2010</v>
      </c>
      <c r="C363" t="s">
        <v>30</v>
      </c>
      <c r="D363">
        <v>356.443084</v>
      </c>
      <c r="E363">
        <v>1.3562259839999999</v>
      </c>
      <c r="F363">
        <v>0.137961641</v>
      </c>
      <c r="G363">
        <v>135.6081475</v>
      </c>
      <c r="H363">
        <v>262.81983109999999</v>
      </c>
      <c r="I363">
        <v>14.581020499999999</v>
      </c>
      <c r="J363">
        <v>23.642611509999998</v>
      </c>
      <c r="K363">
        <v>75.111000000000004</v>
      </c>
      <c r="L363">
        <v>71.094999999999999</v>
      </c>
      <c r="M363">
        <v>0.77699932999999999</v>
      </c>
      <c r="N363">
        <v>48.198058009999997</v>
      </c>
      <c r="O363">
        <v>0.101724671</v>
      </c>
      <c r="P363">
        <v>569.28800000000001</v>
      </c>
      <c r="Q363">
        <v>471.791</v>
      </c>
      <c r="R363">
        <v>17.658725059999998</v>
      </c>
      <c r="S363">
        <v>1.963153975</v>
      </c>
      <c r="T363">
        <v>1.169</v>
      </c>
      <c r="U363">
        <v>0.872</v>
      </c>
      <c r="V363" s="1" t="str">
        <f>IF(Energy_data_1990___2020[[#This Row],[CO2 emissions from fuel combustion (MtCO2)]]&gt;Energy_data_1990___2020[[#Totals],[CO2 emissions from fuel combustion (MtCO2)]],"Above Average","")</f>
        <v/>
      </c>
      <c r="W363" s="1">
        <f>SUM(Energy_data_1990___2020[[#This Row],[Coal and lignite production (Mt)]]-Energy_data_1990___2020[[#This Row],[Coal and lignite domestic consumption (Mt)]])</f>
        <v>-16.786725059999998</v>
      </c>
    </row>
    <row r="364" spans="1:23">
      <c r="A364" t="s">
        <v>40</v>
      </c>
      <c r="B364">
        <v>2011</v>
      </c>
      <c r="C364" t="s">
        <v>30</v>
      </c>
      <c r="D364">
        <v>339.46146870000001</v>
      </c>
      <c r="E364">
        <v>1.315583492</v>
      </c>
      <c r="F364">
        <v>0.12856974099999999</v>
      </c>
      <c r="G364">
        <v>136.57713849999999</v>
      </c>
      <c r="H364">
        <v>258.03110989999999</v>
      </c>
      <c r="I364">
        <v>12.41026607</v>
      </c>
      <c r="J364">
        <v>23.726385709999999</v>
      </c>
      <c r="K364">
        <v>75.305000000000007</v>
      </c>
      <c r="L364">
        <v>71.936999999999998</v>
      </c>
      <c r="M364">
        <v>0.56299947400000006</v>
      </c>
      <c r="N364">
        <v>41.206010540000001</v>
      </c>
      <c r="O364">
        <v>9.7728302000000003E-2</v>
      </c>
      <c r="P364">
        <v>573.50099999999998</v>
      </c>
      <c r="Q364">
        <v>442.47199999999998</v>
      </c>
      <c r="R364">
        <v>16.260359860000001</v>
      </c>
      <c r="S364">
        <v>2.753438965</v>
      </c>
      <c r="T364">
        <v>1.1240000000000001</v>
      </c>
      <c r="U364">
        <v>0.61699999999999999</v>
      </c>
      <c r="V364" s="1" t="str">
        <f>IF(Energy_data_1990___2020[[#This Row],[CO2 emissions from fuel combustion (MtCO2)]]&gt;Energy_data_1990___2020[[#Totals],[CO2 emissions from fuel combustion (MtCO2)]],"Above Average","")</f>
        <v/>
      </c>
      <c r="W364" s="1">
        <f>SUM(Energy_data_1990___2020[[#This Row],[Coal and lignite production (Mt)]]-Energy_data_1990___2020[[#This Row],[Coal and lignite domestic consumption (Mt)]])</f>
        <v>-15.64335986</v>
      </c>
    </row>
    <row r="365" spans="1:23">
      <c r="A365" t="s">
        <v>40</v>
      </c>
      <c r="B365">
        <v>2012</v>
      </c>
      <c r="C365" t="s">
        <v>30</v>
      </c>
      <c r="D365">
        <v>344.77483940000002</v>
      </c>
      <c r="E365">
        <v>1.337298839</v>
      </c>
      <c r="F365">
        <v>0.13017453800000001</v>
      </c>
      <c r="G365">
        <v>135.36863790000001</v>
      </c>
      <c r="H365">
        <v>257.81435629999999</v>
      </c>
      <c r="I365">
        <v>15.739990499999999</v>
      </c>
      <c r="J365">
        <v>24.118005759999999</v>
      </c>
      <c r="K365">
        <v>73.769000000000005</v>
      </c>
      <c r="L365">
        <v>61.433999999999997</v>
      </c>
      <c r="M365">
        <v>0.50299942799999997</v>
      </c>
      <c r="N365">
        <v>42.572025179999997</v>
      </c>
      <c r="O365">
        <v>9.7341397999999996E-2</v>
      </c>
      <c r="P365">
        <v>572.65599999999995</v>
      </c>
      <c r="Q365">
        <v>456.87900000000002</v>
      </c>
      <c r="R365">
        <v>17.95810088</v>
      </c>
      <c r="S365">
        <v>3.6444217820000002</v>
      </c>
      <c r="T365">
        <v>1.022</v>
      </c>
      <c r="U365">
        <v>0.45200000000000001</v>
      </c>
      <c r="V365" s="1" t="str">
        <f>IF(Energy_data_1990___2020[[#This Row],[CO2 emissions from fuel combustion (MtCO2)]]&gt;Energy_data_1990___2020[[#Totals],[CO2 emissions from fuel combustion (MtCO2)]],"Above Average","")</f>
        <v/>
      </c>
      <c r="W365" s="1">
        <f>SUM(Energy_data_1990___2020[[#This Row],[Coal and lignite production (Mt)]]-Energy_data_1990___2020[[#This Row],[Coal and lignite domestic consumption (Mt)]])</f>
        <v>-17.506100879999998</v>
      </c>
    </row>
    <row r="366" spans="1:23">
      <c r="A366" t="s">
        <v>40</v>
      </c>
      <c r="B366">
        <v>2013</v>
      </c>
      <c r="C366" t="s">
        <v>30</v>
      </c>
      <c r="D366">
        <v>345.06270599999999</v>
      </c>
      <c r="E366">
        <v>1.3336406700000001</v>
      </c>
      <c r="F366">
        <v>0.12953667199999999</v>
      </c>
      <c r="G366">
        <v>136.96823810000001</v>
      </c>
      <c r="H366">
        <v>258.73738980000002</v>
      </c>
      <c r="I366">
        <v>17.938808040000001</v>
      </c>
      <c r="J366">
        <v>24.127281310000001</v>
      </c>
      <c r="K366">
        <v>72.397000000000006</v>
      </c>
      <c r="L366">
        <v>58.173999999999999</v>
      </c>
      <c r="M366">
        <v>0.32200036799999998</v>
      </c>
      <c r="N366">
        <v>43.2419935</v>
      </c>
      <c r="O366">
        <v>9.7130115000000003E-2</v>
      </c>
      <c r="P366">
        <v>582.16800000000001</v>
      </c>
      <c r="Q366">
        <v>461.61500000000001</v>
      </c>
      <c r="R366">
        <v>18.817868900000001</v>
      </c>
      <c r="S366">
        <v>3.8877093899999999</v>
      </c>
      <c r="T366">
        <v>1.079</v>
      </c>
      <c r="U366">
        <v>0.42199999999999999</v>
      </c>
      <c r="V366" s="1" t="str">
        <f>IF(Energy_data_1990___2020[[#This Row],[CO2 emissions from fuel combustion (MtCO2)]]&gt;Energy_data_1990___2020[[#Totals],[CO2 emissions from fuel combustion (MtCO2)]],"Above Average","")</f>
        <v/>
      </c>
      <c r="W366" s="1">
        <f>SUM(Energy_data_1990___2020[[#This Row],[Coal and lignite production (Mt)]]-Energy_data_1990___2020[[#This Row],[Coal and lignite domestic consumption (Mt)]])</f>
        <v>-18.3958689</v>
      </c>
    </row>
    <row r="367" spans="1:23">
      <c r="A367" t="s">
        <v>40</v>
      </c>
      <c r="B367">
        <v>2014</v>
      </c>
      <c r="C367" t="s">
        <v>30</v>
      </c>
      <c r="D367">
        <v>313.91030289999998</v>
      </c>
      <c r="E367">
        <v>1.261749604</v>
      </c>
      <c r="F367">
        <v>0.116725934</v>
      </c>
      <c r="G367">
        <v>138.3407579</v>
      </c>
      <c r="H367">
        <v>248.78969789999999</v>
      </c>
      <c r="I367">
        <v>17.425128990000001</v>
      </c>
      <c r="J367">
        <v>24.185020569999999</v>
      </c>
      <c r="K367">
        <v>71.156999999999996</v>
      </c>
      <c r="L367">
        <v>58.296999999999997</v>
      </c>
      <c r="M367">
        <v>1.3999986000000001E-2</v>
      </c>
      <c r="N367">
        <v>36.312999130000001</v>
      </c>
      <c r="O367">
        <v>9.2511172000000003E-2</v>
      </c>
      <c r="P367">
        <v>572.51800000000003</v>
      </c>
      <c r="Q367">
        <v>435.846</v>
      </c>
      <c r="R367">
        <v>14.28321905</v>
      </c>
      <c r="S367">
        <v>4.3652775979999996</v>
      </c>
      <c r="T367">
        <v>1.048</v>
      </c>
      <c r="U367">
        <v>0.27700000000000002</v>
      </c>
      <c r="V367" s="1" t="str">
        <f>IF(Energy_data_1990___2020[[#This Row],[CO2 emissions from fuel combustion (MtCO2)]]&gt;Energy_data_1990___2020[[#Totals],[CO2 emissions from fuel combustion (MtCO2)]],"Above Average","")</f>
        <v/>
      </c>
      <c r="W367" s="1">
        <f>SUM(Energy_data_1990___2020[[#This Row],[Coal and lignite production (Mt)]]-Energy_data_1990___2020[[#This Row],[Coal and lignite domestic consumption (Mt)]])</f>
        <v>-14.00621905</v>
      </c>
    </row>
    <row r="368" spans="1:23">
      <c r="A368" t="s">
        <v>40</v>
      </c>
      <c r="B368">
        <v>2015</v>
      </c>
      <c r="C368" t="s">
        <v>30</v>
      </c>
      <c r="D368">
        <v>319.93668889999998</v>
      </c>
      <c r="E368">
        <v>1.2666090189999999</v>
      </c>
      <c r="F368">
        <v>0.117657391</v>
      </c>
      <c r="G368">
        <v>139.20072759999999</v>
      </c>
      <c r="H368">
        <v>252.5930923</v>
      </c>
      <c r="I368">
        <v>16.701205609999999</v>
      </c>
      <c r="J368">
        <v>24.366564740000001</v>
      </c>
      <c r="K368">
        <v>71.096999999999994</v>
      </c>
      <c r="L368">
        <v>60.241999999999997</v>
      </c>
      <c r="M368">
        <v>2.0999976E-2</v>
      </c>
      <c r="N368">
        <v>39.040981410000001</v>
      </c>
      <c r="O368">
        <v>9.2891641999999996E-2</v>
      </c>
      <c r="P368">
        <v>579.53899999999999</v>
      </c>
      <c r="Q368">
        <v>445.24799999999999</v>
      </c>
      <c r="R368">
        <v>13.80440029</v>
      </c>
      <c r="S368">
        <v>5.257454632</v>
      </c>
      <c r="T368">
        <v>1.0629999999999999</v>
      </c>
      <c r="U368">
        <v>0.14699999999999999</v>
      </c>
      <c r="V368" s="1" t="str">
        <f>IF(Energy_data_1990___2020[[#This Row],[CO2 emissions from fuel combustion (MtCO2)]]&gt;Energy_data_1990___2020[[#Totals],[CO2 emissions from fuel combustion (MtCO2)]],"Above Average","")</f>
        <v/>
      </c>
      <c r="W368" s="1">
        <f>SUM(Energy_data_1990___2020[[#This Row],[Coal and lignite production (Mt)]]-Energy_data_1990___2020[[#This Row],[Coal and lignite domestic consumption (Mt)]])</f>
        <v>-13.65740029</v>
      </c>
    </row>
    <row r="369" spans="1:23">
      <c r="A369" t="s">
        <v>40</v>
      </c>
      <c r="B369">
        <v>2016</v>
      </c>
      <c r="C369" t="s">
        <v>30</v>
      </c>
      <c r="D369">
        <v>321.03632850000002</v>
      </c>
      <c r="E369">
        <v>1.295131773</v>
      </c>
      <c r="F369">
        <v>0.116782476</v>
      </c>
      <c r="G369">
        <v>131.50079539999999</v>
      </c>
      <c r="H369">
        <v>247.87927780000001</v>
      </c>
      <c r="I369">
        <v>18.408533389999999</v>
      </c>
      <c r="J369">
        <v>24.519858660000001</v>
      </c>
      <c r="K369">
        <v>69.783000000000001</v>
      </c>
      <c r="L369">
        <v>59.365000000000002</v>
      </c>
      <c r="M369">
        <v>0.02</v>
      </c>
      <c r="N369">
        <v>42.671978009999997</v>
      </c>
      <c r="O369">
        <v>9.0170343E-2</v>
      </c>
      <c r="P369">
        <v>564.18399999999997</v>
      </c>
      <c r="Q369">
        <v>453.54</v>
      </c>
      <c r="R369">
        <v>13.06380598</v>
      </c>
      <c r="S369">
        <v>5.5306424850000004</v>
      </c>
      <c r="T369">
        <v>0.99199999999999999</v>
      </c>
      <c r="U369">
        <v>0.26100000000000001</v>
      </c>
      <c r="V369" s="1" t="str">
        <f>IF(Energy_data_1990___2020[[#This Row],[CO2 emissions from fuel combustion (MtCO2)]]&gt;Energy_data_1990___2020[[#Totals],[CO2 emissions from fuel combustion (MtCO2)]],"Above Average","")</f>
        <v/>
      </c>
      <c r="W369" s="1">
        <f>SUM(Energy_data_1990___2020[[#This Row],[Coal and lignite production (Mt)]]-Energy_data_1990___2020[[#This Row],[Coal and lignite domestic consumption (Mt)]])</f>
        <v>-12.80280598</v>
      </c>
    </row>
    <row r="370" spans="1:23">
      <c r="A370" t="s">
        <v>40</v>
      </c>
      <c r="B370">
        <v>2017</v>
      </c>
      <c r="C370" t="s">
        <v>30</v>
      </c>
      <c r="D370">
        <v>325.42672420000002</v>
      </c>
      <c r="E370">
        <v>1.3149092760000001</v>
      </c>
      <c r="F370">
        <v>0.11576307700000001</v>
      </c>
      <c r="G370">
        <v>129.44984550000001</v>
      </c>
      <c r="H370">
        <v>247.4898689</v>
      </c>
      <c r="I370">
        <v>17.395432599999999</v>
      </c>
      <c r="J370">
        <v>24.310558220000001</v>
      </c>
      <c r="K370">
        <v>70.356007000000005</v>
      </c>
      <c r="L370">
        <v>59.347999999999999</v>
      </c>
      <c r="M370">
        <v>1.5755990000000001E-2</v>
      </c>
      <c r="N370">
        <v>42.91400745</v>
      </c>
      <c r="O370">
        <v>8.8038831999999997E-2</v>
      </c>
      <c r="P370">
        <v>561.93000900000004</v>
      </c>
      <c r="Q370">
        <v>449.85657600000002</v>
      </c>
      <c r="R370">
        <v>14.819003240000001</v>
      </c>
      <c r="S370">
        <v>6.3297327839999999</v>
      </c>
      <c r="T370">
        <v>0.96399999999999997</v>
      </c>
      <c r="U370">
        <v>0.14899999999999999</v>
      </c>
      <c r="V370" s="1" t="str">
        <f>IF(Energy_data_1990___2020[[#This Row],[CO2 emissions from fuel combustion (MtCO2)]]&gt;Energy_data_1990___2020[[#Totals],[CO2 emissions from fuel combustion (MtCO2)]],"Above Average","")</f>
        <v/>
      </c>
      <c r="W370" s="1">
        <f>SUM(Energy_data_1990___2020[[#This Row],[Coal and lignite production (Mt)]]-Energy_data_1990___2020[[#This Row],[Coal and lignite domestic consumption (Mt)]])</f>
        <v>-14.670003240000002</v>
      </c>
    </row>
    <row r="371" spans="1:23">
      <c r="A371" t="s">
        <v>40</v>
      </c>
      <c r="B371">
        <v>2018</v>
      </c>
      <c r="C371" t="s">
        <v>30</v>
      </c>
      <c r="D371">
        <v>320.32388099999997</v>
      </c>
      <c r="E371">
        <v>1.3005377490000001</v>
      </c>
      <c r="F371">
        <v>0.112015721</v>
      </c>
      <c r="G371">
        <v>135.4140487</v>
      </c>
      <c r="H371">
        <v>246.3011022</v>
      </c>
      <c r="I371">
        <v>20.397715030000001</v>
      </c>
      <c r="J371">
        <v>24.792697660000002</v>
      </c>
      <c r="K371">
        <v>67.659318999999996</v>
      </c>
      <c r="L371">
        <v>55.638584999999999</v>
      </c>
      <c r="M371">
        <v>8.6320040000000004E-3</v>
      </c>
      <c r="N371">
        <v>40.97349243</v>
      </c>
      <c r="O371">
        <v>8.6130311000000001E-2</v>
      </c>
      <c r="P371">
        <v>581.94280000000003</v>
      </c>
      <c r="Q371">
        <v>447.87831999999997</v>
      </c>
      <c r="R371">
        <v>13.00922184</v>
      </c>
      <c r="S371">
        <v>6.949880469</v>
      </c>
      <c r="T371">
        <v>0.91290700000000002</v>
      </c>
      <c r="U371">
        <v>0.28999999999999998</v>
      </c>
      <c r="V371" s="1" t="str">
        <f>IF(Energy_data_1990___2020[[#This Row],[CO2 emissions from fuel combustion (MtCO2)]]&gt;Energy_data_1990___2020[[#Totals],[CO2 emissions from fuel combustion (MtCO2)]],"Above Average","")</f>
        <v/>
      </c>
      <c r="W371" s="1">
        <f>SUM(Energy_data_1990___2020[[#This Row],[Coal and lignite production (Mt)]]-Energy_data_1990___2020[[#This Row],[Coal and lignite domestic consumption (Mt)]])</f>
        <v>-12.719221840000001</v>
      </c>
    </row>
    <row r="372" spans="1:23">
      <c r="A372" t="s">
        <v>40</v>
      </c>
      <c r="B372">
        <v>2019</v>
      </c>
      <c r="C372" t="s">
        <v>30</v>
      </c>
      <c r="D372">
        <v>311.49241080000002</v>
      </c>
      <c r="E372">
        <v>1.2829803420000001</v>
      </c>
      <c r="F372">
        <v>0.10730811899999999</v>
      </c>
      <c r="G372">
        <v>131.93116119999999</v>
      </c>
      <c r="H372">
        <v>242.7881399</v>
      </c>
      <c r="I372">
        <v>20.56353266</v>
      </c>
      <c r="J372">
        <v>24.756259790000001</v>
      </c>
      <c r="K372">
        <v>67.631814989999995</v>
      </c>
      <c r="L372">
        <v>50.842438999999999</v>
      </c>
      <c r="M372">
        <v>1.5985886000000001E-2</v>
      </c>
      <c r="N372">
        <v>41.761293819999999</v>
      </c>
      <c r="O372">
        <v>8.3639722E-2</v>
      </c>
      <c r="P372">
        <v>570.99893629999997</v>
      </c>
      <c r="Q372">
        <v>443.82477690000002</v>
      </c>
      <c r="R372">
        <v>10.203106229999999</v>
      </c>
      <c r="S372">
        <v>8.3692615559999997</v>
      </c>
      <c r="T372">
        <v>0.96462700000000001</v>
      </c>
      <c r="U372">
        <v>0.313</v>
      </c>
      <c r="V372" s="1" t="str">
        <f>IF(Energy_data_1990___2020[[#This Row],[CO2 emissions from fuel combustion (MtCO2)]]&gt;Energy_data_1990___2020[[#Totals],[CO2 emissions from fuel combustion (MtCO2)]],"Above Average","")</f>
        <v/>
      </c>
      <c r="W372" s="1">
        <f>SUM(Energy_data_1990___2020[[#This Row],[Coal and lignite production (Mt)]]-Energy_data_1990___2020[[#This Row],[Coal and lignite domestic consumption (Mt)]])</f>
        <v>-9.8901062299999989</v>
      </c>
    </row>
    <row r="373" spans="1:23">
      <c r="A373" t="s">
        <v>40</v>
      </c>
      <c r="B373">
        <v>2020</v>
      </c>
      <c r="C373" t="s">
        <v>30</v>
      </c>
      <c r="D373">
        <v>272.09193249999998</v>
      </c>
      <c r="E373">
        <v>1.254494918</v>
      </c>
      <c r="F373">
        <v>0.102107606</v>
      </c>
      <c r="G373">
        <v>120.4628929</v>
      </c>
      <c r="H373">
        <v>216.8936108</v>
      </c>
      <c r="I373">
        <v>24.302698759999998</v>
      </c>
      <c r="J373">
        <v>26.043624210000001</v>
      </c>
      <c r="K373">
        <v>57.863138550000002</v>
      </c>
      <c r="L373">
        <v>36.615483400000002</v>
      </c>
      <c r="M373">
        <v>2.7134861999999999E-2</v>
      </c>
      <c r="N373">
        <v>38.699271940000003</v>
      </c>
      <c r="O373">
        <v>8.1393400000000005E-2</v>
      </c>
      <c r="P373">
        <v>532.52687040000001</v>
      </c>
      <c r="Q373">
        <v>423.65498869999999</v>
      </c>
      <c r="R373">
        <v>8.2566619699999997</v>
      </c>
      <c r="S373">
        <v>10.285193550000001</v>
      </c>
      <c r="T373">
        <v>0.91204775100000002</v>
      </c>
      <c r="U373">
        <v>0.3</v>
      </c>
      <c r="V373" s="1" t="str">
        <f>IF(Energy_data_1990___2020[[#This Row],[CO2 emissions from fuel combustion (MtCO2)]]&gt;Energy_data_1990___2020[[#Totals],[CO2 emissions from fuel combustion (MtCO2)]],"Above Average","")</f>
        <v/>
      </c>
      <c r="W373" s="1">
        <f>SUM(Energy_data_1990___2020[[#This Row],[Coal and lignite production (Mt)]]-Energy_data_1990___2020[[#This Row],[Coal and lignite domestic consumption (Mt)]])</f>
        <v>-7.9566619699999999</v>
      </c>
    </row>
    <row r="374" spans="1:23">
      <c r="A374" t="s">
        <v>41</v>
      </c>
      <c r="B374">
        <v>1990</v>
      </c>
      <c r="C374" t="s">
        <v>30</v>
      </c>
      <c r="D374">
        <v>952.76243339999996</v>
      </c>
      <c r="E374">
        <v>2.2982072499999999</v>
      </c>
      <c r="F374">
        <v>0.29773659400000002</v>
      </c>
      <c r="G374">
        <v>186.0512665</v>
      </c>
      <c r="H374">
        <v>351.09397639999997</v>
      </c>
      <c r="I374">
        <v>3.901348145</v>
      </c>
      <c r="J374">
        <v>15.87141901</v>
      </c>
      <c r="K374">
        <v>119.23099999999999</v>
      </c>
      <c r="L374">
        <v>105.785</v>
      </c>
      <c r="M374">
        <v>18.919009079999999</v>
      </c>
      <c r="N374">
        <v>69.723084150000005</v>
      </c>
      <c r="O374">
        <v>0.12955167300000001</v>
      </c>
      <c r="P374">
        <v>550.01499999999999</v>
      </c>
      <c r="Q374">
        <v>481.00099999999998</v>
      </c>
      <c r="R374">
        <v>448.76626019999998</v>
      </c>
      <c r="S374">
        <v>1.3090552E-2</v>
      </c>
      <c r="T374">
        <v>5.52</v>
      </c>
      <c r="U374">
        <v>434.44600000000003</v>
      </c>
      <c r="V374" s="1" t="str">
        <f>IF(Energy_data_1990___2020[[#This Row],[CO2 emissions from fuel combustion (MtCO2)]]&gt;Energy_data_1990___2020[[#Totals],[CO2 emissions from fuel combustion (MtCO2)]],"Above Average","")</f>
        <v>Above Average</v>
      </c>
      <c r="W374" s="1">
        <f>SUM(Energy_data_1990___2020[[#This Row],[Coal and lignite production (Mt)]]-Energy_data_1990___2020[[#This Row],[Coal and lignite domestic consumption (Mt)]])</f>
        <v>-14.32026019999995</v>
      </c>
    </row>
    <row r="375" spans="1:23">
      <c r="A375" t="s">
        <v>41</v>
      </c>
      <c r="B375">
        <v>1991</v>
      </c>
      <c r="C375" t="s">
        <v>30</v>
      </c>
      <c r="D375">
        <v>936.14524519999998</v>
      </c>
      <c r="E375">
        <v>2.2815522189999999</v>
      </c>
      <c r="F375">
        <v>0.275759486</v>
      </c>
      <c r="G375">
        <v>168.2866286</v>
      </c>
      <c r="H375">
        <v>344.28432720000001</v>
      </c>
      <c r="I375">
        <v>3.8520552819999998</v>
      </c>
      <c r="J375">
        <v>16.0860591</v>
      </c>
      <c r="K375">
        <v>126.95399999999999</v>
      </c>
      <c r="L375">
        <v>104.28</v>
      </c>
      <c r="M375">
        <v>18.919012330000001</v>
      </c>
      <c r="N375">
        <v>73.364899399999999</v>
      </c>
      <c r="O375">
        <v>0.12086485800000001</v>
      </c>
      <c r="P375">
        <v>539.63400000000001</v>
      </c>
      <c r="Q375">
        <v>481.05500000000001</v>
      </c>
      <c r="R375">
        <v>368.31544980000001</v>
      </c>
      <c r="S375">
        <v>4.0027129000000002E-2</v>
      </c>
      <c r="T375">
        <v>4.62</v>
      </c>
      <c r="U375">
        <v>352.64499999999998</v>
      </c>
      <c r="V375" s="1" t="str">
        <f>IF(Energy_data_1990___2020[[#This Row],[CO2 emissions from fuel combustion (MtCO2)]]&gt;Energy_data_1990___2020[[#Totals],[CO2 emissions from fuel combustion (MtCO2)]],"Above Average","")</f>
        <v>Above Average</v>
      </c>
      <c r="W375" s="1">
        <f>SUM(Energy_data_1990___2020[[#This Row],[Coal and lignite production (Mt)]]-Energy_data_1990___2020[[#This Row],[Coal and lignite domestic consumption (Mt)]])</f>
        <v>-15.670449800000029</v>
      </c>
    </row>
    <row r="376" spans="1:23">
      <c r="A376" t="s">
        <v>41</v>
      </c>
      <c r="B376">
        <v>1992</v>
      </c>
      <c r="C376" t="s">
        <v>30</v>
      </c>
      <c r="D376">
        <v>895.77711380000005</v>
      </c>
      <c r="E376">
        <v>2.217588809</v>
      </c>
      <c r="F376">
        <v>0.258086606</v>
      </c>
      <c r="G376">
        <v>163.2308343</v>
      </c>
      <c r="H376">
        <v>337.90566050000001</v>
      </c>
      <c r="I376">
        <v>4.3784769380000004</v>
      </c>
      <c r="J376">
        <v>16.38104783</v>
      </c>
      <c r="K376">
        <v>128.03100000000001</v>
      </c>
      <c r="L376">
        <v>111.54600000000001</v>
      </c>
      <c r="M376">
        <v>19.184002840000002</v>
      </c>
      <c r="N376">
        <v>71.898044850000005</v>
      </c>
      <c r="O376">
        <v>0.116381633</v>
      </c>
      <c r="P376">
        <v>537.47</v>
      </c>
      <c r="Q376">
        <v>475.87799999999999</v>
      </c>
      <c r="R376">
        <v>327.82400000000001</v>
      </c>
      <c r="S376">
        <v>5.4886784000000001E-2</v>
      </c>
      <c r="T376">
        <v>4.3959999999999999</v>
      </c>
      <c r="U376">
        <v>314.16000000000003</v>
      </c>
      <c r="V376" s="1" t="str">
        <f>IF(Energy_data_1990___2020[[#This Row],[CO2 emissions from fuel combustion (MtCO2)]]&gt;Energy_data_1990___2020[[#Totals],[CO2 emissions from fuel combustion (MtCO2)]],"Above Average","")</f>
        <v>Above Average</v>
      </c>
      <c r="W376" s="1">
        <f>SUM(Energy_data_1990___2020[[#This Row],[Coal and lignite production (Mt)]]-Energy_data_1990___2020[[#This Row],[Coal and lignite domestic consumption (Mt)]])</f>
        <v>-13.663999999999987</v>
      </c>
    </row>
    <row r="377" spans="1:23">
      <c r="A377" t="s">
        <v>41</v>
      </c>
      <c r="B377">
        <v>1993</v>
      </c>
      <c r="C377" t="s">
        <v>30</v>
      </c>
      <c r="D377">
        <v>883.96284690000005</v>
      </c>
      <c r="E377">
        <v>2.1927026330000001</v>
      </c>
      <c r="F377">
        <v>0.25518086000000001</v>
      </c>
      <c r="G377">
        <v>151.99079520000001</v>
      </c>
      <c r="H377">
        <v>334.58402189999998</v>
      </c>
      <c r="I377">
        <v>4.6190592009999998</v>
      </c>
      <c r="J377">
        <v>16.174707009999999</v>
      </c>
      <c r="K377">
        <v>129.566</v>
      </c>
      <c r="L377">
        <v>115.861</v>
      </c>
      <c r="M377">
        <v>19.188972740000001</v>
      </c>
      <c r="N377">
        <v>74.810011729999999</v>
      </c>
      <c r="O377">
        <v>0.11637732200000001</v>
      </c>
      <c r="P377">
        <v>526.27599999999995</v>
      </c>
      <c r="Q377">
        <v>467.16399999999999</v>
      </c>
      <c r="R377">
        <v>305.9295022</v>
      </c>
      <c r="S377">
        <v>0.12863972500000001</v>
      </c>
      <c r="T377">
        <v>4.1740000000000004</v>
      </c>
      <c r="U377">
        <v>286.56099999999998</v>
      </c>
      <c r="V377" s="1" t="str">
        <f>IF(Energy_data_1990___2020[[#This Row],[CO2 emissions from fuel combustion (MtCO2)]]&gt;Energy_data_1990___2020[[#Totals],[CO2 emissions from fuel combustion (MtCO2)]],"Above Average","")</f>
        <v>Above Average</v>
      </c>
      <c r="W377" s="1">
        <f>SUM(Energy_data_1990___2020[[#This Row],[Coal and lignite production (Mt)]]-Energy_data_1990___2020[[#This Row],[Coal and lignite domestic consumption (Mt)]])</f>
        <v>-19.368502200000023</v>
      </c>
    </row>
    <row r="378" spans="1:23">
      <c r="A378" t="s">
        <v>41</v>
      </c>
      <c r="B378">
        <v>1994</v>
      </c>
      <c r="C378" t="s">
        <v>30</v>
      </c>
      <c r="D378">
        <v>869.54032370000004</v>
      </c>
      <c r="E378">
        <v>2.137809254</v>
      </c>
      <c r="F378">
        <v>0.24179688599999999</v>
      </c>
      <c r="G378">
        <v>145.11926450000001</v>
      </c>
      <c r="H378">
        <v>332.9739606</v>
      </c>
      <c r="I378">
        <v>5.1757502459999998</v>
      </c>
      <c r="J378">
        <v>16.266786060000001</v>
      </c>
      <c r="K378">
        <v>127.896</v>
      </c>
      <c r="L378">
        <v>119.36</v>
      </c>
      <c r="M378">
        <v>19.905997670000001</v>
      </c>
      <c r="N378">
        <v>77.971058499999998</v>
      </c>
      <c r="O378">
        <v>0.113104986</v>
      </c>
      <c r="P378">
        <v>529.16</v>
      </c>
      <c r="Q378">
        <v>465.07299999999998</v>
      </c>
      <c r="R378">
        <v>289.42599999999999</v>
      </c>
      <c r="S378">
        <v>0.27118451900000001</v>
      </c>
      <c r="T378">
        <v>3.9540000000000002</v>
      </c>
      <c r="U378">
        <v>264.88</v>
      </c>
      <c r="V378" s="1" t="str">
        <f>IF(Energy_data_1990___2020[[#This Row],[CO2 emissions from fuel combustion (MtCO2)]]&gt;Energy_data_1990___2020[[#Totals],[CO2 emissions from fuel combustion (MtCO2)]],"Above Average","")</f>
        <v>Above Average</v>
      </c>
      <c r="W378" s="1">
        <f>SUM(Energy_data_1990___2020[[#This Row],[Coal and lignite production (Mt)]]-Energy_data_1990___2020[[#This Row],[Coal and lignite domestic consumption (Mt)]])</f>
        <v>-24.545999999999992</v>
      </c>
    </row>
    <row r="379" spans="1:23">
      <c r="A379" t="s">
        <v>41</v>
      </c>
      <c r="B379">
        <v>1995</v>
      </c>
      <c r="C379" t="s">
        <v>30</v>
      </c>
      <c r="D379">
        <v>868.3180413</v>
      </c>
      <c r="E379">
        <v>2.0793358679999998</v>
      </c>
      <c r="F379">
        <v>0.234060506</v>
      </c>
      <c r="G379">
        <v>144.89156879999999</v>
      </c>
      <c r="H379">
        <v>336.47044410000001</v>
      </c>
      <c r="I379">
        <v>5.6584599579999999</v>
      </c>
      <c r="J379">
        <v>16.276879640000001</v>
      </c>
      <c r="K379">
        <v>127.846</v>
      </c>
      <c r="L379">
        <v>114.268</v>
      </c>
      <c r="M379">
        <v>21.069008650000001</v>
      </c>
      <c r="N379">
        <v>83.378069940000003</v>
      </c>
      <c r="O379">
        <v>0.112565031</v>
      </c>
      <c r="P379">
        <v>537.28399999999999</v>
      </c>
      <c r="Q379">
        <v>472.57900000000001</v>
      </c>
      <c r="R379">
        <v>274.48500000000001</v>
      </c>
      <c r="S379">
        <v>0.319942526</v>
      </c>
      <c r="T379">
        <v>3.9180000000000001</v>
      </c>
      <c r="U379">
        <v>251.78399999999999</v>
      </c>
      <c r="V379" s="1" t="str">
        <f>IF(Energy_data_1990___2020[[#This Row],[CO2 emissions from fuel combustion (MtCO2)]]&gt;Energy_data_1990___2020[[#Totals],[CO2 emissions from fuel combustion (MtCO2)]],"Above Average","")</f>
        <v>Above Average</v>
      </c>
      <c r="W379" s="1">
        <f>SUM(Energy_data_1990___2020[[#This Row],[Coal and lignite production (Mt)]]-Energy_data_1990___2020[[#This Row],[Coal and lignite domestic consumption (Mt)]])</f>
        <v>-22.701000000000022</v>
      </c>
    </row>
    <row r="380" spans="1:23">
      <c r="A380" t="s">
        <v>41</v>
      </c>
      <c r="B380">
        <v>1996</v>
      </c>
      <c r="C380" t="s">
        <v>30</v>
      </c>
      <c r="D380">
        <v>894.3255954</v>
      </c>
      <c r="E380">
        <v>2.0552866729999999</v>
      </c>
      <c r="F380">
        <v>0.23724262500000001</v>
      </c>
      <c r="G380">
        <v>143.11908969999999</v>
      </c>
      <c r="H380">
        <v>347.86805020000003</v>
      </c>
      <c r="I380">
        <v>5.6236180429999996</v>
      </c>
      <c r="J380">
        <v>16.088028919999999</v>
      </c>
      <c r="K380">
        <v>129.935</v>
      </c>
      <c r="L380">
        <v>115.408</v>
      </c>
      <c r="M380">
        <v>22.775029920000001</v>
      </c>
      <c r="N380">
        <v>89.558080840000002</v>
      </c>
      <c r="O380">
        <v>0.11543043</v>
      </c>
      <c r="P380">
        <v>555.37199999999996</v>
      </c>
      <c r="Q380">
        <v>479.65800000000002</v>
      </c>
      <c r="R380">
        <v>272.61</v>
      </c>
      <c r="S380">
        <v>0.37632433799999998</v>
      </c>
      <c r="T380">
        <v>3.8180000000000001</v>
      </c>
      <c r="U380">
        <v>240.55799999999999</v>
      </c>
      <c r="V380" s="1" t="str">
        <f>IF(Energy_data_1990___2020[[#This Row],[CO2 emissions from fuel combustion (MtCO2)]]&gt;Energy_data_1990___2020[[#Totals],[CO2 emissions from fuel combustion (MtCO2)]],"Above Average","")</f>
        <v>Above Average</v>
      </c>
      <c r="W380" s="1">
        <f>SUM(Energy_data_1990___2020[[#This Row],[Coal and lignite production (Mt)]]-Energy_data_1990___2020[[#This Row],[Coal and lignite domestic consumption (Mt)]])</f>
        <v>-32.052000000000021</v>
      </c>
    </row>
    <row r="381" spans="1:23">
      <c r="A381" t="s">
        <v>41</v>
      </c>
      <c r="B381">
        <v>1997</v>
      </c>
      <c r="C381" t="s">
        <v>30</v>
      </c>
      <c r="D381">
        <v>863.15159370000003</v>
      </c>
      <c r="E381">
        <v>1.9963875230000001</v>
      </c>
      <c r="F381">
        <v>0.224458136</v>
      </c>
      <c r="G381">
        <v>143.45385529999999</v>
      </c>
      <c r="H381">
        <v>344.87578439999999</v>
      </c>
      <c r="I381">
        <v>4.8236437409999997</v>
      </c>
      <c r="J381">
        <v>16.38186688</v>
      </c>
      <c r="K381">
        <v>128.571</v>
      </c>
      <c r="L381">
        <v>110.964</v>
      </c>
      <c r="M381">
        <v>22.435989729999999</v>
      </c>
      <c r="N381">
        <v>85.285940749999995</v>
      </c>
      <c r="O381">
        <v>0.112432147</v>
      </c>
      <c r="P381">
        <v>551.55399999999997</v>
      </c>
      <c r="Q381">
        <v>482.87700000000001</v>
      </c>
      <c r="R381">
        <v>260.47399999999999</v>
      </c>
      <c r="S381">
        <v>0.55334563800000003</v>
      </c>
      <c r="T381">
        <v>3.7639999999999998</v>
      </c>
      <c r="U381">
        <v>228.52500000000001</v>
      </c>
      <c r="V381" s="1" t="str">
        <f>IF(Energy_data_1990___2020[[#This Row],[CO2 emissions from fuel combustion (MtCO2)]]&gt;Energy_data_1990___2020[[#Totals],[CO2 emissions from fuel combustion (MtCO2)]],"Above Average","")</f>
        <v>Above Average</v>
      </c>
      <c r="W381" s="1">
        <f>SUM(Energy_data_1990___2020[[#This Row],[Coal and lignite production (Mt)]]-Energy_data_1990___2020[[#This Row],[Coal and lignite domestic consumption (Mt)]])</f>
        <v>-31.948999999999984</v>
      </c>
    </row>
    <row r="382" spans="1:23">
      <c r="A382" t="s">
        <v>41</v>
      </c>
      <c r="B382">
        <v>1998</v>
      </c>
      <c r="C382" t="s">
        <v>30</v>
      </c>
      <c r="D382">
        <v>860.05010800000002</v>
      </c>
      <c r="E382">
        <v>1.9859468950000001</v>
      </c>
      <c r="F382">
        <v>0.21750702799999999</v>
      </c>
      <c r="G382">
        <v>135.8569516</v>
      </c>
      <c r="H382">
        <v>342.7355263</v>
      </c>
      <c r="I382">
        <v>5.1977648890000001</v>
      </c>
      <c r="J382">
        <v>16.47561211</v>
      </c>
      <c r="K382">
        <v>128.69800000000001</v>
      </c>
      <c r="L382">
        <v>117.14400000000001</v>
      </c>
      <c r="M382">
        <v>21.86702463</v>
      </c>
      <c r="N382">
        <v>88.628013260000003</v>
      </c>
      <c r="O382">
        <v>0.10952308400000001</v>
      </c>
      <c r="P382">
        <v>556.39300000000003</v>
      </c>
      <c r="Q382">
        <v>487.47699999999998</v>
      </c>
      <c r="R382">
        <v>247.64699999999999</v>
      </c>
      <c r="S382">
        <v>0.83178616599999999</v>
      </c>
      <c r="T382">
        <v>3.87</v>
      </c>
      <c r="U382">
        <v>211.523</v>
      </c>
      <c r="V382" s="1" t="str">
        <f>IF(Energy_data_1990___2020[[#This Row],[CO2 emissions from fuel combustion (MtCO2)]]&gt;Energy_data_1990___2020[[#Totals],[CO2 emissions from fuel combustion (MtCO2)]],"Above Average","")</f>
        <v>Above Average</v>
      </c>
      <c r="W382" s="1">
        <f>SUM(Energy_data_1990___2020[[#This Row],[Coal and lignite production (Mt)]]-Energy_data_1990___2020[[#This Row],[Coal and lignite domestic consumption (Mt)]])</f>
        <v>-36.123999999999995</v>
      </c>
    </row>
    <row r="383" spans="1:23">
      <c r="A383" t="s">
        <v>41</v>
      </c>
      <c r="B383">
        <v>1999</v>
      </c>
      <c r="C383" t="s">
        <v>30</v>
      </c>
      <c r="D383">
        <v>828.4329937</v>
      </c>
      <c r="E383">
        <v>1.9342080079999999</v>
      </c>
      <c r="F383">
        <v>0.203193559</v>
      </c>
      <c r="G383">
        <v>137.06650400000001</v>
      </c>
      <c r="H383">
        <v>334.9655411</v>
      </c>
      <c r="I383">
        <v>5.8371382350000003</v>
      </c>
      <c r="J383">
        <v>17.05552617</v>
      </c>
      <c r="K383">
        <v>124.161</v>
      </c>
      <c r="L383">
        <v>114.98099999999999</v>
      </c>
      <c r="M383">
        <v>23.314995190000001</v>
      </c>
      <c r="N383">
        <v>89.224883300000002</v>
      </c>
      <c r="O383">
        <v>0.105052589</v>
      </c>
      <c r="P383">
        <v>556.29999999999995</v>
      </c>
      <c r="Q383">
        <v>490.65199999999999</v>
      </c>
      <c r="R383">
        <v>236.44619109999999</v>
      </c>
      <c r="S383">
        <v>0.99910120400000002</v>
      </c>
      <c r="T383">
        <v>3.85</v>
      </c>
      <c r="U383">
        <v>205.27500000000001</v>
      </c>
      <c r="V383" s="1" t="str">
        <f>IF(Energy_data_1990___2020[[#This Row],[CO2 emissions from fuel combustion (MtCO2)]]&gt;Energy_data_1990___2020[[#Totals],[CO2 emissions from fuel combustion (MtCO2)]],"Above Average","")</f>
        <v>Above Average</v>
      </c>
      <c r="W383" s="1">
        <f>SUM(Energy_data_1990___2020[[#This Row],[Coal and lignite production (Mt)]]-Energy_data_1990___2020[[#This Row],[Coal and lignite domestic consumption (Mt)]])</f>
        <v>-31.171191099999987</v>
      </c>
    </row>
    <row r="384" spans="1:23">
      <c r="A384" t="s">
        <v>41</v>
      </c>
      <c r="B384">
        <v>2000</v>
      </c>
      <c r="C384" t="s">
        <v>30</v>
      </c>
      <c r="D384">
        <v>829.72358369999995</v>
      </c>
      <c r="E384">
        <v>1.9344512110000001</v>
      </c>
      <c r="F384">
        <v>0.19845597800000001</v>
      </c>
      <c r="G384">
        <v>135.2320564</v>
      </c>
      <c r="H384">
        <v>336.58506119999998</v>
      </c>
      <c r="I384">
        <v>6.8867369820000004</v>
      </c>
      <c r="J384">
        <v>17.511483120000001</v>
      </c>
      <c r="K384">
        <v>120.958</v>
      </c>
      <c r="L384">
        <v>115.968</v>
      </c>
      <c r="M384">
        <v>22.048979200000002</v>
      </c>
      <c r="N384">
        <v>87.750950099999997</v>
      </c>
      <c r="O384">
        <v>0.102590325</v>
      </c>
      <c r="P384">
        <v>576.54300000000001</v>
      </c>
      <c r="Q384">
        <v>501.411</v>
      </c>
      <c r="R384">
        <v>244.26409480000001</v>
      </c>
      <c r="S384">
        <v>1.632488817</v>
      </c>
      <c r="T384">
        <v>4.3929999999999998</v>
      </c>
      <c r="U384">
        <v>205.21199999999999</v>
      </c>
      <c r="V384" s="1" t="str">
        <f>IF(Energy_data_1990___2020[[#This Row],[CO2 emissions from fuel combustion (MtCO2)]]&gt;Energy_data_1990___2020[[#Totals],[CO2 emissions from fuel combustion (MtCO2)]],"Above Average","")</f>
        <v>Above Average</v>
      </c>
      <c r="W384" s="1">
        <f>SUM(Energy_data_1990___2020[[#This Row],[Coal and lignite production (Mt)]]-Energy_data_1990___2020[[#This Row],[Coal and lignite domestic consumption (Mt)]])</f>
        <v>-39.05209480000002</v>
      </c>
    </row>
    <row r="385" spans="1:23">
      <c r="A385" t="s">
        <v>41</v>
      </c>
      <c r="B385">
        <v>2001</v>
      </c>
      <c r="C385" t="s">
        <v>30</v>
      </c>
      <c r="D385">
        <v>849.1763148</v>
      </c>
      <c r="E385">
        <v>1.9101701090000001</v>
      </c>
      <c r="F385">
        <v>0.198476126</v>
      </c>
      <c r="G385">
        <v>134.60123809999999</v>
      </c>
      <c r="H385">
        <v>346.68570260000001</v>
      </c>
      <c r="I385">
        <v>7.233043318</v>
      </c>
      <c r="J385">
        <v>17.673837859999999</v>
      </c>
      <c r="K385">
        <v>123.015</v>
      </c>
      <c r="L385">
        <v>114.288</v>
      </c>
      <c r="M385">
        <v>22.231977870000001</v>
      </c>
      <c r="N385">
        <v>91.76095694</v>
      </c>
      <c r="O385">
        <v>0.103904948</v>
      </c>
      <c r="P385">
        <v>586.40599999999995</v>
      </c>
      <c r="Q385">
        <v>512.63699999999994</v>
      </c>
      <c r="R385">
        <v>249.13399999999999</v>
      </c>
      <c r="S385">
        <v>1.802846492</v>
      </c>
      <c r="T385">
        <v>4.3470000000000004</v>
      </c>
      <c r="U385">
        <v>206.178</v>
      </c>
      <c r="V385" s="1" t="str">
        <f>IF(Energy_data_1990___2020[[#This Row],[CO2 emissions from fuel combustion (MtCO2)]]&gt;Energy_data_1990___2020[[#Totals],[CO2 emissions from fuel combustion (MtCO2)]],"Above Average","")</f>
        <v>Above Average</v>
      </c>
      <c r="W385" s="1">
        <f>SUM(Energy_data_1990___2020[[#This Row],[Coal and lignite production (Mt)]]-Energy_data_1990___2020[[#This Row],[Coal and lignite domestic consumption (Mt)]])</f>
        <v>-42.955999999999989</v>
      </c>
    </row>
    <row r="386" spans="1:23">
      <c r="A386" t="s">
        <v>41</v>
      </c>
      <c r="B386">
        <v>2002</v>
      </c>
      <c r="C386" t="s">
        <v>30</v>
      </c>
      <c r="D386">
        <v>836.85461640000005</v>
      </c>
      <c r="E386">
        <v>1.9170636139999999</v>
      </c>
      <c r="F386">
        <v>0.19510121799999999</v>
      </c>
      <c r="G386">
        <v>134.399325</v>
      </c>
      <c r="H386">
        <v>338.89128920000002</v>
      </c>
      <c r="I386">
        <v>8.3888705189999992</v>
      </c>
      <c r="J386">
        <v>18.40274393</v>
      </c>
      <c r="K386">
        <v>118.361</v>
      </c>
      <c r="L386">
        <v>114.095</v>
      </c>
      <c r="M386">
        <v>22.309988270000002</v>
      </c>
      <c r="N386">
        <v>91.190887779999997</v>
      </c>
      <c r="O386">
        <v>0.101770863</v>
      </c>
      <c r="P386">
        <v>586.69399999999996</v>
      </c>
      <c r="Q386">
        <v>525.51</v>
      </c>
      <c r="R386">
        <v>252.78200000000001</v>
      </c>
      <c r="S386">
        <v>2.7346453180000001</v>
      </c>
      <c r="T386">
        <v>4.6470000000000002</v>
      </c>
      <c r="U386">
        <v>211.13200000000001</v>
      </c>
      <c r="V386" s="1" t="str">
        <f>IF(Energy_data_1990___2020[[#This Row],[CO2 emissions from fuel combustion (MtCO2)]]&gt;Energy_data_1990___2020[[#Totals],[CO2 emissions from fuel combustion (MtCO2)]],"Above Average","")</f>
        <v>Above Average</v>
      </c>
      <c r="W386" s="1">
        <f>SUM(Energy_data_1990___2020[[#This Row],[Coal and lignite production (Mt)]]-Energy_data_1990___2020[[#This Row],[Coal and lignite domestic consumption (Mt)]])</f>
        <v>-41.650000000000006</v>
      </c>
    </row>
    <row r="387" spans="1:23">
      <c r="A387" t="s">
        <v>41</v>
      </c>
      <c r="B387">
        <v>2003</v>
      </c>
      <c r="C387" t="s">
        <v>30</v>
      </c>
      <c r="D387">
        <v>835.32316409999999</v>
      </c>
      <c r="E387">
        <v>1.917163457</v>
      </c>
      <c r="F387">
        <v>0.196147618</v>
      </c>
      <c r="G387">
        <v>136.0025134</v>
      </c>
      <c r="H387">
        <v>338.2601985</v>
      </c>
      <c r="I387">
        <v>8.4112425650000002</v>
      </c>
      <c r="J387">
        <v>18.43556135</v>
      </c>
      <c r="K387">
        <v>116.404</v>
      </c>
      <c r="L387">
        <v>116.142</v>
      </c>
      <c r="M387">
        <v>21.631997479999999</v>
      </c>
      <c r="N387">
        <v>89.53600342</v>
      </c>
      <c r="O387">
        <v>0.102311369</v>
      </c>
      <c r="P387">
        <v>609.25599999999997</v>
      </c>
      <c r="Q387">
        <v>531.74800000000005</v>
      </c>
      <c r="R387">
        <v>254.55221030000001</v>
      </c>
      <c r="S387">
        <v>3.5195385849999998</v>
      </c>
      <c r="T387">
        <v>4.8070000000000004</v>
      </c>
      <c r="U387">
        <v>207.982</v>
      </c>
      <c r="V387" s="1" t="str">
        <f>IF(Energy_data_1990___2020[[#This Row],[CO2 emissions from fuel combustion (MtCO2)]]&gt;Energy_data_1990___2020[[#Totals],[CO2 emissions from fuel combustion (MtCO2)]],"Above Average","")</f>
        <v>Above Average</v>
      </c>
      <c r="W387" s="1">
        <f>SUM(Energy_data_1990___2020[[#This Row],[Coal and lignite production (Mt)]]-Energy_data_1990___2020[[#This Row],[Coal and lignite domestic consumption (Mt)]])</f>
        <v>-46.570210300000014</v>
      </c>
    </row>
    <row r="388" spans="1:23">
      <c r="A388" t="s">
        <v>41</v>
      </c>
      <c r="B388">
        <v>2004</v>
      </c>
      <c r="C388" t="s">
        <v>30</v>
      </c>
      <c r="D388">
        <v>820.31331299999999</v>
      </c>
      <c r="E388">
        <v>1.8525999630000001</v>
      </c>
      <c r="F388">
        <v>0.18887122200000001</v>
      </c>
      <c r="G388">
        <v>138.41478960000001</v>
      </c>
      <c r="H388">
        <v>341.0738101</v>
      </c>
      <c r="I388">
        <v>10.301600629999999</v>
      </c>
      <c r="J388">
        <v>18.781035190000001</v>
      </c>
      <c r="K388">
        <v>114.163</v>
      </c>
      <c r="L388">
        <v>120.047</v>
      </c>
      <c r="M388">
        <v>19.774010310000001</v>
      </c>
      <c r="N388">
        <v>89.896909930000007</v>
      </c>
      <c r="O388">
        <v>0.10194927400000001</v>
      </c>
      <c r="P388">
        <v>618.06899999999996</v>
      </c>
      <c r="Q388">
        <v>538.40300000000002</v>
      </c>
      <c r="R388">
        <v>253.41253309999999</v>
      </c>
      <c r="S388">
        <v>4.6138861520000001</v>
      </c>
      <c r="T388">
        <v>4.9740000000000002</v>
      </c>
      <c r="U388">
        <v>211.21</v>
      </c>
      <c r="V388" s="1" t="str">
        <f>IF(Energy_data_1990___2020[[#This Row],[CO2 emissions from fuel combustion (MtCO2)]]&gt;Energy_data_1990___2020[[#Totals],[CO2 emissions from fuel combustion (MtCO2)]],"Above Average","")</f>
        <v>Above Average</v>
      </c>
      <c r="W388" s="1">
        <f>SUM(Energy_data_1990___2020[[#This Row],[Coal and lignite production (Mt)]]-Energy_data_1990___2020[[#This Row],[Coal and lignite domestic consumption (Mt)]])</f>
        <v>-42.202533099999982</v>
      </c>
    </row>
    <row r="389" spans="1:23">
      <c r="A389" t="s">
        <v>41</v>
      </c>
      <c r="B389">
        <v>2005</v>
      </c>
      <c r="C389" t="s">
        <v>30</v>
      </c>
      <c r="D389">
        <v>804.08748579999997</v>
      </c>
      <c r="E389">
        <v>1.806500167</v>
      </c>
      <c r="F389">
        <v>0.18183321599999999</v>
      </c>
      <c r="G389">
        <v>138.26668950000001</v>
      </c>
      <c r="H389">
        <v>339.17447270000002</v>
      </c>
      <c r="I389">
        <v>11.262947069999999</v>
      </c>
      <c r="J389">
        <v>19.031453599999999</v>
      </c>
      <c r="K389">
        <v>111.813</v>
      </c>
      <c r="L389">
        <v>122.761</v>
      </c>
      <c r="M389">
        <v>19.507978019999999</v>
      </c>
      <c r="N389">
        <v>90.980024159999999</v>
      </c>
      <c r="O389">
        <v>0.100654968</v>
      </c>
      <c r="P389">
        <v>623.11400000000003</v>
      </c>
      <c r="Q389">
        <v>539.46600000000001</v>
      </c>
      <c r="R389">
        <v>243.7444184</v>
      </c>
      <c r="S389">
        <v>5.1308428309999998</v>
      </c>
      <c r="T389">
        <v>5.2320000000000002</v>
      </c>
      <c r="U389">
        <v>206.054</v>
      </c>
      <c r="V389" s="1" t="str">
        <f>IF(Energy_data_1990___2020[[#This Row],[CO2 emissions from fuel combustion (MtCO2)]]&gt;Energy_data_1990___2020[[#Totals],[CO2 emissions from fuel combustion (MtCO2)]],"Above Average","")</f>
        <v>Above Average</v>
      </c>
      <c r="W389" s="1">
        <f>SUM(Energy_data_1990___2020[[#This Row],[Coal and lignite production (Mt)]]-Energy_data_1990___2020[[#This Row],[Coal and lignite domestic consumption (Mt)]])</f>
        <v>-37.690418399999999</v>
      </c>
    </row>
    <row r="390" spans="1:23">
      <c r="A390" t="s">
        <v>41</v>
      </c>
      <c r="B390">
        <v>2006</v>
      </c>
      <c r="C390" t="s">
        <v>30</v>
      </c>
      <c r="D390">
        <v>814.58063389999995</v>
      </c>
      <c r="E390">
        <v>1.773054737</v>
      </c>
      <c r="F390">
        <v>0.177005261</v>
      </c>
      <c r="G390">
        <v>140.9628696</v>
      </c>
      <c r="H390">
        <v>349.22904890000001</v>
      </c>
      <c r="I390">
        <v>12.383887870000001</v>
      </c>
      <c r="J390">
        <v>18.845083509999998</v>
      </c>
      <c r="K390">
        <v>111.636</v>
      </c>
      <c r="L390">
        <v>120.626</v>
      </c>
      <c r="M390">
        <v>20.33199531</v>
      </c>
      <c r="N390">
        <v>92.657901530000004</v>
      </c>
      <c r="O390">
        <v>9.9830681000000004E-2</v>
      </c>
      <c r="P390">
        <v>640.11400000000003</v>
      </c>
      <c r="Q390">
        <v>544.62400000000002</v>
      </c>
      <c r="R390">
        <v>245.35572830000001</v>
      </c>
      <c r="S390">
        <v>5.7931868389999996</v>
      </c>
      <c r="T390">
        <v>5.2290000000000001</v>
      </c>
      <c r="U390">
        <v>200.184</v>
      </c>
      <c r="V390" s="1" t="str">
        <f>IF(Energy_data_1990___2020[[#This Row],[CO2 emissions from fuel combustion (MtCO2)]]&gt;Energy_data_1990___2020[[#Totals],[CO2 emissions from fuel combustion (MtCO2)]],"Above Average","")</f>
        <v>Above Average</v>
      </c>
      <c r="W390" s="1">
        <f>SUM(Energy_data_1990___2020[[#This Row],[Coal and lignite production (Mt)]]-Energy_data_1990___2020[[#This Row],[Coal and lignite domestic consumption (Mt)]])</f>
        <v>-45.171728300000012</v>
      </c>
    </row>
    <row r="391" spans="1:23">
      <c r="A391" t="s">
        <v>41</v>
      </c>
      <c r="B391">
        <v>2007</v>
      </c>
      <c r="C391" t="s">
        <v>30</v>
      </c>
      <c r="D391">
        <v>785.5999683</v>
      </c>
      <c r="E391">
        <v>1.7889215089999999</v>
      </c>
      <c r="F391">
        <v>0.164454083</v>
      </c>
      <c r="G391">
        <v>138.80311549999999</v>
      </c>
      <c r="H391">
        <v>331.18433440000001</v>
      </c>
      <c r="I391">
        <v>15.012504829999999</v>
      </c>
      <c r="J391">
        <v>20.011306640000001</v>
      </c>
      <c r="K391">
        <v>99.272999999999996</v>
      </c>
      <c r="L391">
        <v>118.495</v>
      </c>
      <c r="M391">
        <v>20.228998700000002</v>
      </c>
      <c r="N391">
        <v>89.529105009999995</v>
      </c>
      <c r="O391">
        <v>9.1929177000000001E-2</v>
      </c>
      <c r="P391">
        <v>641.35199999999998</v>
      </c>
      <c r="Q391">
        <v>545.60799999999995</v>
      </c>
      <c r="R391">
        <v>253.78279319999999</v>
      </c>
      <c r="S391">
        <v>7.1261959109999999</v>
      </c>
      <c r="T391">
        <v>5.2050000000000001</v>
      </c>
      <c r="U391">
        <v>204.59399999999999</v>
      </c>
      <c r="V391" s="1" t="str">
        <f>IF(Energy_data_1990___2020[[#This Row],[CO2 emissions from fuel combustion (MtCO2)]]&gt;Energy_data_1990___2020[[#Totals],[CO2 emissions from fuel combustion (MtCO2)]],"Above Average","")</f>
        <v>Above Average</v>
      </c>
      <c r="W391" s="1">
        <f>SUM(Energy_data_1990___2020[[#This Row],[Coal and lignite production (Mt)]]-Energy_data_1990___2020[[#This Row],[Coal and lignite domestic consumption (Mt)]])</f>
        <v>-49.188793199999992</v>
      </c>
    </row>
    <row r="392" spans="1:23">
      <c r="A392" t="s">
        <v>41</v>
      </c>
      <c r="B392">
        <v>2008</v>
      </c>
      <c r="C392" t="s">
        <v>30</v>
      </c>
      <c r="D392">
        <v>792.72556139999995</v>
      </c>
      <c r="E392">
        <v>1.77528997</v>
      </c>
      <c r="F392">
        <v>0.16366277400000001</v>
      </c>
      <c r="G392">
        <v>136.48329290000001</v>
      </c>
      <c r="H392">
        <v>335.3174166</v>
      </c>
      <c r="I392">
        <v>15.643436510000001</v>
      </c>
      <c r="J392">
        <v>19.280728889999999</v>
      </c>
      <c r="K392">
        <v>105.495</v>
      </c>
      <c r="L392">
        <v>115.881</v>
      </c>
      <c r="M392">
        <v>17.883981160000001</v>
      </c>
      <c r="N392">
        <v>92.619108879999999</v>
      </c>
      <c r="O392">
        <v>9.2189319000000006E-2</v>
      </c>
      <c r="P392">
        <v>641.221</v>
      </c>
      <c r="Q392">
        <v>542.98400000000004</v>
      </c>
      <c r="R392">
        <v>240.3689881</v>
      </c>
      <c r="S392">
        <v>7.456399588</v>
      </c>
      <c r="T392">
        <v>4.9349999999999996</v>
      </c>
      <c r="U392">
        <v>194.45599999999999</v>
      </c>
      <c r="V392" s="1" t="str">
        <f>IF(Energy_data_1990___2020[[#This Row],[CO2 emissions from fuel combustion (MtCO2)]]&gt;Energy_data_1990___2020[[#Totals],[CO2 emissions from fuel combustion (MtCO2)]],"Above Average","")</f>
        <v>Above Average</v>
      </c>
      <c r="W392" s="1">
        <f>SUM(Energy_data_1990___2020[[#This Row],[Coal and lignite production (Mt)]]-Energy_data_1990___2020[[#This Row],[Coal and lignite domestic consumption (Mt)]])</f>
        <v>-45.912988100000007</v>
      </c>
    </row>
    <row r="393" spans="1:23">
      <c r="A393" t="s">
        <v>41</v>
      </c>
      <c r="B393">
        <v>2009</v>
      </c>
      <c r="C393" t="s">
        <v>30</v>
      </c>
      <c r="D393">
        <v>737.61949970000001</v>
      </c>
      <c r="E393">
        <v>1.789988997</v>
      </c>
      <c r="F393">
        <v>0.16341696999999999</v>
      </c>
      <c r="G393">
        <v>129.12173609999999</v>
      </c>
      <c r="H393">
        <v>313.14617049999998</v>
      </c>
      <c r="I393">
        <v>17.031731740000001</v>
      </c>
      <c r="J393">
        <v>19.344323620000001</v>
      </c>
      <c r="K393">
        <v>100.05200000000001</v>
      </c>
      <c r="L393">
        <v>107.75700000000001</v>
      </c>
      <c r="M393">
        <v>17.642006389999999</v>
      </c>
      <c r="N393">
        <v>86.159982350000007</v>
      </c>
      <c r="O393">
        <v>9.1294957999999996E-2</v>
      </c>
      <c r="P393">
        <v>596.46900000000005</v>
      </c>
      <c r="Q393">
        <v>513.87699999999995</v>
      </c>
      <c r="R393">
        <v>225.85023079999999</v>
      </c>
      <c r="S393">
        <v>8.0319346019999998</v>
      </c>
      <c r="T393">
        <v>4.4969999999999999</v>
      </c>
      <c r="U393">
        <v>184.828</v>
      </c>
      <c r="V393" s="1" t="str">
        <f>IF(Energy_data_1990___2020[[#This Row],[CO2 emissions from fuel combustion (MtCO2)]]&gt;Energy_data_1990___2020[[#Totals],[CO2 emissions from fuel combustion (MtCO2)]],"Above Average","")</f>
        <v>Above Average</v>
      </c>
      <c r="W393" s="1">
        <f>SUM(Energy_data_1990___2020[[#This Row],[Coal and lignite production (Mt)]]-Energy_data_1990___2020[[#This Row],[Coal and lignite domestic consumption (Mt)]])</f>
        <v>-41.022230799999988</v>
      </c>
    </row>
    <row r="394" spans="1:23">
      <c r="A394" t="s">
        <v>41</v>
      </c>
      <c r="B394">
        <v>2010</v>
      </c>
      <c r="C394" t="s">
        <v>30</v>
      </c>
      <c r="D394">
        <v>780.90877279999995</v>
      </c>
      <c r="E394">
        <v>1.7586136889999999</v>
      </c>
      <c r="F394">
        <v>0.162262669</v>
      </c>
      <c r="G394">
        <v>131.763374</v>
      </c>
      <c r="H394">
        <v>329.7072781</v>
      </c>
      <c r="I394">
        <v>17.623831190000001</v>
      </c>
      <c r="J394">
        <v>19.277204650000002</v>
      </c>
      <c r="K394">
        <v>101.19499999999999</v>
      </c>
      <c r="L394">
        <v>101.479</v>
      </c>
      <c r="M394">
        <v>15.06900703</v>
      </c>
      <c r="N394">
        <v>94.532026669999993</v>
      </c>
      <c r="O394">
        <v>9.2267374999999999E-2</v>
      </c>
      <c r="P394">
        <v>633.12</v>
      </c>
      <c r="Q394">
        <v>546.86599999999999</v>
      </c>
      <c r="R394">
        <v>232.39445230000001</v>
      </c>
      <c r="S394">
        <v>8.2742608040000007</v>
      </c>
      <c r="T394">
        <v>3.78</v>
      </c>
      <c r="U394">
        <v>183.511</v>
      </c>
      <c r="V394" s="1" t="str">
        <f>IF(Energy_data_1990___2020[[#This Row],[CO2 emissions from fuel combustion (MtCO2)]]&gt;Energy_data_1990___2020[[#Totals],[CO2 emissions from fuel combustion (MtCO2)]],"Above Average","")</f>
        <v>Above Average</v>
      </c>
      <c r="W394" s="1">
        <f>SUM(Energy_data_1990___2020[[#This Row],[Coal and lignite production (Mt)]]-Energy_data_1990___2020[[#This Row],[Coal and lignite domestic consumption (Mt)]])</f>
        <v>-48.883452300000016</v>
      </c>
    </row>
    <row r="395" spans="1:23">
      <c r="A395" t="s">
        <v>41</v>
      </c>
      <c r="B395">
        <v>2011</v>
      </c>
      <c r="C395" t="s">
        <v>30</v>
      </c>
      <c r="D395">
        <v>751.90524970000001</v>
      </c>
      <c r="E395">
        <v>1.817301249</v>
      </c>
      <c r="F395">
        <v>0.152971946</v>
      </c>
      <c r="G395">
        <v>125.06887140000001</v>
      </c>
      <c r="H395">
        <v>312.59472640000001</v>
      </c>
      <c r="I395">
        <v>21.183025270000002</v>
      </c>
      <c r="J395">
        <v>19.967128880000001</v>
      </c>
      <c r="K395">
        <v>97.93</v>
      </c>
      <c r="L395">
        <v>99.768000000000001</v>
      </c>
      <c r="M395">
        <v>14.829013059999999</v>
      </c>
      <c r="N395">
        <v>85.801907810000003</v>
      </c>
      <c r="O395">
        <v>8.4175338000000002E-2</v>
      </c>
      <c r="P395">
        <v>613.12300000000005</v>
      </c>
      <c r="Q395">
        <v>539.89099999999996</v>
      </c>
      <c r="R395">
        <v>236.3357642</v>
      </c>
      <c r="S395">
        <v>11.67400342</v>
      </c>
      <c r="T395">
        <v>3.9129999999999998</v>
      </c>
      <c r="U395">
        <v>189.46199999999999</v>
      </c>
      <c r="V395" s="1" t="str">
        <f>IF(Energy_data_1990___2020[[#This Row],[CO2 emissions from fuel combustion (MtCO2)]]&gt;Energy_data_1990___2020[[#Totals],[CO2 emissions from fuel combustion (MtCO2)]],"Above Average","")</f>
        <v>Above Average</v>
      </c>
      <c r="W395" s="1">
        <f>SUM(Energy_data_1990___2020[[#This Row],[Coal and lignite production (Mt)]]-Energy_data_1990___2020[[#This Row],[Coal and lignite domestic consumption (Mt)]])</f>
        <v>-46.873764200000011</v>
      </c>
    </row>
    <row r="396" spans="1:23">
      <c r="A396" t="s">
        <v>41</v>
      </c>
      <c r="B396">
        <v>2012</v>
      </c>
      <c r="C396" t="s">
        <v>30</v>
      </c>
      <c r="D396">
        <v>768.25449270000001</v>
      </c>
      <c r="E396">
        <v>1.853647837</v>
      </c>
      <c r="F396">
        <v>0.15652015399999999</v>
      </c>
      <c r="G396">
        <v>126.20116350000001</v>
      </c>
      <c r="H396">
        <v>314.8894378</v>
      </c>
      <c r="I396">
        <v>23.736221059999998</v>
      </c>
      <c r="J396">
        <v>19.658694950000001</v>
      </c>
      <c r="K396">
        <v>97.697999999999993</v>
      </c>
      <c r="L396">
        <v>100.71</v>
      </c>
      <c r="M396">
        <v>13.087984949999999</v>
      </c>
      <c r="N396">
        <v>85.996907309999997</v>
      </c>
      <c r="O396">
        <v>8.4438992000000004E-2</v>
      </c>
      <c r="P396">
        <v>628.31399999999996</v>
      </c>
      <c r="Q396">
        <v>538.20600000000002</v>
      </c>
      <c r="R396">
        <v>247.28714859999999</v>
      </c>
      <c r="S396">
        <v>12.71720827</v>
      </c>
      <c r="T396">
        <v>3.7949999999999999</v>
      </c>
      <c r="U396">
        <v>196.99</v>
      </c>
      <c r="V396" s="1" t="str">
        <f>IF(Energy_data_1990___2020[[#This Row],[CO2 emissions from fuel combustion (MtCO2)]]&gt;Energy_data_1990___2020[[#Totals],[CO2 emissions from fuel combustion (MtCO2)]],"Above Average","")</f>
        <v>Above Average</v>
      </c>
      <c r="W396" s="1">
        <f>SUM(Energy_data_1990___2020[[#This Row],[Coal and lignite production (Mt)]]-Energy_data_1990___2020[[#This Row],[Coal and lignite domestic consumption (Mt)]])</f>
        <v>-50.297148599999986</v>
      </c>
    </row>
    <row r="397" spans="1:23">
      <c r="A397" t="s">
        <v>41</v>
      </c>
      <c r="B397">
        <v>2013</v>
      </c>
      <c r="C397" t="s">
        <v>30</v>
      </c>
      <c r="D397">
        <v>788.46007180000004</v>
      </c>
      <c r="E397">
        <v>1.8635212240000001</v>
      </c>
      <c r="F397">
        <v>0.160025854</v>
      </c>
      <c r="G397">
        <v>123.66331820000001</v>
      </c>
      <c r="H397">
        <v>321.60791819999997</v>
      </c>
      <c r="I397">
        <v>24.756967660000001</v>
      </c>
      <c r="J397">
        <v>19.13246474</v>
      </c>
      <c r="K397">
        <v>99.66</v>
      </c>
      <c r="L397">
        <v>97.903999999999996</v>
      </c>
      <c r="M397">
        <v>12.21998359</v>
      </c>
      <c r="N397">
        <v>87.653956719999996</v>
      </c>
      <c r="O397">
        <v>8.5872836999999994E-2</v>
      </c>
      <c r="P397">
        <v>638.70100000000002</v>
      </c>
      <c r="Q397">
        <v>536.44000000000005</v>
      </c>
      <c r="R397">
        <v>247.16452559999999</v>
      </c>
      <c r="S397">
        <v>13.40094974</v>
      </c>
      <c r="T397">
        <v>3.7730000000000001</v>
      </c>
      <c r="U397">
        <v>190.95599999999999</v>
      </c>
      <c r="V397" s="1" t="str">
        <f>IF(Energy_data_1990___2020[[#This Row],[CO2 emissions from fuel combustion (MtCO2)]]&gt;Energy_data_1990___2020[[#Totals],[CO2 emissions from fuel combustion (MtCO2)]],"Above Average","")</f>
        <v>Above Average</v>
      </c>
      <c r="W397" s="1">
        <f>SUM(Energy_data_1990___2020[[#This Row],[Coal and lignite production (Mt)]]-Energy_data_1990___2020[[#This Row],[Coal and lignite domestic consumption (Mt)]])</f>
        <v>-56.208525600000002</v>
      </c>
    </row>
    <row r="398" spans="1:23">
      <c r="A398" t="s">
        <v>41</v>
      </c>
      <c r="B398">
        <v>2014</v>
      </c>
      <c r="C398" t="s">
        <v>30</v>
      </c>
      <c r="D398">
        <v>749.66215380000006</v>
      </c>
      <c r="E398">
        <v>1.877119164</v>
      </c>
      <c r="F398">
        <v>0.15073452600000001</v>
      </c>
      <c r="G398">
        <v>120.67905380000001</v>
      </c>
      <c r="H398">
        <v>307.43397629999998</v>
      </c>
      <c r="I398">
        <v>26.820865040000001</v>
      </c>
      <c r="J398">
        <v>19.656685540000002</v>
      </c>
      <c r="K398">
        <v>96.876000000000005</v>
      </c>
      <c r="L398">
        <v>96.727999999999994</v>
      </c>
      <c r="M398">
        <v>9.4690129029999994</v>
      </c>
      <c r="N398">
        <v>79.177023860000006</v>
      </c>
      <c r="O398">
        <v>8.0300989000000003E-2</v>
      </c>
      <c r="P398">
        <v>627.80600000000004</v>
      </c>
      <c r="Q398">
        <v>524.82600000000002</v>
      </c>
      <c r="R398">
        <v>239.2858464</v>
      </c>
      <c r="S398">
        <v>15.39870597</v>
      </c>
      <c r="T398">
        <v>3.496</v>
      </c>
      <c r="U398">
        <v>186.51499999999999</v>
      </c>
      <c r="V398" s="1" t="str">
        <f>IF(Energy_data_1990___2020[[#This Row],[CO2 emissions from fuel combustion (MtCO2)]]&gt;Energy_data_1990___2020[[#Totals],[CO2 emissions from fuel combustion (MtCO2)]],"Above Average","")</f>
        <v>Above Average</v>
      </c>
      <c r="W398" s="1">
        <f>SUM(Energy_data_1990___2020[[#This Row],[Coal and lignite production (Mt)]]-Energy_data_1990___2020[[#This Row],[Coal and lignite domestic consumption (Mt)]])</f>
        <v>-52.770846400000011</v>
      </c>
    </row>
    <row r="399" spans="1:23">
      <c r="A399" t="s">
        <v>41</v>
      </c>
      <c r="B399">
        <v>2015</v>
      </c>
      <c r="C399" t="s">
        <v>30</v>
      </c>
      <c r="D399">
        <v>754.54471149999995</v>
      </c>
      <c r="E399">
        <v>1.869363957</v>
      </c>
      <c r="F399">
        <v>0.14828628899999999</v>
      </c>
      <c r="G399">
        <v>120.07222609999999</v>
      </c>
      <c r="H399">
        <v>308.97885869999999</v>
      </c>
      <c r="I399">
        <v>30.033055229999999</v>
      </c>
      <c r="J399">
        <v>19.493988559999998</v>
      </c>
      <c r="K399">
        <v>96.813000000000002</v>
      </c>
      <c r="L399">
        <v>99.215000000000003</v>
      </c>
      <c r="M399">
        <v>8.7299974519999992</v>
      </c>
      <c r="N399">
        <v>81.34897162</v>
      </c>
      <c r="O399">
        <v>7.9324460999999999E-2</v>
      </c>
      <c r="P399">
        <v>648.30899999999997</v>
      </c>
      <c r="Q399">
        <v>528.35</v>
      </c>
      <c r="R399">
        <v>239.30445470000001</v>
      </c>
      <c r="S399">
        <v>18.711293529999999</v>
      </c>
      <c r="T399">
        <v>3.629</v>
      </c>
      <c r="U399">
        <v>184.714</v>
      </c>
      <c r="V399" s="1" t="str">
        <f>IF(Energy_data_1990___2020[[#This Row],[CO2 emissions from fuel combustion (MtCO2)]]&gt;Energy_data_1990___2020[[#Totals],[CO2 emissions from fuel combustion (MtCO2)]],"Above Average","")</f>
        <v>Above Average</v>
      </c>
      <c r="W399" s="1">
        <f>SUM(Energy_data_1990___2020[[#This Row],[Coal and lignite production (Mt)]]-Energy_data_1990___2020[[#This Row],[Coal and lignite domestic consumption (Mt)]])</f>
        <v>-54.590454700000009</v>
      </c>
    </row>
    <row r="400" spans="1:23">
      <c r="A400" t="s">
        <v>41</v>
      </c>
      <c r="B400">
        <v>2016</v>
      </c>
      <c r="C400" t="s">
        <v>30</v>
      </c>
      <c r="D400">
        <v>761.54074749999995</v>
      </c>
      <c r="E400">
        <v>1.8318622369999999</v>
      </c>
      <c r="F400">
        <v>0.14269684899999999</v>
      </c>
      <c r="G400">
        <v>115.2853515</v>
      </c>
      <c r="H400">
        <v>310.18555249999997</v>
      </c>
      <c r="I400">
        <v>30.01926362</v>
      </c>
      <c r="J400">
        <v>19.308104289999999</v>
      </c>
      <c r="K400">
        <v>96.912999999999997</v>
      </c>
      <c r="L400">
        <v>100.24</v>
      </c>
      <c r="M400">
        <v>9.0329990840000001</v>
      </c>
      <c r="N400">
        <v>89.265816189999995</v>
      </c>
      <c r="O400">
        <v>7.7897150999999998E-2</v>
      </c>
      <c r="P400">
        <v>650.44899999999996</v>
      </c>
      <c r="Q400">
        <v>530.55100000000004</v>
      </c>
      <c r="R400">
        <v>231.4021209</v>
      </c>
      <c r="S400">
        <v>18.461862499999999</v>
      </c>
      <c r="T400">
        <v>3.7010000000000001</v>
      </c>
      <c r="U400">
        <v>175.625</v>
      </c>
      <c r="V400" s="1" t="str">
        <f>IF(Energy_data_1990___2020[[#This Row],[CO2 emissions from fuel combustion (MtCO2)]]&gt;Energy_data_1990___2020[[#Totals],[CO2 emissions from fuel combustion (MtCO2)]],"Above Average","")</f>
        <v>Above Average</v>
      </c>
      <c r="W400" s="1">
        <f>SUM(Energy_data_1990___2020[[#This Row],[Coal and lignite production (Mt)]]-Energy_data_1990___2020[[#This Row],[Coal and lignite domestic consumption (Mt)]])</f>
        <v>-55.7771209</v>
      </c>
    </row>
    <row r="401" spans="1:23">
      <c r="A401" t="s">
        <v>41</v>
      </c>
      <c r="B401">
        <v>2017</v>
      </c>
      <c r="C401" t="s">
        <v>30</v>
      </c>
      <c r="D401">
        <v>746.04502720000005</v>
      </c>
      <c r="E401">
        <v>1.7660009379999999</v>
      </c>
      <c r="F401">
        <v>0.134684951</v>
      </c>
      <c r="G401">
        <v>114.8551221</v>
      </c>
      <c r="H401">
        <v>311.17436199999997</v>
      </c>
      <c r="I401">
        <v>34.009511670000002</v>
      </c>
      <c r="J401">
        <v>19.135949620000002</v>
      </c>
      <c r="K401">
        <v>98.58</v>
      </c>
      <c r="L401">
        <v>101.872</v>
      </c>
      <c r="M401">
        <v>8.2475130859999997</v>
      </c>
      <c r="N401">
        <v>90.883265629999997</v>
      </c>
      <c r="O401">
        <v>7.6265503999999998E-2</v>
      </c>
      <c r="P401">
        <v>653.72299999999996</v>
      </c>
      <c r="Q401">
        <v>531.31799999999998</v>
      </c>
      <c r="R401">
        <v>222.24</v>
      </c>
      <c r="S401">
        <v>22.480163619999999</v>
      </c>
      <c r="T401">
        <v>3.661</v>
      </c>
      <c r="U401">
        <v>175.12200000000001</v>
      </c>
      <c r="V401" s="1" t="str">
        <f>IF(Energy_data_1990___2020[[#This Row],[CO2 emissions from fuel combustion (MtCO2)]]&gt;Energy_data_1990___2020[[#Totals],[CO2 emissions from fuel combustion (MtCO2)]],"Above Average","")</f>
        <v>Above Average</v>
      </c>
      <c r="W401" s="1">
        <f>SUM(Energy_data_1990___2020[[#This Row],[Coal and lignite production (Mt)]]-Energy_data_1990___2020[[#This Row],[Coal and lignite domestic consumption (Mt)]])</f>
        <v>-47.117999999999995</v>
      </c>
    </row>
    <row r="402" spans="1:23">
      <c r="A402" t="s">
        <v>41</v>
      </c>
      <c r="B402">
        <v>2018</v>
      </c>
      <c r="C402" t="s">
        <v>30</v>
      </c>
      <c r="D402">
        <v>726.03763270000002</v>
      </c>
      <c r="E402">
        <v>1.750284304</v>
      </c>
      <c r="F402">
        <v>0.127680284</v>
      </c>
      <c r="G402">
        <v>111.7997175</v>
      </c>
      <c r="H402">
        <v>302.18602069999997</v>
      </c>
      <c r="I402">
        <v>35.906517669999999</v>
      </c>
      <c r="J402">
        <v>19.194747750000001</v>
      </c>
      <c r="K402">
        <v>93.478999999999999</v>
      </c>
      <c r="L402">
        <v>96.664000000000001</v>
      </c>
      <c r="M402">
        <v>6.5093068939999998</v>
      </c>
      <c r="N402">
        <v>91.894443089999996</v>
      </c>
      <c r="O402">
        <v>7.2948311000000002E-2</v>
      </c>
      <c r="P402">
        <v>643.15899999999999</v>
      </c>
      <c r="Q402">
        <v>523.46297289999995</v>
      </c>
      <c r="R402">
        <v>215.71100000000001</v>
      </c>
      <c r="S402">
        <v>24.48539164</v>
      </c>
      <c r="T402">
        <v>3.64</v>
      </c>
      <c r="U402">
        <v>169.01900000000001</v>
      </c>
      <c r="V402" s="1" t="str">
        <f>IF(Energy_data_1990___2020[[#This Row],[CO2 emissions from fuel combustion (MtCO2)]]&gt;Energy_data_1990___2020[[#Totals],[CO2 emissions from fuel combustion (MtCO2)]],"Above Average","")</f>
        <v>Above Average</v>
      </c>
      <c r="W402" s="1">
        <f>SUM(Energy_data_1990___2020[[#This Row],[Coal and lignite production (Mt)]]-Energy_data_1990___2020[[#This Row],[Coal and lignite domestic consumption (Mt)]])</f>
        <v>-46.692000000000007</v>
      </c>
    </row>
    <row r="403" spans="1:23">
      <c r="A403" t="s">
        <v>41</v>
      </c>
      <c r="B403">
        <v>2019</v>
      </c>
      <c r="C403" t="s">
        <v>30</v>
      </c>
      <c r="D403">
        <v>678.06502250000005</v>
      </c>
      <c r="E403">
        <v>1.6231697119999999</v>
      </c>
      <c r="F403">
        <v>0.114611536</v>
      </c>
      <c r="G403">
        <v>102.61818820000001</v>
      </c>
      <c r="H403">
        <v>294.1217891</v>
      </c>
      <c r="I403">
        <v>40.488167769999997</v>
      </c>
      <c r="J403">
        <v>18.65691859</v>
      </c>
      <c r="K403">
        <v>95.478041750000003</v>
      </c>
      <c r="L403">
        <v>96.371078789999999</v>
      </c>
      <c r="M403">
        <v>6.6118888560000002</v>
      </c>
      <c r="N403">
        <v>94.898198190000002</v>
      </c>
      <c r="O403">
        <v>7.0609705999999994E-2</v>
      </c>
      <c r="P403">
        <v>612.07548029999998</v>
      </c>
      <c r="Q403">
        <v>512.2679445</v>
      </c>
      <c r="R403">
        <v>168.31480759999999</v>
      </c>
      <c r="S403">
        <v>28.11099733</v>
      </c>
      <c r="T403">
        <v>3.3402408370000001</v>
      </c>
      <c r="U403">
        <v>127.1432542</v>
      </c>
      <c r="V403" s="1" t="str">
        <f>IF(Energy_data_1990___2020[[#This Row],[CO2 emissions from fuel combustion (MtCO2)]]&gt;Energy_data_1990___2020[[#Totals],[CO2 emissions from fuel combustion (MtCO2)]],"Above Average","")</f>
        <v>Above Average</v>
      </c>
      <c r="W403" s="1">
        <f>SUM(Energy_data_1990___2020[[#This Row],[Coal and lignite production (Mt)]]-Energy_data_1990___2020[[#This Row],[Coal and lignite domestic consumption (Mt)]])</f>
        <v>-41.171553399999993</v>
      </c>
    </row>
    <row r="404" spans="1:23">
      <c r="A404" t="s">
        <v>41</v>
      </c>
      <c r="B404">
        <v>2020</v>
      </c>
      <c r="C404" t="s">
        <v>30</v>
      </c>
      <c r="D404">
        <v>616.99151879999999</v>
      </c>
      <c r="E404">
        <v>1.536435977</v>
      </c>
      <c r="F404">
        <v>0.107295343</v>
      </c>
      <c r="G404">
        <v>95.502253640000006</v>
      </c>
      <c r="H404">
        <v>275.47309109999998</v>
      </c>
      <c r="I404">
        <v>44.532622320000002</v>
      </c>
      <c r="J404">
        <v>18.75441884</v>
      </c>
      <c r="K404">
        <v>86.801897220000001</v>
      </c>
      <c r="L404">
        <v>91.606272270000005</v>
      </c>
      <c r="M404">
        <v>5.5801679440000003</v>
      </c>
      <c r="N404">
        <v>92.605368690000006</v>
      </c>
      <c r="O404">
        <v>6.9833917999999995E-2</v>
      </c>
      <c r="P404">
        <v>572.48850900000002</v>
      </c>
      <c r="Q404">
        <v>489.0156303</v>
      </c>
      <c r="R404">
        <v>138.40672889999999</v>
      </c>
      <c r="S404">
        <v>32.093219359999999</v>
      </c>
      <c r="T404">
        <v>3.2388020270000002</v>
      </c>
      <c r="U404">
        <v>104.595682</v>
      </c>
      <c r="V404" s="1" t="str">
        <f>IF(Energy_data_1990___2020[[#This Row],[CO2 emissions from fuel combustion (MtCO2)]]&gt;Energy_data_1990___2020[[#Totals],[CO2 emissions from fuel combustion (MtCO2)]],"Above Average","")</f>
        <v>Above Average</v>
      </c>
      <c r="W404" s="1">
        <f>SUM(Energy_data_1990___2020[[#This Row],[Coal and lignite production (Mt)]]-Energy_data_1990___2020[[#This Row],[Coal and lignite domestic consumption (Mt)]])</f>
        <v>-33.811046899999994</v>
      </c>
    </row>
    <row r="405" spans="1:23">
      <c r="A405" t="s">
        <v>42</v>
      </c>
      <c r="B405">
        <v>1990</v>
      </c>
      <c r="C405" t="s">
        <v>28</v>
      </c>
      <c r="D405">
        <v>523.09689270000001</v>
      </c>
      <c r="E405">
        <v>1.711269476</v>
      </c>
      <c r="F405">
        <v>0.33034988999999998</v>
      </c>
      <c r="G405">
        <v>280.49120490000001</v>
      </c>
      <c r="H405">
        <v>305.6776855</v>
      </c>
      <c r="I405">
        <v>24.765260649999998</v>
      </c>
      <c r="J405">
        <v>7.3913805440000004</v>
      </c>
      <c r="K405">
        <v>56.448999999999998</v>
      </c>
      <c r="L405">
        <v>52.201000000000001</v>
      </c>
      <c r="M405">
        <v>12.76599169</v>
      </c>
      <c r="N405">
        <v>12.94400166</v>
      </c>
      <c r="O405">
        <v>0.19304375800000001</v>
      </c>
      <c r="P405">
        <v>289.47000000000003</v>
      </c>
      <c r="Q405">
        <v>211.76599999999999</v>
      </c>
      <c r="R405">
        <v>218.23474049999999</v>
      </c>
      <c r="S405">
        <v>1.1054685999999999E-2</v>
      </c>
      <c r="T405">
        <v>34.555</v>
      </c>
      <c r="U405">
        <v>225.25800000000001</v>
      </c>
      <c r="V405" s="1" t="str">
        <f>IF(Energy_data_1990___2020[[#This Row],[CO2 emissions from fuel combustion (MtCO2)]]&gt;Energy_data_1990___2020[[#Totals],[CO2 emissions from fuel combustion (MtCO2)]],"Above Average","")</f>
        <v/>
      </c>
      <c r="W405" s="1">
        <f>SUM(Energy_data_1990___2020[[#This Row],[Coal and lignite production (Mt)]]-Energy_data_1990___2020[[#This Row],[Coal and lignite domestic consumption (Mt)]])</f>
        <v>7.0232595000000231</v>
      </c>
    </row>
    <row r="406" spans="1:23">
      <c r="A406" t="s">
        <v>42</v>
      </c>
      <c r="B406">
        <v>1991</v>
      </c>
      <c r="C406" t="s">
        <v>28</v>
      </c>
      <c r="D406">
        <v>562.04819529999997</v>
      </c>
      <c r="E406">
        <v>1.76487025</v>
      </c>
      <c r="F406">
        <v>0.35123671499999998</v>
      </c>
      <c r="G406">
        <v>290.51365390000001</v>
      </c>
      <c r="H406">
        <v>318.464315</v>
      </c>
      <c r="I406">
        <v>23.06642042</v>
      </c>
      <c r="J406">
        <v>7.8531573769999996</v>
      </c>
      <c r="K406">
        <v>58.392000000000003</v>
      </c>
      <c r="L406">
        <v>52.213000000000001</v>
      </c>
      <c r="M406">
        <v>14.440991690000001</v>
      </c>
      <c r="N406">
        <v>14.49003274</v>
      </c>
      <c r="O406">
        <v>0.19901560200000001</v>
      </c>
      <c r="P406">
        <v>315.67099999999999</v>
      </c>
      <c r="Q406">
        <v>232.03299999999999</v>
      </c>
      <c r="R406">
        <v>236.71762279999999</v>
      </c>
      <c r="S406">
        <v>1.2354634999999999E-2</v>
      </c>
      <c r="T406">
        <v>32.573999999999998</v>
      </c>
      <c r="U406">
        <v>245.00700000000001</v>
      </c>
      <c r="V406" s="1" t="str">
        <f>IF(Energy_data_1990___2020[[#This Row],[CO2 emissions from fuel combustion (MtCO2)]]&gt;Energy_data_1990___2020[[#Totals],[CO2 emissions from fuel combustion (MtCO2)]],"Above Average","")</f>
        <v>Above Average</v>
      </c>
      <c r="W406" s="1">
        <f>SUM(Energy_data_1990___2020[[#This Row],[Coal and lignite production (Mt)]]-Energy_data_1990___2020[[#This Row],[Coal and lignite domestic consumption (Mt)]])</f>
        <v>8.2893772000000183</v>
      </c>
    </row>
    <row r="407" spans="1:23">
      <c r="A407" t="s">
        <v>42</v>
      </c>
      <c r="B407">
        <v>1992</v>
      </c>
      <c r="C407" t="s">
        <v>28</v>
      </c>
      <c r="D407">
        <v>594.46555350000006</v>
      </c>
      <c r="E407">
        <v>1.8008205770000001</v>
      </c>
      <c r="F407">
        <v>0.35218678599999997</v>
      </c>
      <c r="G407">
        <v>293.71350000000001</v>
      </c>
      <c r="H407">
        <v>330.10815239999999</v>
      </c>
      <c r="I407">
        <v>21.025904520000001</v>
      </c>
      <c r="J407">
        <v>8.1714200590000008</v>
      </c>
      <c r="K407">
        <v>60.588999999999999</v>
      </c>
      <c r="L407">
        <v>54.435000000000002</v>
      </c>
      <c r="M407">
        <v>16.115991690000001</v>
      </c>
      <c r="N407">
        <v>16.70001817</v>
      </c>
      <c r="O407">
        <v>0.19557016999999999</v>
      </c>
      <c r="P407">
        <v>332.79899999999998</v>
      </c>
      <c r="Q407">
        <v>247.45099999999999</v>
      </c>
      <c r="R407">
        <v>251.1350813</v>
      </c>
      <c r="S407">
        <v>2.6442387000000001E-2</v>
      </c>
      <c r="T407">
        <v>29.518000000000001</v>
      </c>
      <c r="U407">
        <v>255.22900000000001</v>
      </c>
      <c r="V407" s="1" t="str">
        <f>IF(Energy_data_1990___2020[[#This Row],[CO2 emissions from fuel combustion (MtCO2)]]&gt;Energy_data_1990___2020[[#Totals],[CO2 emissions from fuel combustion (MtCO2)]],"Above Average","")</f>
        <v>Above Average</v>
      </c>
      <c r="W407" s="1">
        <f>SUM(Energy_data_1990___2020[[#This Row],[Coal and lignite production (Mt)]]-Energy_data_1990___2020[[#This Row],[Coal and lignite domestic consumption (Mt)]])</f>
        <v>4.0939187000000175</v>
      </c>
    </row>
    <row r="408" spans="1:23">
      <c r="A408" t="s">
        <v>42</v>
      </c>
      <c r="B408">
        <v>1993</v>
      </c>
      <c r="C408" t="s">
        <v>28</v>
      </c>
      <c r="D408">
        <v>625.86561340000003</v>
      </c>
      <c r="E408">
        <v>1.851428911</v>
      </c>
      <c r="F408">
        <v>0.35397305499999998</v>
      </c>
      <c r="G408">
        <v>297.57472749999999</v>
      </c>
      <c r="H408">
        <v>338.04463670000001</v>
      </c>
      <c r="I408">
        <v>19.801194070000001</v>
      </c>
      <c r="J408">
        <v>8.7163533350000009</v>
      </c>
      <c r="K408">
        <v>62.529000000000003</v>
      </c>
      <c r="L408">
        <v>55.305</v>
      </c>
      <c r="M408">
        <v>16.340005189999999</v>
      </c>
      <c r="N408">
        <v>17.09400312</v>
      </c>
      <c r="O408">
        <v>0.19118911499999999</v>
      </c>
      <c r="P408">
        <v>356.428</v>
      </c>
      <c r="Q408">
        <v>266.14600000000002</v>
      </c>
      <c r="R408">
        <v>265.24664669999999</v>
      </c>
      <c r="S408">
        <v>2.7775596E-2</v>
      </c>
      <c r="T408">
        <v>29.742000000000001</v>
      </c>
      <c r="U408">
        <v>262.291</v>
      </c>
      <c r="V408" s="1" t="str">
        <f>IF(Energy_data_1990___2020[[#This Row],[CO2 emissions from fuel combustion (MtCO2)]]&gt;Energy_data_1990___2020[[#Totals],[CO2 emissions from fuel combustion (MtCO2)]],"Above Average","")</f>
        <v>Above Average</v>
      </c>
      <c r="W408" s="1">
        <f>SUM(Energy_data_1990___2020[[#This Row],[Coal and lignite production (Mt)]]-Energy_data_1990___2020[[#This Row],[Coal and lignite domestic consumption (Mt)]])</f>
        <v>-2.9556466999999884</v>
      </c>
    </row>
    <row r="409" spans="1:23">
      <c r="A409" t="s">
        <v>42</v>
      </c>
      <c r="B409">
        <v>1994</v>
      </c>
      <c r="C409" t="s">
        <v>28</v>
      </c>
      <c r="D409">
        <v>666.50309159999995</v>
      </c>
      <c r="E409">
        <v>1.8988601549999999</v>
      </c>
      <c r="F409">
        <v>0.35342240899999999</v>
      </c>
      <c r="G409">
        <v>308.23453089999998</v>
      </c>
      <c r="H409">
        <v>351.00167320000003</v>
      </c>
      <c r="I409">
        <v>21.504514740000001</v>
      </c>
      <c r="J409">
        <v>9.125386335</v>
      </c>
      <c r="K409">
        <v>68.05</v>
      </c>
      <c r="L409">
        <v>57.49</v>
      </c>
      <c r="M409">
        <v>17.338006230000001</v>
      </c>
      <c r="N409">
        <v>18.17698017</v>
      </c>
      <c r="O409">
        <v>0.18612345299999999</v>
      </c>
      <c r="P409">
        <v>385.62599999999998</v>
      </c>
      <c r="Q409">
        <v>289.56900000000002</v>
      </c>
      <c r="R409">
        <v>280.48717959999999</v>
      </c>
      <c r="S409">
        <v>5.1863723E-2</v>
      </c>
      <c r="T409">
        <v>34.914999999999999</v>
      </c>
      <c r="U409">
        <v>271.72500000000002</v>
      </c>
      <c r="V409" s="1" t="str">
        <f>IF(Energy_data_1990___2020[[#This Row],[CO2 emissions from fuel combustion (MtCO2)]]&gt;Energy_data_1990___2020[[#Totals],[CO2 emissions from fuel combustion (MtCO2)]],"Above Average","")</f>
        <v>Above Average</v>
      </c>
      <c r="W409" s="1">
        <f>SUM(Energy_data_1990___2020[[#This Row],[Coal and lignite production (Mt)]]-Energy_data_1990___2020[[#This Row],[Coal and lignite domestic consumption (Mt)]])</f>
        <v>-8.7621795999999676</v>
      </c>
    </row>
    <row r="410" spans="1:23">
      <c r="A410" t="s">
        <v>42</v>
      </c>
      <c r="B410">
        <v>1995</v>
      </c>
      <c r="C410" t="s">
        <v>28</v>
      </c>
      <c r="D410">
        <v>724.57133520000002</v>
      </c>
      <c r="E410">
        <v>1.9520998359999999</v>
      </c>
      <c r="F410">
        <v>0.35716077800000001</v>
      </c>
      <c r="G410">
        <v>322.7639504</v>
      </c>
      <c r="H410">
        <v>371.17534769999997</v>
      </c>
      <c r="I410">
        <v>17.48965583</v>
      </c>
      <c r="J410">
        <v>9.4686790280000004</v>
      </c>
      <c r="K410">
        <v>76.337999999999994</v>
      </c>
      <c r="L410">
        <v>60.033000000000001</v>
      </c>
      <c r="M410">
        <v>20.932009350000001</v>
      </c>
      <c r="N410">
        <v>21.448990930000001</v>
      </c>
      <c r="O410">
        <v>0.18296235299999999</v>
      </c>
      <c r="P410">
        <v>418.11</v>
      </c>
      <c r="Q410">
        <v>309.649</v>
      </c>
      <c r="R410">
        <v>302.13197489999999</v>
      </c>
      <c r="S410">
        <v>0.12676090000000001</v>
      </c>
      <c r="T410">
        <v>38.375</v>
      </c>
      <c r="U410">
        <v>290.42599999999999</v>
      </c>
      <c r="V410" s="1" t="str">
        <f>IF(Energy_data_1990___2020[[#This Row],[CO2 emissions from fuel combustion (MtCO2)]]&gt;Energy_data_1990___2020[[#Totals],[CO2 emissions from fuel combustion (MtCO2)]],"Above Average","")</f>
        <v>Above Average</v>
      </c>
      <c r="W410" s="1">
        <f>SUM(Energy_data_1990___2020[[#This Row],[Coal and lignite production (Mt)]]-Energy_data_1990___2020[[#This Row],[Coal and lignite domestic consumption (Mt)]])</f>
        <v>-11.705974900000001</v>
      </c>
    </row>
    <row r="411" spans="1:23">
      <c r="A411" t="s">
        <v>42</v>
      </c>
      <c r="B411">
        <v>1996</v>
      </c>
      <c r="C411" t="s">
        <v>28</v>
      </c>
      <c r="D411">
        <v>760.2398819</v>
      </c>
      <c r="E411">
        <v>1.9874288840000001</v>
      </c>
      <c r="F411">
        <v>0.34843740899999998</v>
      </c>
      <c r="G411">
        <v>328.03590800000001</v>
      </c>
      <c r="H411">
        <v>382.52431969999998</v>
      </c>
      <c r="I411">
        <v>15.99470614</v>
      </c>
      <c r="J411">
        <v>9.4401868049999997</v>
      </c>
      <c r="K411">
        <v>80.816999999999993</v>
      </c>
      <c r="L411">
        <v>64.275000000000006</v>
      </c>
      <c r="M411">
        <v>21.323987540000001</v>
      </c>
      <c r="N411">
        <v>22.128013079999999</v>
      </c>
      <c r="O411">
        <v>0.175320693</v>
      </c>
      <c r="P411">
        <v>436.73200000000003</v>
      </c>
      <c r="Q411">
        <v>314.976</v>
      </c>
      <c r="R411">
        <v>319.06441690000003</v>
      </c>
      <c r="S411">
        <v>0.21157139799999999</v>
      </c>
      <c r="T411">
        <v>36.222999999999999</v>
      </c>
      <c r="U411">
        <v>307.697</v>
      </c>
      <c r="V411" s="1" t="str">
        <f>IF(Energy_data_1990___2020[[#This Row],[CO2 emissions from fuel combustion (MtCO2)]]&gt;Energy_data_1990___2020[[#Totals],[CO2 emissions from fuel combustion (MtCO2)]],"Above Average","")</f>
        <v>Above Average</v>
      </c>
      <c r="W411" s="1">
        <f>SUM(Energy_data_1990___2020[[#This Row],[Coal and lignite production (Mt)]]-Energy_data_1990___2020[[#This Row],[Coal and lignite domestic consumption (Mt)]])</f>
        <v>-11.367416900000023</v>
      </c>
    </row>
    <row r="412" spans="1:23">
      <c r="A412" t="s">
        <v>42</v>
      </c>
      <c r="B412">
        <v>1997</v>
      </c>
      <c r="C412" t="s">
        <v>28</v>
      </c>
      <c r="D412">
        <v>794.64629520000005</v>
      </c>
      <c r="E412">
        <v>1.998094622</v>
      </c>
      <c r="F412">
        <v>0.35003111599999998</v>
      </c>
      <c r="G412">
        <v>338.37216969999997</v>
      </c>
      <c r="H412">
        <v>397.70203400000003</v>
      </c>
      <c r="I412">
        <v>16.251331019999999</v>
      </c>
      <c r="J412">
        <v>9.5982118980000006</v>
      </c>
      <c r="K412">
        <v>84.888999999999996</v>
      </c>
      <c r="L412">
        <v>66.608999999999995</v>
      </c>
      <c r="M412">
        <v>24.544989619999999</v>
      </c>
      <c r="N412">
        <v>26.222023759999999</v>
      </c>
      <c r="O412">
        <v>0.17518245199999999</v>
      </c>
      <c r="P412">
        <v>465.80799999999999</v>
      </c>
      <c r="Q412">
        <v>334.25799999999998</v>
      </c>
      <c r="R412">
        <v>332.09482880000002</v>
      </c>
      <c r="S412">
        <v>0.223053275</v>
      </c>
      <c r="T412">
        <v>37.392000000000003</v>
      </c>
      <c r="U412">
        <v>319.20800000000003</v>
      </c>
      <c r="V412" s="1" t="str">
        <f>IF(Energy_data_1990___2020[[#This Row],[CO2 emissions from fuel combustion (MtCO2)]]&gt;Energy_data_1990___2020[[#Totals],[CO2 emissions from fuel combustion (MtCO2)]],"Above Average","")</f>
        <v>Above Average</v>
      </c>
      <c r="W412" s="1">
        <f>SUM(Energy_data_1990___2020[[#This Row],[Coal and lignite production (Mt)]]-Energy_data_1990___2020[[#This Row],[Coal and lignite domestic consumption (Mt)]])</f>
        <v>-12.886828799999989</v>
      </c>
    </row>
    <row r="413" spans="1:23">
      <c r="A413" t="s">
        <v>42</v>
      </c>
      <c r="B413">
        <v>1998</v>
      </c>
      <c r="C413" t="s">
        <v>28</v>
      </c>
      <c r="D413">
        <v>812.81176879999998</v>
      </c>
      <c r="E413">
        <v>1.995836913</v>
      </c>
      <c r="F413">
        <v>0.33718014299999999</v>
      </c>
      <c r="G413">
        <v>337.1330537</v>
      </c>
      <c r="H413">
        <v>407.25360039999998</v>
      </c>
      <c r="I413">
        <v>16.930522710000002</v>
      </c>
      <c r="J413">
        <v>9.9720092939999994</v>
      </c>
      <c r="K413">
        <v>89.281000000000006</v>
      </c>
      <c r="L413">
        <v>70.17</v>
      </c>
      <c r="M413">
        <v>25.705996880000001</v>
      </c>
      <c r="N413">
        <v>28.141975209999998</v>
      </c>
      <c r="O413">
        <v>0.16894173100000001</v>
      </c>
      <c r="P413">
        <v>496.92500000000001</v>
      </c>
      <c r="Q413">
        <v>350.923</v>
      </c>
      <c r="R413">
        <v>334.5761321</v>
      </c>
      <c r="S413">
        <v>0.22719726300000001</v>
      </c>
      <c r="T413">
        <v>36.445999999999998</v>
      </c>
      <c r="U413">
        <v>315.70800000000003</v>
      </c>
      <c r="V413" s="1" t="str">
        <f>IF(Energy_data_1990___2020[[#This Row],[CO2 emissions from fuel combustion (MtCO2)]]&gt;Energy_data_1990___2020[[#Totals],[CO2 emissions from fuel combustion (MtCO2)]],"Above Average","")</f>
        <v>Above Average</v>
      </c>
      <c r="W413" s="1">
        <f>SUM(Energy_data_1990___2020[[#This Row],[Coal and lignite production (Mt)]]-Energy_data_1990___2020[[#This Row],[Coal and lignite domestic consumption (Mt)]])</f>
        <v>-18.868132099999968</v>
      </c>
    </row>
    <row r="414" spans="1:23">
      <c r="A414" t="s">
        <v>42</v>
      </c>
      <c r="B414">
        <v>1999</v>
      </c>
      <c r="C414" t="s">
        <v>28</v>
      </c>
      <c r="D414">
        <v>873.60680739999998</v>
      </c>
      <c r="E414">
        <v>2.0280382100000001</v>
      </c>
      <c r="F414">
        <v>0.33294808300000001</v>
      </c>
      <c r="G414">
        <v>344.35473819999999</v>
      </c>
      <c r="H414">
        <v>430.76447130000003</v>
      </c>
      <c r="I414">
        <v>15.49678709</v>
      </c>
      <c r="J414">
        <v>9.9448982200000007</v>
      </c>
      <c r="K414">
        <v>97.408000000000001</v>
      </c>
      <c r="L414">
        <v>86.941000000000003</v>
      </c>
      <c r="M414">
        <v>27.768985950000001</v>
      </c>
      <c r="N414">
        <v>28.413006230000001</v>
      </c>
      <c r="O414">
        <v>0.16417249</v>
      </c>
      <c r="P414">
        <v>537.36300000000006</v>
      </c>
      <c r="Q414">
        <v>360.35599999999999</v>
      </c>
      <c r="R414">
        <v>360.58027129999999</v>
      </c>
      <c r="S414">
        <v>0.28118794899999999</v>
      </c>
      <c r="T414">
        <v>36.417000000000002</v>
      </c>
      <c r="U414">
        <v>323.62700000000001</v>
      </c>
      <c r="V414" s="1" t="str">
        <f>IF(Energy_data_1990___2020[[#This Row],[CO2 emissions from fuel combustion (MtCO2)]]&gt;Energy_data_1990___2020[[#Totals],[CO2 emissions from fuel combustion (MtCO2)]],"Above Average","")</f>
        <v>Above Average</v>
      </c>
      <c r="W414" s="1">
        <f>SUM(Energy_data_1990___2020[[#This Row],[Coal and lignite production (Mt)]]-Energy_data_1990___2020[[#This Row],[Coal and lignite domestic consumption (Mt)]])</f>
        <v>-36.953271299999983</v>
      </c>
    </row>
    <row r="415" spans="1:23">
      <c r="A415" t="s">
        <v>42</v>
      </c>
      <c r="B415">
        <v>2000</v>
      </c>
      <c r="C415" t="s">
        <v>28</v>
      </c>
      <c r="D415">
        <v>912.26957019999998</v>
      </c>
      <c r="E415">
        <v>2.0689924660000001</v>
      </c>
      <c r="F415">
        <v>0.33482268399999998</v>
      </c>
      <c r="G415">
        <v>350.79080820000001</v>
      </c>
      <c r="H415">
        <v>440.9245492</v>
      </c>
      <c r="I415">
        <v>13.773853770000001</v>
      </c>
      <c r="J415">
        <v>9.9014177100000005</v>
      </c>
      <c r="K415">
        <v>107.642</v>
      </c>
      <c r="L415">
        <v>104.596</v>
      </c>
      <c r="M415">
        <v>27.85999481</v>
      </c>
      <c r="N415">
        <v>28.911979110000001</v>
      </c>
      <c r="O415">
        <v>0.16182885599999999</v>
      </c>
      <c r="P415">
        <v>562.12300000000005</v>
      </c>
      <c r="Q415">
        <v>368.65499999999997</v>
      </c>
      <c r="R415">
        <v>375.48518780000001</v>
      </c>
      <c r="S415">
        <v>0.29993435600000001</v>
      </c>
      <c r="T415">
        <v>36.418999999999997</v>
      </c>
      <c r="U415">
        <v>335.67500000000001</v>
      </c>
      <c r="V415" s="1" t="str">
        <f>IF(Energy_data_1990___2020[[#This Row],[CO2 emissions from fuel combustion (MtCO2)]]&gt;Energy_data_1990___2020[[#Totals],[CO2 emissions from fuel combustion (MtCO2)]],"Above Average","")</f>
        <v>Above Average</v>
      </c>
      <c r="W415" s="1">
        <f>SUM(Energy_data_1990___2020[[#This Row],[Coal and lignite production (Mt)]]-Energy_data_1990___2020[[#This Row],[Coal and lignite domestic consumption (Mt)]])</f>
        <v>-39.810187799999994</v>
      </c>
    </row>
    <row r="416" spans="1:23">
      <c r="A416" t="s">
        <v>42</v>
      </c>
      <c r="B416">
        <v>2001</v>
      </c>
      <c r="C416" t="s">
        <v>28</v>
      </c>
      <c r="D416">
        <v>926.71941779999997</v>
      </c>
      <c r="E416">
        <v>2.0684200559999999</v>
      </c>
      <c r="F416">
        <v>0.32447359399999998</v>
      </c>
      <c r="G416">
        <v>358.23856430000001</v>
      </c>
      <c r="H416">
        <v>448.03250430000003</v>
      </c>
      <c r="I416">
        <v>13.37318202</v>
      </c>
      <c r="J416">
        <v>10.012883520000001</v>
      </c>
      <c r="K416">
        <v>106.051</v>
      </c>
      <c r="L416">
        <v>109.608</v>
      </c>
      <c r="M416">
        <v>28.036993769999999</v>
      </c>
      <c r="N416">
        <v>29.917031189999999</v>
      </c>
      <c r="O416">
        <v>0.15687026100000001</v>
      </c>
      <c r="P416">
        <v>580.86400000000003</v>
      </c>
      <c r="Q416">
        <v>374.59100000000001</v>
      </c>
      <c r="R416">
        <v>388.01212149999998</v>
      </c>
      <c r="S416">
        <v>0.38614890899999998</v>
      </c>
      <c r="T416">
        <v>36.174999999999997</v>
      </c>
      <c r="U416">
        <v>349.62400000000002</v>
      </c>
      <c r="V416" s="1" t="str">
        <f>IF(Energy_data_1990___2020[[#This Row],[CO2 emissions from fuel combustion (MtCO2)]]&gt;Energy_data_1990___2020[[#Totals],[CO2 emissions from fuel combustion (MtCO2)]],"Above Average","")</f>
        <v>Above Average</v>
      </c>
      <c r="W416" s="1">
        <f>SUM(Energy_data_1990___2020[[#This Row],[Coal and lignite production (Mt)]]-Energy_data_1990___2020[[#This Row],[Coal and lignite domestic consumption (Mt)]])</f>
        <v>-38.388121499999954</v>
      </c>
    </row>
    <row r="417" spans="1:23">
      <c r="A417" t="s">
        <v>42</v>
      </c>
      <c r="B417">
        <v>2002</v>
      </c>
      <c r="C417" t="s">
        <v>28</v>
      </c>
      <c r="D417">
        <v>956.25209150000001</v>
      </c>
      <c r="E417">
        <v>2.0687154360000002</v>
      </c>
      <c r="F417">
        <v>0.32254440200000001</v>
      </c>
      <c r="G417">
        <v>368.4821455</v>
      </c>
      <c r="H417">
        <v>462.24438359999999</v>
      </c>
      <c r="I417">
        <v>12.34352998</v>
      </c>
      <c r="J417">
        <v>10.295841729999999</v>
      </c>
      <c r="K417">
        <v>110.224</v>
      </c>
      <c r="L417">
        <v>114.16</v>
      </c>
      <c r="M417">
        <v>30.40202597</v>
      </c>
      <c r="N417">
        <v>31.83899542</v>
      </c>
      <c r="O417">
        <v>0.155915307</v>
      </c>
      <c r="P417">
        <v>604.34900000000005</v>
      </c>
      <c r="Q417">
        <v>399.45</v>
      </c>
      <c r="R417">
        <v>402.91436650000003</v>
      </c>
      <c r="S417">
        <v>0.44510704899999998</v>
      </c>
      <c r="T417">
        <v>37.506999999999998</v>
      </c>
      <c r="U417">
        <v>363.947</v>
      </c>
      <c r="V417" s="1" t="str">
        <f>IF(Energy_data_1990___2020[[#This Row],[CO2 emissions from fuel combustion (MtCO2)]]&gt;Energy_data_1990___2020[[#Totals],[CO2 emissions from fuel combustion (MtCO2)]],"Above Average","")</f>
        <v>Above Average</v>
      </c>
      <c r="W417" s="1">
        <f>SUM(Energy_data_1990___2020[[#This Row],[Coal and lignite production (Mt)]]-Energy_data_1990___2020[[#This Row],[Coal and lignite domestic consumption (Mt)]])</f>
        <v>-38.967366500000026</v>
      </c>
    </row>
    <row r="418" spans="1:23">
      <c r="A418" t="s">
        <v>42</v>
      </c>
      <c r="B418">
        <v>2003</v>
      </c>
      <c r="C418" t="s">
        <v>28</v>
      </c>
      <c r="D418">
        <v>987.21118990000002</v>
      </c>
      <c r="E418">
        <v>2.0829864140000001</v>
      </c>
      <c r="F418">
        <v>0.30872032799999999</v>
      </c>
      <c r="G418">
        <v>381.23941350000001</v>
      </c>
      <c r="H418">
        <v>473.94029239999998</v>
      </c>
      <c r="I418">
        <v>13.673721710000001</v>
      </c>
      <c r="J418">
        <v>10.716347989999999</v>
      </c>
      <c r="K418">
        <v>114.45</v>
      </c>
      <c r="L418">
        <v>124.023</v>
      </c>
      <c r="M418">
        <v>30.90599688</v>
      </c>
      <c r="N418">
        <v>34.766018160000002</v>
      </c>
      <c r="O418">
        <v>0.148210438</v>
      </c>
      <c r="P418">
        <v>642.18799999999999</v>
      </c>
      <c r="Q418">
        <v>424.83300000000003</v>
      </c>
      <c r="R418">
        <v>414.47410009999999</v>
      </c>
      <c r="S418">
        <v>0.55949348200000004</v>
      </c>
      <c r="T418">
        <v>37.768999999999998</v>
      </c>
      <c r="U418">
        <v>386.43299999999999</v>
      </c>
      <c r="V418" s="1" t="str">
        <f>IF(Energy_data_1990___2020[[#This Row],[CO2 emissions from fuel combustion (MtCO2)]]&gt;Energy_data_1990___2020[[#Totals],[CO2 emissions from fuel combustion (MtCO2)]],"Above Average","")</f>
        <v>Above Average</v>
      </c>
      <c r="W418" s="1">
        <f>SUM(Energy_data_1990___2020[[#This Row],[Coal and lignite production (Mt)]]-Energy_data_1990___2020[[#This Row],[Coal and lignite domestic consumption (Mt)]])</f>
        <v>-28.041100099999994</v>
      </c>
    </row>
    <row r="419" spans="1:23">
      <c r="A419" t="s">
        <v>42</v>
      </c>
      <c r="B419">
        <v>2004</v>
      </c>
      <c r="C419" t="s">
        <v>28</v>
      </c>
      <c r="D419">
        <v>1040.4759590000001</v>
      </c>
      <c r="E419">
        <v>2.0823843449999999</v>
      </c>
      <c r="F419">
        <v>0.30149037699999998</v>
      </c>
      <c r="G419">
        <v>393.45285100000001</v>
      </c>
      <c r="H419">
        <v>499.65606100000002</v>
      </c>
      <c r="I419">
        <v>14.685456459999999</v>
      </c>
      <c r="J419">
        <v>10.95199549</v>
      </c>
      <c r="K419">
        <v>117.58199999999999</v>
      </c>
      <c r="L419">
        <v>129.35599999999999</v>
      </c>
      <c r="M419">
        <v>30.774999999999999</v>
      </c>
      <c r="N419">
        <v>37.033959250000002</v>
      </c>
      <c r="O419">
        <v>0.14478133100000001</v>
      </c>
      <c r="P419">
        <v>675.75699999999995</v>
      </c>
      <c r="Q419">
        <v>450.62200000000001</v>
      </c>
      <c r="R419">
        <v>441.82600000000002</v>
      </c>
      <c r="S419">
        <v>0.66488397499999996</v>
      </c>
      <c r="T419">
        <v>38.813000000000002</v>
      </c>
      <c r="U419">
        <v>410.392</v>
      </c>
      <c r="V419" s="1" t="str">
        <f>IF(Energy_data_1990___2020[[#This Row],[CO2 emissions from fuel combustion (MtCO2)]]&gt;Energy_data_1990___2020[[#Totals],[CO2 emissions from fuel combustion (MtCO2)]],"Above Average","")</f>
        <v>Above Average</v>
      </c>
      <c r="W419" s="1">
        <f>SUM(Energy_data_1990___2020[[#This Row],[Coal and lignite production (Mt)]]-Energy_data_1990___2020[[#This Row],[Coal and lignite domestic consumption (Mt)]])</f>
        <v>-31.434000000000026</v>
      </c>
    </row>
    <row r="420" spans="1:23">
      <c r="A420" t="s">
        <v>42</v>
      </c>
      <c r="B420">
        <v>2005</v>
      </c>
      <c r="C420" t="s">
        <v>28</v>
      </c>
      <c r="D420">
        <v>1085.2263479999999</v>
      </c>
      <c r="E420">
        <v>2.1083942200000001</v>
      </c>
      <c r="F420">
        <v>0.29137077700000003</v>
      </c>
      <c r="G420">
        <v>400.68000569999998</v>
      </c>
      <c r="H420">
        <v>514.71700020000003</v>
      </c>
      <c r="I420">
        <v>16.82636836</v>
      </c>
      <c r="J420">
        <v>11.386214880000001</v>
      </c>
      <c r="K420">
        <v>119.589</v>
      </c>
      <c r="L420">
        <v>131.07599999999999</v>
      </c>
      <c r="M420">
        <v>31.324999999999999</v>
      </c>
      <c r="N420">
        <v>38.540957640000002</v>
      </c>
      <c r="O420">
        <v>0.13819558700000001</v>
      </c>
      <c r="P420">
        <v>708.09100000000001</v>
      </c>
      <c r="Q420">
        <v>481.86399999999998</v>
      </c>
      <c r="R420">
        <v>465.9720312</v>
      </c>
      <c r="S420">
        <v>0.87757082099999995</v>
      </c>
      <c r="T420">
        <v>36.844999999999999</v>
      </c>
      <c r="U420">
        <v>437.267</v>
      </c>
      <c r="V420" s="1" t="str">
        <f>IF(Energy_data_1990___2020[[#This Row],[CO2 emissions from fuel combustion (MtCO2)]]&gt;Energy_data_1990___2020[[#Totals],[CO2 emissions from fuel combustion (MtCO2)]],"Above Average","")</f>
        <v>Above Average</v>
      </c>
      <c r="W420" s="1">
        <f>SUM(Energy_data_1990___2020[[#This Row],[Coal and lignite production (Mt)]]-Energy_data_1990___2020[[#This Row],[Coal and lignite domestic consumption (Mt)]])</f>
        <v>-28.705031200000008</v>
      </c>
    </row>
    <row r="421" spans="1:23">
      <c r="A421" t="s">
        <v>42</v>
      </c>
      <c r="B421">
        <v>2006</v>
      </c>
      <c r="C421" t="s">
        <v>28</v>
      </c>
      <c r="D421">
        <v>1155.463598</v>
      </c>
      <c r="E421">
        <v>2.168131362</v>
      </c>
      <c r="F421">
        <v>0.287087327</v>
      </c>
      <c r="G421">
        <v>405.7490305</v>
      </c>
      <c r="H421">
        <v>532.93062299999997</v>
      </c>
      <c r="I421">
        <v>17.781735489999999</v>
      </c>
      <c r="J421">
        <v>12.265183970000001</v>
      </c>
      <c r="K421">
        <v>129.22</v>
      </c>
      <c r="L421">
        <v>148.273</v>
      </c>
      <c r="M421">
        <v>30.790991689999998</v>
      </c>
      <c r="N421">
        <v>39.445999010000001</v>
      </c>
      <c r="O421">
        <v>0.13241233099999999</v>
      </c>
      <c r="P421">
        <v>764.75099999999998</v>
      </c>
      <c r="Q421">
        <v>534.21699999999998</v>
      </c>
      <c r="R421">
        <v>497.76296880000001</v>
      </c>
      <c r="S421">
        <v>1.277016964</v>
      </c>
      <c r="T421">
        <v>38.475999999999999</v>
      </c>
      <c r="U421">
        <v>462.11700000000002</v>
      </c>
      <c r="V421" s="1" t="str">
        <f>IF(Energy_data_1990___2020[[#This Row],[CO2 emissions from fuel combustion (MtCO2)]]&gt;Energy_data_1990___2020[[#Totals],[CO2 emissions from fuel combustion (MtCO2)]],"Above Average","")</f>
        <v>Above Average</v>
      </c>
      <c r="W421" s="1">
        <f>SUM(Energy_data_1990___2020[[#This Row],[Coal and lignite production (Mt)]]-Energy_data_1990___2020[[#This Row],[Coal and lignite domestic consumption (Mt)]])</f>
        <v>-35.645968799999991</v>
      </c>
    </row>
    <row r="422" spans="1:23">
      <c r="A422" t="s">
        <v>42</v>
      </c>
      <c r="B422">
        <v>2007</v>
      </c>
      <c r="C422" t="s">
        <v>28</v>
      </c>
      <c r="D422">
        <v>1256.3956049999999</v>
      </c>
      <c r="E422">
        <v>2.21155641</v>
      </c>
      <c r="F422">
        <v>0.28995226099999999</v>
      </c>
      <c r="G422">
        <v>424.73912460000003</v>
      </c>
      <c r="H422">
        <v>568.10470640000005</v>
      </c>
      <c r="I422">
        <v>18.11926746</v>
      </c>
      <c r="J422">
        <v>12.392060600000001</v>
      </c>
      <c r="K422">
        <v>139.518</v>
      </c>
      <c r="L422">
        <v>158.74100000000001</v>
      </c>
      <c r="M422">
        <v>31.478997920000001</v>
      </c>
      <c r="N422">
        <v>44.202016550000003</v>
      </c>
      <c r="O422">
        <v>0.131107784</v>
      </c>
      <c r="P422">
        <v>814.75699999999995</v>
      </c>
      <c r="Q422">
        <v>579.61500000000001</v>
      </c>
      <c r="R422">
        <v>541.62303120000001</v>
      </c>
      <c r="S422">
        <v>1.4547895879999999</v>
      </c>
      <c r="T422">
        <v>38.659999999999997</v>
      </c>
      <c r="U422">
        <v>491.06200000000001</v>
      </c>
      <c r="V422" s="1" t="str">
        <f>IF(Energy_data_1990___2020[[#This Row],[CO2 emissions from fuel combustion (MtCO2)]]&gt;Energy_data_1990___2020[[#Totals],[CO2 emissions from fuel combustion (MtCO2)]],"Above Average","")</f>
        <v>Above Average</v>
      </c>
      <c r="W422" s="1">
        <f>SUM(Energy_data_1990___2020[[#This Row],[Coal and lignite production (Mt)]]-Energy_data_1990___2020[[#This Row],[Coal and lignite domestic consumption (Mt)]])</f>
        <v>-50.561031200000002</v>
      </c>
    </row>
    <row r="423" spans="1:23">
      <c r="A423" t="s">
        <v>42</v>
      </c>
      <c r="B423">
        <v>2008</v>
      </c>
      <c r="C423" t="s">
        <v>28</v>
      </c>
      <c r="D423">
        <v>1337.723354</v>
      </c>
      <c r="E423">
        <v>2.2153864520000002</v>
      </c>
      <c r="F423">
        <v>0.29947720500000002</v>
      </c>
      <c r="G423">
        <v>445.26896440000002</v>
      </c>
      <c r="H423">
        <v>603.83295759999999</v>
      </c>
      <c r="I423">
        <v>16.82752142</v>
      </c>
      <c r="J423">
        <v>12.36260832</v>
      </c>
      <c r="K423">
        <v>145.65700000000001</v>
      </c>
      <c r="L423">
        <v>164.59</v>
      </c>
      <c r="M423">
        <v>31.74600208</v>
      </c>
      <c r="N423">
        <v>37.511979029999999</v>
      </c>
      <c r="O423">
        <v>0.135180571</v>
      </c>
      <c r="P423">
        <v>845.27599999999995</v>
      </c>
      <c r="Q423">
        <v>615.68100000000004</v>
      </c>
      <c r="R423">
        <v>588.15403119999996</v>
      </c>
      <c r="S423">
        <v>1.650940048</v>
      </c>
      <c r="T423">
        <v>38.14</v>
      </c>
      <c r="U423">
        <v>525.178</v>
      </c>
      <c r="V423" s="1" t="str">
        <f>IF(Energy_data_1990___2020[[#This Row],[CO2 emissions from fuel combustion (MtCO2)]]&gt;Energy_data_1990___2020[[#Totals],[CO2 emissions from fuel combustion (MtCO2)]],"Above Average","")</f>
        <v>Above Average</v>
      </c>
      <c r="W423" s="1">
        <f>SUM(Energy_data_1990___2020[[#This Row],[Coal and lignite production (Mt)]]-Energy_data_1990___2020[[#This Row],[Coal and lignite domestic consumption (Mt)]])</f>
        <v>-62.976031199999966</v>
      </c>
    </row>
    <row r="424" spans="1:23">
      <c r="A424" t="s">
        <v>42</v>
      </c>
      <c r="B424">
        <v>2009</v>
      </c>
      <c r="C424" t="s">
        <v>28</v>
      </c>
      <c r="D424">
        <v>1471.855049</v>
      </c>
      <c r="E424">
        <v>2.2196105739999998</v>
      </c>
      <c r="F424">
        <v>0.30548823000000003</v>
      </c>
      <c r="G424">
        <v>483.57979010000003</v>
      </c>
      <c r="H424">
        <v>663.11409130000004</v>
      </c>
      <c r="I424">
        <v>15.82424425</v>
      </c>
      <c r="J424">
        <v>12.455371059999999</v>
      </c>
      <c r="K424">
        <v>146.26499999999999</v>
      </c>
      <c r="L424">
        <v>191.35</v>
      </c>
      <c r="M424">
        <v>46.521000000000001</v>
      </c>
      <c r="N424">
        <v>48.35200425</v>
      </c>
      <c r="O424">
        <v>0.13763145399999999</v>
      </c>
      <c r="P424">
        <v>908.96600000000001</v>
      </c>
      <c r="Q424">
        <v>660.74300000000005</v>
      </c>
      <c r="R424">
        <v>644.88099999999997</v>
      </c>
      <c r="S424">
        <v>2.0755451800000002</v>
      </c>
      <c r="T424">
        <v>38.531999999999996</v>
      </c>
      <c r="U424">
        <v>566.11300000000006</v>
      </c>
      <c r="V424" s="1" t="str">
        <f>IF(Energy_data_1990___2020[[#This Row],[CO2 emissions from fuel combustion (MtCO2)]]&gt;Energy_data_1990___2020[[#Totals],[CO2 emissions from fuel combustion (MtCO2)]],"Above Average","")</f>
        <v>Above Average</v>
      </c>
      <c r="W424" s="1">
        <f>SUM(Energy_data_1990___2020[[#This Row],[Coal and lignite production (Mt)]]-Energy_data_1990___2020[[#This Row],[Coal and lignite domestic consumption (Mt)]])</f>
        <v>-78.767999999999915</v>
      </c>
    </row>
    <row r="425" spans="1:23">
      <c r="A425" t="s">
        <v>42</v>
      </c>
      <c r="B425">
        <v>2010</v>
      </c>
      <c r="C425" t="s">
        <v>28</v>
      </c>
      <c r="D425">
        <v>1570.30692</v>
      </c>
      <c r="E425">
        <v>2.2408899899999999</v>
      </c>
      <c r="F425">
        <v>0.300395841</v>
      </c>
      <c r="G425">
        <v>503.79776750000002</v>
      </c>
      <c r="H425">
        <v>700.75145480000003</v>
      </c>
      <c r="I425">
        <v>16.335880530000001</v>
      </c>
      <c r="J425">
        <v>12.75034754</v>
      </c>
      <c r="K425">
        <v>150.96600000000001</v>
      </c>
      <c r="L425">
        <v>202.334</v>
      </c>
      <c r="M425">
        <v>51.249000000000002</v>
      </c>
      <c r="N425">
        <v>52.802997869999999</v>
      </c>
      <c r="O425">
        <v>0.13405202499999999</v>
      </c>
      <c r="P425">
        <v>974.79899999999998</v>
      </c>
      <c r="Q425">
        <v>722.51400000000001</v>
      </c>
      <c r="R425">
        <v>684.33</v>
      </c>
      <c r="S425">
        <v>2.029444019</v>
      </c>
      <c r="T425">
        <v>42.188000000000002</v>
      </c>
      <c r="U425">
        <v>570.42700000000002</v>
      </c>
      <c r="V425" s="1" t="str">
        <f>IF(Energy_data_1990___2020[[#This Row],[CO2 emissions from fuel combustion (MtCO2)]]&gt;Energy_data_1990___2020[[#Totals],[CO2 emissions from fuel combustion (MtCO2)]],"Above Average","")</f>
        <v>Above Average</v>
      </c>
      <c r="W425" s="1">
        <f>SUM(Energy_data_1990___2020[[#This Row],[Coal and lignite production (Mt)]]-Energy_data_1990___2020[[#This Row],[Coal and lignite domestic consumption (Mt)]])</f>
        <v>-113.90300000000002</v>
      </c>
    </row>
    <row r="426" spans="1:23">
      <c r="A426" t="s">
        <v>42</v>
      </c>
      <c r="B426">
        <v>2011</v>
      </c>
      <c r="C426" t="s">
        <v>28</v>
      </c>
      <c r="D426">
        <v>1662.088076</v>
      </c>
      <c r="E426">
        <v>2.2656101579999999</v>
      </c>
      <c r="F426">
        <v>0.30211828800000001</v>
      </c>
      <c r="G426">
        <v>521.43358230000001</v>
      </c>
      <c r="H426">
        <v>733.61609450000003</v>
      </c>
      <c r="I426">
        <v>17.516136339999999</v>
      </c>
      <c r="J426">
        <v>12.93314064</v>
      </c>
      <c r="K426">
        <v>155.55799999999999</v>
      </c>
      <c r="L426">
        <v>210.96199999999999</v>
      </c>
      <c r="M426">
        <v>46.453009090000002</v>
      </c>
      <c r="N426">
        <v>59.79904767</v>
      </c>
      <c r="O426">
        <v>0.13334963499999999</v>
      </c>
      <c r="P426">
        <v>1059.72</v>
      </c>
      <c r="Q426">
        <v>788.07600000000002</v>
      </c>
      <c r="R426">
        <v>716.45699999999999</v>
      </c>
      <c r="S426">
        <v>2.4558373910000002</v>
      </c>
      <c r="T426">
        <v>42.731000000000002</v>
      </c>
      <c r="U426">
        <v>582.28200000000004</v>
      </c>
      <c r="V426" s="1" t="str">
        <f>IF(Energy_data_1990___2020[[#This Row],[CO2 emissions from fuel combustion (MtCO2)]]&gt;Energy_data_1990___2020[[#Totals],[CO2 emissions from fuel combustion (MtCO2)]],"Above Average","")</f>
        <v>Above Average</v>
      </c>
      <c r="W426" s="1">
        <f>SUM(Energy_data_1990___2020[[#This Row],[Coal and lignite production (Mt)]]-Energy_data_1990___2020[[#This Row],[Coal and lignite domestic consumption (Mt)]])</f>
        <v>-134.17499999999995</v>
      </c>
    </row>
    <row r="427" spans="1:23">
      <c r="A427" t="s">
        <v>42</v>
      </c>
      <c r="B427">
        <v>2012</v>
      </c>
      <c r="C427" t="s">
        <v>28</v>
      </c>
      <c r="D427">
        <v>1809.7354419999999</v>
      </c>
      <c r="E427">
        <v>2.36173966</v>
      </c>
      <c r="F427">
        <v>0.31193585800000001</v>
      </c>
      <c r="G427">
        <v>524.17100589999995</v>
      </c>
      <c r="H427">
        <v>766.27219879999996</v>
      </c>
      <c r="I427">
        <v>16.049068200000001</v>
      </c>
      <c r="J427">
        <v>13.54083009</v>
      </c>
      <c r="K427">
        <v>165.964</v>
      </c>
      <c r="L427">
        <v>226.31</v>
      </c>
      <c r="M427">
        <v>39.751048730000001</v>
      </c>
      <c r="N427">
        <v>55.327945800000002</v>
      </c>
      <c r="O427">
        <v>0.13207885</v>
      </c>
      <c r="P427">
        <v>1114.7750000000001</v>
      </c>
      <c r="Q427">
        <v>830.57899999999995</v>
      </c>
      <c r="R427">
        <v>778.23699999999997</v>
      </c>
      <c r="S427">
        <v>2.9051602339999998</v>
      </c>
      <c r="T427">
        <v>42.378999999999998</v>
      </c>
      <c r="U427">
        <v>602.85500000000002</v>
      </c>
      <c r="V427" s="1" t="str">
        <f>IF(Energy_data_1990___2020[[#This Row],[CO2 emissions from fuel combustion (MtCO2)]]&gt;Energy_data_1990___2020[[#Totals],[CO2 emissions from fuel combustion (MtCO2)]],"Above Average","")</f>
        <v>Above Average</v>
      </c>
      <c r="W427" s="1">
        <f>SUM(Energy_data_1990___2020[[#This Row],[Coal and lignite production (Mt)]]-Energy_data_1990___2020[[#This Row],[Coal and lignite domestic consumption (Mt)]])</f>
        <v>-175.38199999999995</v>
      </c>
    </row>
    <row r="428" spans="1:23">
      <c r="A428" t="s">
        <v>42</v>
      </c>
      <c r="B428">
        <v>2013</v>
      </c>
      <c r="C428" t="s">
        <v>28</v>
      </c>
      <c r="D428">
        <v>1859.0913740000001</v>
      </c>
      <c r="E428">
        <v>2.387067294</v>
      </c>
      <c r="F428">
        <v>0.30120767300000001</v>
      </c>
      <c r="G428">
        <v>522.04221989999996</v>
      </c>
      <c r="H428">
        <v>778.81816649999996</v>
      </c>
      <c r="I428">
        <v>17.59162993</v>
      </c>
      <c r="J428">
        <v>13.933010830000001</v>
      </c>
      <c r="K428">
        <v>168.36500000000001</v>
      </c>
      <c r="L428">
        <v>229.72</v>
      </c>
      <c r="M428">
        <v>34.571039560000003</v>
      </c>
      <c r="N428">
        <v>51.514948230000002</v>
      </c>
      <c r="O428">
        <v>0.12618315099999999</v>
      </c>
      <c r="P428">
        <v>1184.029</v>
      </c>
      <c r="Q428">
        <v>882.601</v>
      </c>
      <c r="R428">
        <v>811.24</v>
      </c>
      <c r="S428">
        <v>3.1484870730000001</v>
      </c>
      <c r="T428">
        <v>42.088999999999999</v>
      </c>
      <c r="U428">
        <v>610.03599999999994</v>
      </c>
      <c r="V428" s="1" t="str">
        <f>IF(Energy_data_1990___2020[[#This Row],[CO2 emissions from fuel combustion (MtCO2)]]&gt;Energy_data_1990___2020[[#Totals],[CO2 emissions from fuel combustion (MtCO2)]],"Above Average","")</f>
        <v>Above Average</v>
      </c>
      <c r="W428" s="1">
        <f>SUM(Energy_data_1990___2020[[#This Row],[Coal and lignite production (Mt)]]-Energy_data_1990___2020[[#This Row],[Coal and lignite domestic consumption (Mt)]])</f>
        <v>-201.20400000000006</v>
      </c>
    </row>
    <row r="429" spans="1:23">
      <c r="A429" t="s">
        <v>42</v>
      </c>
      <c r="B429">
        <v>2014</v>
      </c>
      <c r="C429" t="s">
        <v>28</v>
      </c>
      <c r="D429">
        <v>2024.1467889999999</v>
      </c>
      <c r="E429">
        <v>2.4624167739999998</v>
      </c>
      <c r="F429">
        <v>0.30532450500000002</v>
      </c>
      <c r="G429">
        <v>532.74429680000003</v>
      </c>
      <c r="H429">
        <v>822.01632549999999</v>
      </c>
      <c r="I429">
        <v>16.351428630000001</v>
      </c>
      <c r="J429">
        <v>15.065201050000001</v>
      </c>
      <c r="K429">
        <v>176.256</v>
      </c>
      <c r="L429">
        <v>229.096</v>
      </c>
      <c r="M429">
        <v>32.691020700000003</v>
      </c>
      <c r="N429">
        <v>51.586012330000003</v>
      </c>
      <c r="O429">
        <v>0.123993837</v>
      </c>
      <c r="P429">
        <v>1286.9639999999999</v>
      </c>
      <c r="Q429">
        <v>968.35599999999999</v>
      </c>
      <c r="R429">
        <v>898.41899999999998</v>
      </c>
      <c r="S429">
        <v>3.2818322809999998</v>
      </c>
      <c r="T429">
        <v>41.454999999999998</v>
      </c>
      <c r="U429">
        <v>657.44899999999996</v>
      </c>
      <c r="V429" s="1" t="str">
        <f>IF(Energy_data_1990___2020[[#This Row],[CO2 emissions from fuel combustion (MtCO2)]]&gt;Energy_data_1990___2020[[#Totals],[CO2 emissions from fuel combustion (MtCO2)]],"Above Average","")</f>
        <v>Above Average</v>
      </c>
      <c r="W429" s="1">
        <f>SUM(Energy_data_1990___2020[[#This Row],[Coal and lignite production (Mt)]]-Energy_data_1990___2020[[#This Row],[Coal and lignite domestic consumption (Mt)]])</f>
        <v>-240.97000000000003</v>
      </c>
    </row>
    <row r="430" spans="1:23">
      <c r="A430" t="s">
        <v>42</v>
      </c>
      <c r="B430">
        <v>2015</v>
      </c>
      <c r="C430" t="s">
        <v>28</v>
      </c>
      <c r="D430">
        <v>2035.3504170000001</v>
      </c>
      <c r="E430">
        <v>2.438895102</v>
      </c>
      <c r="F430">
        <v>0.28428252100000001</v>
      </c>
      <c r="G430">
        <v>537.31669320000003</v>
      </c>
      <c r="H430">
        <v>834.53790849999996</v>
      </c>
      <c r="I430">
        <v>15.33773512</v>
      </c>
      <c r="J430">
        <v>15.5012004</v>
      </c>
      <c r="K430">
        <v>194.17099999999999</v>
      </c>
      <c r="L430">
        <v>237.226</v>
      </c>
      <c r="M430">
        <v>31.125980129999999</v>
      </c>
      <c r="N430">
        <v>54.605659420000002</v>
      </c>
      <c r="O430">
        <v>0.11656201200000001</v>
      </c>
      <c r="P430">
        <v>1357.6320000000001</v>
      </c>
      <c r="Q430">
        <v>1022.867</v>
      </c>
      <c r="R430">
        <v>885.02800000000002</v>
      </c>
      <c r="S430">
        <v>3.3510553669999998</v>
      </c>
      <c r="T430">
        <v>40.957999999999998</v>
      </c>
      <c r="U430">
        <v>683.072</v>
      </c>
      <c r="V430" s="1" t="str">
        <f>IF(Energy_data_1990___2020[[#This Row],[CO2 emissions from fuel combustion (MtCO2)]]&gt;Energy_data_1990___2020[[#Totals],[CO2 emissions from fuel combustion (MtCO2)]],"Above Average","")</f>
        <v>Above Average</v>
      </c>
      <c r="W430" s="1">
        <f>SUM(Energy_data_1990___2020[[#This Row],[Coal and lignite production (Mt)]]-Energy_data_1990___2020[[#This Row],[Coal and lignite domestic consumption (Mt)]])</f>
        <v>-201.95600000000002</v>
      </c>
    </row>
    <row r="431" spans="1:23">
      <c r="A431" t="s">
        <v>42</v>
      </c>
      <c r="B431">
        <v>2016</v>
      </c>
      <c r="C431" t="s">
        <v>28</v>
      </c>
      <c r="D431">
        <v>2061.68138</v>
      </c>
      <c r="E431">
        <v>2.419270397</v>
      </c>
      <c r="F431">
        <v>0.26621197499999999</v>
      </c>
      <c r="G431">
        <v>550.83943409999995</v>
      </c>
      <c r="H431">
        <v>852.19138090000001</v>
      </c>
      <c r="I431">
        <v>17.079362140000001</v>
      </c>
      <c r="J431">
        <v>16.234293109999999</v>
      </c>
      <c r="K431">
        <v>205.26499999999999</v>
      </c>
      <c r="L431">
        <v>248.07599999999999</v>
      </c>
      <c r="M431">
        <v>30.84801912</v>
      </c>
      <c r="N431">
        <v>58.383071800000003</v>
      </c>
      <c r="O431">
        <v>0.110038124</v>
      </c>
      <c r="P431">
        <v>1449.2929999999999</v>
      </c>
      <c r="Q431">
        <v>1103.0709999999999</v>
      </c>
      <c r="R431">
        <v>884.52200000000005</v>
      </c>
      <c r="S431">
        <v>4.6270146890000001</v>
      </c>
      <c r="T431">
        <v>40.304000000000002</v>
      </c>
      <c r="U431">
        <v>703.09799999999996</v>
      </c>
      <c r="V431" s="1" t="str">
        <f>IF(Energy_data_1990___2020[[#This Row],[CO2 emissions from fuel combustion (MtCO2)]]&gt;Energy_data_1990___2020[[#Totals],[CO2 emissions from fuel combustion (MtCO2)]],"Above Average","")</f>
        <v>Above Average</v>
      </c>
      <c r="W431" s="1">
        <f>SUM(Energy_data_1990___2020[[#This Row],[Coal and lignite production (Mt)]]-Energy_data_1990___2020[[#This Row],[Coal and lignite domestic consumption (Mt)]])</f>
        <v>-181.42400000000009</v>
      </c>
    </row>
    <row r="432" spans="1:23">
      <c r="A432" t="s">
        <v>42</v>
      </c>
      <c r="B432">
        <v>2017</v>
      </c>
      <c r="C432" t="s">
        <v>28</v>
      </c>
      <c r="D432">
        <v>2181.8055290000002</v>
      </c>
      <c r="E432">
        <v>2.4713046190000001</v>
      </c>
      <c r="F432">
        <v>0.26287991199999999</v>
      </c>
      <c r="G432">
        <v>551.5960159</v>
      </c>
      <c r="H432">
        <v>882.85576460000004</v>
      </c>
      <c r="I432">
        <v>17.482345989999999</v>
      </c>
      <c r="J432">
        <v>16.44167255</v>
      </c>
      <c r="K432">
        <v>215.88317599999999</v>
      </c>
      <c r="L432">
        <v>256.83479799999998</v>
      </c>
      <c r="M432">
        <v>31.730948720000001</v>
      </c>
      <c r="N432">
        <v>61.550880239999998</v>
      </c>
      <c r="O432">
        <v>0.10637293</v>
      </c>
      <c r="P432">
        <v>1519.1591000000001</v>
      </c>
      <c r="Q432">
        <v>1159.3541399999999</v>
      </c>
      <c r="R432">
        <v>951.00281399999994</v>
      </c>
      <c r="S432">
        <v>5.3338172410000002</v>
      </c>
      <c r="T432">
        <v>40.292999999999999</v>
      </c>
      <c r="U432">
        <v>722.04399999999998</v>
      </c>
      <c r="V432" s="1" t="str">
        <f>IF(Energy_data_1990___2020[[#This Row],[CO2 emissions from fuel combustion (MtCO2)]]&gt;Energy_data_1990___2020[[#Totals],[CO2 emissions from fuel combustion (MtCO2)]],"Above Average","")</f>
        <v>Above Average</v>
      </c>
      <c r="W432" s="1">
        <f>SUM(Energy_data_1990___2020[[#This Row],[Coal and lignite production (Mt)]]-Energy_data_1990___2020[[#This Row],[Coal and lignite domestic consumption (Mt)]])</f>
        <v>-228.95881399999996</v>
      </c>
    </row>
    <row r="433" spans="1:23">
      <c r="A433" t="s">
        <v>42</v>
      </c>
      <c r="B433">
        <v>2018</v>
      </c>
      <c r="C433" t="s">
        <v>28</v>
      </c>
      <c r="D433">
        <v>2290.4430499999999</v>
      </c>
      <c r="E433">
        <v>2.491144351</v>
      </c>
      <c r="F433">
        <v>0.258370769</v>
      </c>
      <c r="G433">
        <v>573.55797749999999</v>
      </c>
      <c r="H433">
        <v>919.43409399999996</v>
      </c>
      <c r="I433">
        <v>18.935330319999998</v>
      </c>
      <c r="J433">
        <v>16.652432300000001</v>
      </c>
      <c r="K433">
        <v>222.70496499999999</v>
      </c>
      <c r="L433">
        <v>262.16340700000001</v>
      </c>
      <c r="M433">
        <v>32.053846149999998</v>
      </c>
      <c r="N433">
        <v>62.337080569999998</v>
      </c>
      <c r="O433">
        <v>0.103715696</v>
      </c>
      <c r="P433">
        <v>1583.21875</v>
      </c>
      <c r="Q433">
        <v>1206.9976409999999</v>
      </c>
      <c r="R433">
        <v>1009.902752</v>
      </c>
      <c r="S433">
        <v>6.5702986399999999</v>
      </c>
      <c r="T433">
        <v>39.134999999999998</v>
      </c>
      <c r="U433">
        <v>775.73</v>
      </c>
      <c r="V433" s="1" t="str">
        <f>IF(Energy_data_1990___2020[[#This Row],[CO2 emissions from fuel combustion (MtCO2)]]&gt;Energy_data_1990___2020[[#Totals],[CO2 emissions from fuel combustion (MtCO2)]],"Above Average","")</f>
        <v>Above Average</v>
      </c>
      <c r="W433" s="1">
        <f>SUM(Energy_data_1990___2020[[#This Row],[Coal and lignite production (Mt)]]-Energy_data_1990___2020[[#This Row],[Coal and lignite domestic consumption (Mt)]])</f>
        <v>-234.17275199999995</v>
      </c>
    </row>
    <row r="434" spans="1:23">
      <c r="A434" t="s">
        <v>42</v>
      </c>
      <c r="B434">
        <v>2019</v>
      </c>
      <c r="C434" t="s">
        <v>28</v>
      </c>
      <c r="D434">
        <v>2319.0735140000002</v>
      </c>
      <c r="E434">
        <v>2.4661592360000002</v>
      </c>
      <c r="F434">
        <v>0.25110182800000003</v>
      </c>
      <c r="G434">
        <v>577.52483910000001</v>
      </c>
      <c r="H434">
        <v>940.35838409999997</v>
      </c>
      <c r="I434">
        <v>21.11007279</v>
      </c>
      <c r="J434">
        <v>16.203510210000001</v>
      </c>
      <c r="K434">
        <v>229.10241260000001</v>
      </c>
      <c r="L434">
        <v>261.19341589999999</v>
      </c>
      <c r="M434">
        <v>30.85452355</v>
      </c>
      <c r="N434">
        <v>63.474794660000001</v>
      </c>
      <c r="O434">
        <v>0.101818984</v>
      </c>
      <c r="P434">
        <v>1596.8982900000001</v>
      </c>
      <c r="Q434">
        <v>1218.458531</v>
      </c>
      <c r="R434">
        <v>1013.294392</v>
      </c>
      <c r="S434">
        <v>7.3735225629999999</v>
      </c>
      <c r="T434">
        <v>37.574897</v>
      </c>
      <c r="U434">
        <v>768.99926100000005</v>
      </c>
      <c r="V434" s="1" t="str">
        <f>IF(Energy_data_1990___2020[[#This Row],[CO2 emissions from fuel combustion (MtCO2)]]&gt;Energy_data_1990___2020[[#Totals],[CO2 emissions from fuel combustion (MtCO2)]],"Above Average","")</f>
        <v>Above Average</v>
      </c>
      <c r="W434" s="1">
        <f>SUM(Energy_data_1990___2020[[#This Row],[Coal and lignite production (Mt)]]-Energy_data_1990___2020[[#This Row],[Coal and lignite domestic consumption (Mt)]])</f>
        <v>-244.29513099999997</v>
      </c>
    </row>
    <row r="435" spans="1:23">
      <c r="A435" t="s">
        <v>42</v>
      </c>
      <c r="B435">
        <v>2020</v>
      </c>
      <c r="C435" t="s">
        <v>28</v>
      </c>
      <c r="D435">
        <v>2191.2604529999999</v>
      </c>
      <c r="E435">
        <v>2.4124617499999998</v>
      </c>
      <c r="F435">
        <v>0.25622315400000001</v>
      </c>
      <c r="G435">
        <v>590.24748609999995</v>
      </c>
      <c r="H435">
        <v>908.30888919999995</v>
      </c>
      <c r="I435">
        <v>22.519753590000001</v>
      </c>
      <c r="J435">
        <v>16.315328090000001</v>
      </c>
      <c r="K435">
        <v>206.2614078</v>
      </c>
      <c r="L435">
        <v>231.60100990000001</v>
      </c>
      <c r="M435">
        <v>27.307719209999998</v>
      </c>
      <c r="N435">
        <v>62.581782400000002</v>
      </c>
      <c r="O435">
        <v>0.106208173</v>
      </c>
      <c r="P435">
        <v>1557.0966330000001</v>
      </c>
      <c r="Q435">
        <v>1190.732074</v>
      </c>
      <c r="R435">
        <v>975.75567369999999</v>
      </c>
      <c r="S435">
        <v>8.2308990929999997</v>
      </c>
      <c r="T435">
        <v>35.370257860000002</v>
      </c>
      <c r="U435">
        <v>778.53377980000005</v>
      </c>
      <c r="V435" s="1" t="str">
        <f>IF(Energy_data_1990___2020[[#This Row],[CO2 emissions from fuel combustion (MtCO2)]]&gt;Energy_data_1990___2020[[#Totals],[CO2 emissions from fuel combustion (MtCO2)]],"Above Average","")</f>
        <v>Above Average</v>
      </c>
      <c r="W435" s="1">
        <f>SUM(Energy_data_1990___2020[[#This Row],[Coal and lignite production (Mt)]]-Energy_data_1990___2020[[#This Row],[Coal and lignite domestic consumption (Mt)]])</f>
        <v>-197.22189389999994</v>
      </c>
    </row>
    <row r="436" spans="1:23">
      <c r="A436" t="s">
        <v>43</v>
      </c>
      <c r="B436">
        <v>1990</v>
      </c>
      <c r="C436" t="s">
        <v>28</v>
      </c>
      <c r="D436">
        <v>144.86537680000001</v>
      </c>
      <c r="E436">
        <v>1.4682971140000001</v>
      </c>
      <c r="F436">
        <v>0.174505946</v>
      </c>
      <c r="G436">
        <v>168.57293150000001</v>
      </c>
      <c r="H436">
        <v>98.662168170000001</v>
      </c>
      <c r="I436">
        <v>20.917133499999998</v>
      </c>
      <c r="J436">
        <v>3.0700727900000002</v>
      </c>
      <c r="K436">
        <v>30.184000000000001</v>
      </c>
      <c r="L436">
        <v>39.436999999999998</v>
      </c>
      <c r="M436">
        <v>48.27998384</v>
      </c>
      <c r="N436">
        <v>16.908002660000001</v>
      </c>
      <c r="O436">
        <v>0.118849206</v>
      </c>
      <c r="P436">
        <v>32.667000000000002</v>
      </c>
      <c r="Q436">
        <v>28.288</v>
      </c>
      <c r="R436">
        <v>7.32</v>
      </c>
      <c r="S436">
        <v>3.4438424099999998</v>
      </c>
      <c r="T436">
        <v>73.194000000000003</v>
      </c>
      <c r="U436">
        <v>10.23</v>
      </c>
      <c r="V436" s="1" t="str">
        <f>IF(Energy_data_1990___2020[[#This Row],[CO2 emissions from fuel combustion (MtCO2)]]&gt;Energy_data_1990___2020[[#Totals],[CO2 emissions from fuel combustion (MtCO2)]],"Above Average","")</f>
        <v/>
      </c>
      <c r="W436" s="1">
        <f>SUM(Energy_data_1990___2020[[#This Row],[Coal and lignite production (Mt)]]-Energy_data_1990___2020[[#This Row],[Coal and lignite domestic consumption (Mt)]])</f>
        <v>2.91</v>
      </c>
    </row>
    <row r="437" spans="1:23">
      <c r="A437" t="s">
        <v>43</v>
      </c>
      <c r="B437">
        <v>1991</v>
      </c>
      <c r="C437" t="s">
        <v>28</v>
      </c>
      <c r="D437">
        <v>157.27990729999999</v>
      </c>
      <c r="E437">
        <v>1.519682508</v>
      </c>
      <c r="F437">
        <v>0.17721174000000001</v>
      </c>
      <c r="G437">
        <v>183.17492300000001</v>
      </c>
      <c r="H437">
        <v>103.4952409</v>
      </c>
      <c r="I437">
        <v>20.55704339</v>
      </c>
      <c r="J437">
        <v>3.2980310789999998</v>
      </c>
      <c r="K437">
        <v>31.584</v>
      </c>
      <c r="L437">
        <v>39.987000000000002</v>
      </c>
      <c r="M437">
        <v>54.522989090000003</v>
      </c>
      <c r="N437">
        <v>18.838016369999998</v>
      </c>
      <c r="O437">
        <v>0.11661102800000001</v>
      </c>
      <c r="P437">
        <v>37.340000000000003</v>
      </c>
      <c r="Q437">
        <v>31.481999999999999</v>
      </c>
      <c r="R437">
        <v>8.1010000000000009</v>
      </c>
      <c r="S437">
        <v>2.8093197640000001</v>
      </c>
      <c r="T437">
        <v>79.628</v>
      </c>
      <c r="U437">
        <v>13.271000000000001</v>
      </c>
      <c r="V437" s="1" t="str">
        <f>IF(Energy_data_1990___2020[[#This Row],[CO2 emissions from fuel combustion (MtCO2)]]&gt;Energy_data_1990___2020[[#Totals],[CO2 emissions from fuel combustion (MtCO2)]],"Above Average","")</f>
        <v/>
      </c>
      <c r="W437" s="1">
        <f>SUM(Energy_data_1990___2020[[#This Row],[Coal and lignite production (Mt)]]-Energy_data_1990___2020[[#This Row],[Coal and lignite domestic consumption (Mt)]])</f>
        <v>5.17</v>
      </c>
    </row>
    <row r="438" spans="1:23">
      <c r="A438" t="s">
        <v>43</v>
      </c>
      <c r="B438">
        <v>1992</v>
      </c>
      <c r="C438" t="s">
        <v>28</v>
      </c>
      <c r="D438">
        <v>164.97414660000001</v>
      </c>
      <c r="E438">
        <v>1.529145712</v>
      </c>
      <c r="F438">
        <v>0.17454029099999999</v>
      </c>
      <c r="G438">
        <v>187.4063242</v>
      </c>
      <c r="H438">
        <v>107.8864789</v>
      </c>
      <c r="I438">
        <v>23.83831571</v>
      </c>
      <c r="J438">
        <v>3.5329450699999998</v>
      </c>
      <c r="K438">
        <v>33.206000000000003</v>
      </c>
      <c r="L438">
        <v>42.042999999999999</v>
      </c>
      <c r="M438">
        <v>57.312068969999999</v>
      </c>
      <c r="N438">
        <v>20.178008429999998</v>
      </c>
      <c r="O438">
        <v>0.114142354</v>
      </c>
      <c r="P438">
        <v>41.512999999999998</v>
      </c>
      <c r="Q438">
        <v>34.963999999999999</v>
      </c>
      <c r="R438">
        <v>8.3290000000000006</v>
      </c>
      <c r="S438">
        <v>2.6112302170000001</v>
      </c>
      <c r="T438">
        <v>75.48</v>
      </c>
      <c r="U438">
        <v>22.007999999999999</v>
      </c>
      <c r="V438" s="1" t="str">
        <f>IF(Energy_data_1990___2020[[#This Row],[CO2 emissions from fuel combustion (MtCO2)]]&gt;Energy_data_1990___2020[[#Totals],[CO2 emissions from fuel combustion (MtCO2)]],"Above Average","")</f>
        <v/>
      </c>
      <c r="W438" s="1">
        <f>SUM(Energy_data_1990___2020[[#This Row],[Coal and lignite production (Mt)]]-Energy_data_1990___2020[[#This Row],[Coal and lignite domestic consumption (Mt)]])</f>
        <v>13.678999999999998</v>
      </c>
    </row>
    <row r="439" spans="1:23">
      <c r="A439" t="s">
        <v>43</v>
      </c>
      <c r="B439">
        <v>1993</v>
      </c>
      <c r="C439" t="s">
        <v>28</v>
      </c>
      <c r="D439">
        <v>179.43319990000001</v>
      </c>
      <c r="E439">
        <v>1.514187194</v>
      </c>
      <c r="F439">
        <v>0.17825743199999999</v>
      </c>
      <c r="G439">
        <v>194.29974540000001</v>
      </c>
      <c r="H439">
        <v>118.5013323</v>
      </c>
      <c r="I439">
        <v>19.775330400000001</v>
      </c>
      <c r="J439">
        <v>3.7672102249999999</v>
      </c>
      <c r="K439">
        <v>36.781999999999996</v>
      </c>
      <c r="L439">
        <v>42.271000000000001</v>
      </c>
      <c r="M439">
        <v>59.009955619999999</v>
      </c>
      <c r="N439">
        <v>21.382001079999998</v>
      </c>
      <c r="O439">
        <v>0.117724832</v>
      </c>
      <c r="P439">
        <v>45.4</v>
      </c>
      <c r="Q439">
        <v>38.960999999999999</v>
      </c>
      <c r="R439">
        <v>8.2970000000000006</v>
      </c>
      <c r="S439">
        <v>2.4008810569999999</v>
      </c>
      <c r="T439">
        <v>76.549000000000007</v>
      </c>
      <c r="U439">
        <v>28.314</v>
      </c>
      <c r="V439" s="1" t="str">
        <f>IF(Energy_data_1990___2020[[#This Row],[CO2 emissions from fuel combustion (MtCO2)]]&gt;Energy_data_1990___2020[[#Totals],[CO2 emissions from fuel combustion (MtCO2)]],"Above Average","")</f>
        <v/>
      </c>
      <c r="W439" s="1">
        <f>SUM(Energy_data_1990___2020[[#This Row],[Coal and lignite production (Mt)]]-Energy_data_1990___2020[[#This Row],[Coal and lignite domestic consumption (Mt)]])</f>
        <v>20.016999999999999</v>
      </c>
    </row>
    <row r="440" spans="1:23">
      <c r="A440" t="s">
        <v>43</v>
      </c>
      <c r="B440">
        <v>1994</v>
      </c>
      <c r="C440" t="s">
        <v>28</v>
      </c>
      <c r="D440">
        <v>190.1777304</v>
      </c>
      <c r="E440">
        <v>1.602723568</v>
      </c>
      <c r="F440">
        <v>0.175684962</v>
      </c>
      <c r="G440">
        <v>207.5327825</v>
      </c>
      <c r="H440">
        <v>118.6590964</v>
      </c>
      <c r="I440">
        <v>15.656762329999999</v>
      </c>
      <c r="J440">
        <v>4.1089113079999997</v>
      </c>
      <c r="K440">
        <v>37.198999999999998</v>
      </c>
      <c r="L440">
        <v>42.643000000000001</v>
      </c>
      <c r="M440">
        <v>65.599923149999995</v>
      </c>
      <c r="N440">
        <v>26.355991899999999</v>
      </c>
      <c r="O440">
        <v>0.109616509</v>
      </c>
      <c r="P440">
        <v>51.357999999999997</v>
      </c>
      <c r="Q440">
        <v>44.668999999999997</v>
      </c>
      <c r="R440">
        <v>9.2880000000000003</v>
      </c>
      <c r="S440">
        <v>3.7676700809999999</v>
      </c>
      <c r="T440">
        <v>80.619</v>
      </c>
      <c r="U440">
        <v>30.687000000000001</v>
      </c>
      <c r="V440" s="1" t="str">
        <f>IF(Energy_data_1990___2020[[#This Row],[CO2 emissions from fuel combustion (MtCO2)]]&gt;Energy_data_1990___2020[[#Totals],[CO2 emissions from fuel combustion (MtCO2)]],"Above Average","")</f>
        <v/>
      </c>
      <c r="W440" s="1">
        <f>SUM(Energy_data_1990___2020[[#This Row],[Coal and lignite production (Mt)]]-Energy_data_1990___2020[[#This Row],[Coal and lignite domestic consumption (Mt)]])</f>
        <v>21.399000000000001</v>
      </c>
    </row>
    <row r="441" spans="1:23">
      <c r="A441" t="s">
        <v>43</v>
      </c>
      <c r="B441">
        <v>1995</v>
      </c>
      <c r="C441" t="s">
        <v>28</v>
      </c>
      <c r="D441">
        <v>212.1885532</v>
      </c>
      <c r="E441">
        <v>1.6213241119999999</v>
      </c>
      <c r="F441">
        <v>0.181129556</v>
      </c>
      <c r="G441">
        <v>214.55872059999999</v>
      </c>
      <c r="H441">
        <v>130.8736184</v>
      </c>
      <c r="I441">
        <v>16.463095299999999</v>
      </c>
      <c r="J441">
        <v>4.3443799350000001</v>
      </c>
      <c r="K441">
        <v>43.143000000000001</v>
      </c>
      <c r="L441">
        <v>46.393999999999998</v>
      </c>
      <c r="M441">
        <v>65.479025910000004</v>
      </c>
      <c r="N441">
        <v>28.976026919999999</v>
      </c>
      <c r="O441">
        <v>0.111717055</v>
      </c>
      <c r="P441">
        <v>59.192999999999998</v>
      </c>
      <c r="Q441">
        <v>49.749000000000002</v>
      </c>
      <c r="R441">
        <v>10.568</v>
      </c>
      <c r="S441">
        <v>3.7335495750000001</v>
      </c>
      <c r="T441">
        <v>80.307000000000002</v>
      </c>
      <c r="U441">
        <v>41.828000000000003</v>
      </c>
      <c r="V441" s="1" t="str">
        <f>IF(Energy_data_1990___2020[[#This Row],[CO2 emissions from fuel combustion (MtCO2)]]&gt;Energy_data_1990___2020[[#Totals],[CO2 emissions from fuel combustion (MtCO2)]],"Above Average","")</f>
        <v/>
      </c>
      <c r="W441" s="1">
        <f>SUM(Energy_data_1990___2020[[#This Row],[Coal and lignite production (Mt)]]-Energy_data_1990___2020[[#This Row],[Coal and lignite domestic consumption (Mt)]])</f>
        <v>31.260000000000005</v>
      </c>
    </row>
    <row r="442" spans="1:23">
      <c r="A442" t="s">
        <v>43</v>
      </c>
      <c r="B442">
        <v>1996</v>
      </c>
      <c r="C442" t="s">
        <v>28</v>
      </c>
      <c r="D442">
        <v>230.13385009999999</v>
      </c>
      <c r="E442">
        <v>1.6969106249999999</v>
      </c>
      <c r="F442">
        <v>0.18220313599999999</v>
      </c>
      <c r="G442">
        <v>222.7465139</v>
      </c>
      <c r="H442">
        <v>135.6193111</v>
      </c>
      <c r="I442">
        <v>15.530683359999999</v>
      </c>
      <c r="J442">
        <v>4.6814578520000003</v>
      </c>
      <c r="K442">
        <v>45.295999999999999</v>
      </c>
      <c r="L442">
        <v>49.015000000000001</v>
      </c>
      <c r="M442">
        <v>68.951965279999996</v>
      </c>
      <c r="N442">
        <v>30.21098782</v>
      </c>
      <c r="O442">
        <v>0.107373443</v>
      </c>
      <c r="P442">
        <v>67.724000000000004</v>
      </c>
      <c r="Q442">
        <v>56.932000000000002</v>
      </c>
      <c r="R442">
        <v>11.95</v>
      </c>
      <c r="S442">
        <v>3.4729194969999999</v>
      </c>
      <c r="T442">
        <v>79.986000000000004</v>
      </c>
      <c r="U442">
        <v>50.33</v>
      </c>
      <c r="V442" s="1" t="str">
        <f>IF(Energy_data_1990___2020[[#This Row],[CO2 emissions from fuel combustion (MtCO2)]]&gt;Energy_data_1990___2020[[#Totals],[CO2 emissions from fuel combustion (MtCO2)]],"Above Average","")</f>
        <v/>
      </c>
      <c r="W442" s="1">
        <f>SUM(Energy_data_1990___2020[[#This Row],[Coal and lignite production (Mt)]]-Energy_data_1990___2020[[#This Row],[Coal and lignite domestic consumption (Mt)]])</f>
        <v>38.379999999999995</v>
      </c>
    </row>
    <row r="443" spans="1:23">
      <c r="A443" t="s">
        <v>43</v>
      </c>
      <c r="B443">
        <v>1997</v>
      </c>
      <c r="C443" t="s">
        <v>28</v>
      </c>
      <c r="D443">
        <v>249.70949619999999</v>
      </c>
      <c r="E443">
        <v>1.781388768</v>
      </c>
      <c r="F443">
        <v>0.18882705699999999</v>
      </c>
      <c r="G443">
        <v>227.67807089999999</v>
      </c>
      <c r="H443">
        <v>140.17686689999999</v>
      </c>
      <c r="I443">
        <v>10.33942139</v>
      </c>
      <c r="J443">
        <v>5.1062942759999999</v>
      </c>
      <c r="K443">
        <v>48.401000000000003</v>
      </c>
      <c r="L443">
        <v>47.73</v>
      </c>
      <c r="M443">
        <v>71.706912770000002</v>
      </c>
      <c r="N443">
        <v>32.626028009999999</v>
      </c>
      <c r="O443">
        <v>0.105999914</v>
      </c>
      <c r="P443">
        <v>74.626999999999995</v>
      </c>
      <c r="Q443">
        <v>64.463999999999999</v>
      </c>
      <c r="R443">
        <v>14.083</v>
      </c>
      <c r="S443">
        <v>3.4906937170000001</v>
      </c>
      <c r="T443">
        <v>78.935000000000002</v>
      </c>
      <c r="U443">
        <v>54.875999999999998</v>
      </c>
      <c r="V443" s="1" t="str">
        <f>IF(Energy_data_1990___2020[[#This Row],[CO2 emissions from fuel combustion (MtCO2)]]&gt;Energy_data_1990___2020[[#Totals],[CO2 emissions from fuel combustion (MtCO2)]],"Above Average","")</f>
        <v/>
      </c>
      <c r="W443" s="1">
        <f>SUM(Energy_data_1990___2020[[#This Row],[Coal and lignite production (Mt)]]-Energy_data_1990___2020[[#This Row],[Coal and lignite domestic consumption (Mt)]])</f>
        <v>40.792999999999999</v>
      </c>
    </row>
    <row r="444" spans="1:23">
      <c r="A444" t="s">
        <v>43</v>
      </c>
      <c r="B444">
        <v>1998</v>
      </c>
      <c r="C444" t="s">
        <v>28</v>
      </c>
      <c r="D444">
        <v>251.7631978</v>
      </c>
      <c r="E444">
        <v>1.8362019940000001</v>
      </c>
      <c r="F444">
        <v>0.21914684400000001</v>
      </c>
      <c r="G444">
        <v>229.139747</v>
      </c>
      <c r="H444">
        <v>137.11084</v>
      </c>
      <c r="I444">
        <v>15.76539635</v>
      </c>
      <c r="J444">
        <v>5.2839584869999996</v>
      </c>
      <c r="K444">
        <v>46.720999999999997</v>
      </c>
      <c r="L444">
        <v>47.85</v>
      </c>
      <c r="M444">
        <v>70.113990709999996</v>
      </c>
      <c r="N444">
        <v>35.868979969999998</v>
      </c>
      <c r="O444">
        <v>0.11934789599999999</v>
      </c>
      <c r="P444">
        <v>78.037999999999997</v>
      </c>
      <c r="Q444">
        <v>65.260999999999996</v>
      </c>
      <c r="R444">
        <v>15.912000000000001</v>
      </c>
      <c r="S444">
        <v>3.353494451</v>
      </c>
      <c r="T444">
        <v>77.436999999999998</v>
      </c>
      <c r="U444">
        <v>61.276000000000003</v>
      </c>
      <c r="V444" s="1" t="str">
        <f>IF(Energy_data_1990___2020[[#This Row],[CO2 emissions from fuel combustion (MtCO2)]]&gt;Energy_data_1990___2020[[#Totals],[CO2 emissions from fuel combustion (MtCO2)]],"Above Average","")</f>
        <v/>
      </c>
      <c r="W444" s="1">
        <f>SUM(Energy_data_1990___2020[[#This Row],[Coal and lignite production (Mt)]]-Energy_data_1990___2020[[#This Row],[Coal and lignite domestic consumption (Mt)]])</f>
        <v>45.364000000000004</v>
      </c>
    </row>
    <row r="445" spans="1:23">
      <c r="A445" t="s">
        <v>43</v>
      </c>
      <c r="B445">
        <v>1999</v>
      </c>
      <c r="C445" t="s">
        <v>28</v>
      </c>
      <c r="D445">
        <v>270.73988869999999</v>
      </c>
      <c r="E445">
        <v>1.885012546</v>
      </c>
      <c r="F445">
        <v>0.233815298</v>
      </c>
      <c r="G445">
        <v>237.94560680000001</v>
      </c>
      <c r="H445">
        <v>143.62763219999999</v>
      </c>
      <c r="I445">
        <v>14.123261360000001</v>
      </c>
      <c r="J445">
        <v>5.3321424559999997</v>
      </c>
      <c r="K445">
        <v>50.692999999999998</v>
      </c>
      <c r="L445">
        <v>48.86</v>
      </c>
      <c r="M445">
        <v>74.976921300000001</v>
      </c>
      <c r="N445">
        <v>35.189972560000001</v>
      </c>
      <c r="O445">
        <v>0.12403912</v>
      </c>
      <c r="P445">
        <v>85.915000000000006</v>
      </c>
      <c r="Q445">
        <v>71.334999999999994</v>
      </c>
      <c r="R445">
        <v>20.099</v>
      </c>
      <c r="S445">
        <v>3.1752313330000002</v>
      </c>
      <c r="T445">
        <v>74.613</v>
      </c>
      <c r="U445">
        <v>73.754000000000005</v>
      </c>
      <c r="V445" s="1" t="str">
        <f>IF(Energy_data_1990___2020[[#This Row],[CO2 emissions from fuel combustion (MtCO2)]]&gt;Energy_data_1990___2020[[#Totals],[CO2 emissions from fuel combustion (MtCO2)]],"Above Average","")</f>
        <v/>
      </c>
      <c r="W445" s="1">
        <f>SUM(Energy_data_1990___2020[[#This Row],[Coal and lignite production (Mt)]]-Energy_data_1990___2020[[#This Row],[Coal and lignite domestic consumption (Mt)]])</f>
        <v>53.655000000000001</v>
      </c>
    </row>
    <row r="446" spans="1:23">
      <c r="A446" t="s">
        <v>43</v>
      </c>
      <c r="B446">
        <v>2000</v>
      </c>
      <c r="C446" t="s">
        <v>28</v>
      </c>
      <c r="D446">
        <v>272.20764800000001</v>
      </c>
      <c r="E446">
        <v>1.748524569</v>
      </c>
      <c r="F446">
        <v>0.224059023</v>
      </c>
      <c r="G446">
        <v>237.50845559999999</v>
      </c>
      <c r="H446">
        <v>155.67848050000001</v>
      </c>
      <c r="I446">
        <v>15.95606751</v>
      </c>
      <c r="J446">
        <v>5.6668645079999997</v>
      </c>
      <c r="K446">
        <v>51.484999999999999</v>
      </c>
      <c r="L446">
        <v>50.338999999999999</v>
      </c>
      <c r="M446">
        <v>70.083005130000004</v>
      </c>
      <c r="N446">
        <v>31.464032809999999</v>
      </c>
      <c r="O446">
        <v>0.12814176399999999</v>
      </c>
      <c r="P446">
        <v>93.325000000000003</v>
      </c>
      <c r="Q446">
        <v>79.164000000000001</v>
      </c>
      <c r="R446">
        <v>24.61</v>
      </c>
      <c r="S446">
        <v>5.2172515400000004</v>
      </c>
      <c r="T446">
        <v>70.259</v>
      </c>
      <c r="U446">
        <v>79.376999999999995</v>
      </c>
      <c r="V446" s="1" t="str">
        <f>IF(Energy_data_1990___2020[[#This Row],[CO2 emissions from fuel combustion (MtCO2)]]&gt;Energy_data_1990___2020[[#Totals],[CO2 emissions from fuel combustion (MtCO2)]],"Above Average","")</f>
        <v/>
      </c>
      <c r="W446" s="1">
        <f>SUM(Energy_data_1990___2020[[#This Row],[Coal and lignite production (Mt)]]-Energy_data_1990___2020[[#This Row],[Coal and lignite domestic consumption (Mt)]])</f>
        <v>54.766999999999996</v>
      </c>
    </row>
    <row r="447" spans="1:23">
      <c r="A447" t="s">
        <v>43</v>
      </c>
      <c r="B447">
        <v>2001</v>
      </c>
      <c r="C447" t="s">
        <v>28</v>
      </c>
      <c r="D447">
        <v>290.50125070000001</v>
      </c>
      <c r="E447">
        <v>1.8246501589999999</v>
      </c>
      <c r="F447">
        <v>0.230710941</v>
      </c>
      <c r="G447">
        <v>241.7688052</v>
      </c>
      <c r="H447">
        <v>159.2092869</v>
      </c>
      <c r="I447">
        <v>17.474865189999999</v>
      </c>
      <c r="J447">
        <v>5.9029807419999996</v>
      </c>
      <c r="K447">
        <v>53.222000000000001</v>
      </c>
      <c r="L447">
        <v>50.832000000000001</v>
      </c>
      <c r="M447">
        <v>67.611982209999994</v>
      </c>
      <c r="N447">
        <v>33.289983790000001</v>
      </c>
      <c r="O447">
        <v>0.12644119200000001</v>
      </c>
      <c r="P447">
        <v>101.254</v>
      </c>
      <c r="Q447">
        <v>84.52</v>
      </c>
      <c r="R447">
        <v>28.361000000000001</v>
      </c>
      <c r="S447">
        <v>5.9563078989999996</v>
      </c>
      <c r="T447">
        <v>66.635999999999996</v>
      </c>
      <c r="U447">
        <v>93.603999999999999</v>
      </c>
      <c r="V447" s="1" t="str">
        <f>IF(Energy_data_1990___2020[[#This Row],[CO2 emissions from fuel combustion (MtCO2)]]&gt;Energy_data_1990___2020[[#Totals],[CO2 emissions from fuel combustion (MtCO2)]],"Above Average","")</f>
        <v/>
      </c>
      <c r="W447" s="1">
        <f>SUM(Energy_data_1990___2020[[#This Row],[Coal and lignite production (Mt)]]-Energy_data_1990___2020[[#This Row],[Coal and lignite domestic consumption (Mt)]])</f>
        <v>65.242999999999995</v>
      </c>
    </row>
    <row r="448" spans="1:23">
      <c r="A448" t="s">
        <v>43</v>
      </c>
      <c r="B448">
        <v>2002</v>
      </c>
      <c r="C448" t="s">
        <v>28</v>
      </c>
      <c r="D448">
        <v>296.74964560000001</v>
      </c>
      <c r="E448">
        <v>1.798542029</v>
      </c>
      <c r="F448">
        <v>0.22552582700000001</v>
      </c>
      <c r="G448">
        <v>248.08893639999999</v>
      </c>
      <c r="H448">
        <v>164.9945572</v>
      </c>
      <c r="I448">
        <v>14.953288300000001</v>
      </c>
      <c r="J448">
        <v>6.1032616290000004</v>
      </c>
      <c r="K448">
        <v>53.084000000000003</v>
      </c>
      <c r="L448">
        <v>48.761000000000003</v>
      </c>
      <c r="M448">
        <v>74.472944650000002</v>
      </c>
      <c r="N448">
        <v>35.179963499999999</v>
      </c>
      <c r="O448">
        <v>0.125393693</v>
      </c>
      <c r="P448">
        <v>108.217</v>
      </c>
      <c r="Q448">
        <v>87.085999999999999</v>
      </c>
      <c r="R448">
        <v>29.254999999999999</v>
      </c>
      <c r="S448">
        <v>5.7643438649999998</v>
      </c>
      <c r="T448">
        <v>61.945</v>
      </c>
      <c r="U448">
        <v>102.133</v>
      </c>
      <c r="V448" s="1" t="str">
        <f>IF(Energy_data_1990___2020[[#This Row],[CO2 emissions from fuel combustion (MtCO2)]]&gt;Energy_data_1990___2020[[#Totals],[CO2 emissions from fuel combustion (MtCO2)]],"Above Average","")</f>
        <v/>
      </c>
      <c r="W448" s="1">
        <f>SUM(Energy_data_1990___2020[[#This Row],[Coal and lignite production (Mt)]]-Energy_data_1990___2020[[#This Row],[Coal and lignite domestic consumption (Mt)]])</f>
        <v>72.878</v>
      </c>
    </row>
    <row r="449" spans="1:23">
      <c r="A449" t="s">
        <v>43</v>
      </c>
      <c r="B449">
        <v>2003</v>
      </c>
      <c r="C449" t="s">
        <v>28</v>
      </c>
      <c r="D449">
        <v>325.1826069</v>
      </c>
      <c r="E449">
        <v>1.966865547</v>
      </c>
      <c r="F449">
        <v>0.235859546</v>
      </c>
      <c r="G449">
        <v>254.7952291</v>
      </c>
      <c r="H449">
        <v>165.33036910000001</v>
      </c>
      <c r="I449">
        <v>13.6385363</v>
      </c>
      <c r="J449">
        <v>6.1307980559999997</v>
      </c>
      <c r="K449">
        <v>54.143000000000001</v>
      </c>
      <c r="L449">
        <v>50.085000000000001</v>
      </c>
      <c r="M449">
        <v>77.987019700000005</v>
      </c>
      <c r="N449">
        <v>35.995970399999997</v>
      </c>
      <c r="O449">
        <v>0.119916456</v>
      </c>
      <c r="P449">
        <v>112.974</v>
      </c>
      <c r="Q449">
        <v>90.441000000000003</v>
      </c>
      <c r="R449">
        <v>39.273000000000003</v>
      </c>
      <c r="S449">
        <v>5.5711933719999998</v>
      </c>
      <c r="T449">
        <v>56.741999999999997</v>
      </c>
      <c r="U449">
        <v>117.104</v>
      </c>
      <c r="V449" s="1" t="str">
        <f>IF(Energy_data_1990___2020[[#This Row],[CO2 emissions from fuel combustion (MtCO2)]]&gt;Energy_data_1990___2020[[#Totals],[CO2 emissions from fuel combustion (MtCO2)]],"Above Average","")</f>
        <v/>
      </c>
      <c r="W449" s="1">
        <f>SUM(Energy_data_1990___2020[[#This Row],[Coal and lignite production (Mt)]]-Energy_data_1990___2020[[#This Row],[Coal and lignite domestic consumption (Mt)]])</f>
        <v>77.830999999999989</v>
      </c>
    </row>
    <row r="450" spans="1:23">
      <c r="A450" t="s">
        <v>43</v>
      </c>
      <c r="B450">
        <v>2004</v>
      </c>
      <c r="C450" t="s">
        <v>28</v>
      </c>
      <c r="D450">
        <v>331.66381749999999</v>
      </c>
      <c r="E450">
        <v>1.883023763</v>
      </c>
      <c r="F450">
        <v>0.22903785400000001</v>
      </c>
      <c r="G450">
        <v>264.76816580000002</v>
      </c>
      <c r="H450">
        <v>176.1336336</v>
      </c>
      <c r="I450">
        <v>13.60651781</v>
      </c>
      <c r="J450">
        <v>6.5310511309999999</v>
      </c>
      <c r="K450">
        <v>60.353000000000002</v>
      </c>
      <c r="L450">
        <v>50.054000000000002</v>
      </c>
      <c r="M450">
        <v>74.576034480000004</v>
      </c>
      <c r="N450">
        <v>34.438004929999998</v>
      </c>
      <c r="O450">
        <v>0.121633013</v>
      </c>
      <c r="P450">
        <v>120.163</v>
      </c>
      <c r="Q450">
        <v>100.09699999999999</v>
      </c>
      <c r="R450">
        <v>36.084000000000003</v>
      </c>
      <c r="S450">
        <v>5.539142665</v>
      </c>
      <c r="T450">
        <v>53.459000000000003</v>
      </c>
      <c r="U450">
        <v>143.714</v>
      </c>
      <c r="V450" s="1" t="str">
        <f>IF(Energy_data_1990___2020[[#This Row],[CO2 emissions from fuel combustion (MtCO2)]]&gt;Energy_data_1990___2020[[#Totals],[CO2 emissions from fuel combustion (MtCO2)]],"Above Average","")</f>
        <v/>
      </c>
      <c r="W450" s="1">
        <f>SUM(Energy_data_1990___2020[[#This Row],[Coal and lignite production (Mt)]]-Energy_data_1990___2020[[#This Row],[Coal and lignite domestic consumption (Mt)]])</f>
        <v>107.63</v>
      </c>
    </row>
    <row r="451" spans="1:23">
      <c r="A451" t="s">
        <v>43</v>
      </c>
      <c r="B451">
        <v>2005</v>
      </c>
      <c r="C451" t="s">
        <v>28</v>
      </c>
      <c r="D451">
        <v>335.39758169999999</v>
      </c>
      <c r="E451">
        <v>1.8753114790000001</v>
      </c>
      <c r="F451">
        <v>0.21914150199999999</v>
      </c>
      <c r="G451">
        <v>279.6422306</v>
      </c>
      <c r="H451">
        <v>178.84899949999999</v>
      </c>
      <c r="I451">
        <v>13.60553286</v>
      </c>
      <c r="J451">
        <v>6.9968002069999997</v>
      </c>
      <c r="K451">
        <v>59.42</v>
      </c>
      <c r="L451">
        <v>47.921999999999997</v>
      </c>
      <c r="M451">
        <v>75.143005630000005</v>
      </c>
      <c r="N451">
        <v>33.476996139999997</v>
      </c>
      <c r="O451">
        <v>0.116856055</v>
      </c>
      <c r="P451">
        <v>127.529</v>
      </c>
      <c r="Q451">
        <v>107.705</v>
      </c>
      <c r="R451">
        <v>41.250999999999998</v>
      </c>
      <c r="S451">
        <v>5.178430004</v>
      </c>
      <c r="T451">
        <v>52.447000000000003</v>
      </c>
      <c r="U451">
        <v>170.541</v>
      </c>
      <c r="V451" s="1" t="str">
        <f>IF(Energy_data_1990___2020[[#This Row],[CO2 emissions from fuel combustion (MtCO2)]]&gt;Energy_data_1990___2020[[#Totals],[CO2 emissions from fuel combustion (MtCO2)]],"Above Average","")</f>
        <v/>
      </c>
      <c r="W451" s="1">
        <f>SUM(Energy_data_1990___2020[[#This Row],[Coal and lignite production (Mt)]]-Energy_data_1990___2020[[#This Row],[Coal and lignite domestic consumption (Mt)]])</f>
        <v>129.29</v>
      </c>
    </row>
    <row r="452" spans="1:23">
      <c r="A452" t="s">
        <v>43</v>
      </c>
      <c r="B452">
        <v>2006</v>
      </c>
      <c r="C452" t="s">
        <v>28</v>
      </c>
      <c r="D452">
        <v>353.75166339999998</v>
      </c>
      <c r="E452">
        <v>1.9339495</v>
      </c>
      <c r="F452">
        <v>0.21908206199999999</v>
      </c>
      <c r="G452">
        <v>313.53474269999998</v>
      </c>
      <c r="H452">
        <v>182.91670149999999</v>
      </c>
      <c r="I452">
        <v>12.258777200000001</v>
      </c>
      <c r="J452">
        <v>7.0959864350000004</v>
      </c>
      <c r="K452">
        <v>57.13</v>
      </c>
      <c r="L452">
        <v>47.156999999999996</v>
      </c>
      <c r="M452">
        <v>74.283040110000002</v>
      </c>
      <c r="N452">
        <v>35.559031220000001</v>
      </c>
      <c r="O452">
        <v>0.113282204</v>
      </c>
      <c r="P452">
        <v>133.072</v>
      </c>
      <c r="Q452">
        <v>113.41500000000001</v>
      </c>
      <c r="R452">
        <v>49.491</v>
      </c>
      <c r="S452">
        <v>5.0033064810000001</v>
      </c>
      <c r="T452">
        <v>49.271000000000001</v>
      </c>
      <c r="U452">
        <v>233.316</v>
      </c>
      <c r="V452" s="1" t="str">
        <f>IF(Energy_data_1990___2020[[#This Row],[CO2 emissions from fuel combustion (MtCO2)]]&gt;Energy_data_1990___2020[[#Totals],[CO2 emissions from fuel combustion (MtCO2)]],"Above Average","")</f>
        <v/>
      </c>
      <c r="W452" s="1">
        <f>SUM(Energy_data_1990___2020[[#This Row],[Coal and lignite production (Mt)]]-Energy_data_1990___2020[[#This Row],[Coal and lignite domestic consumption (Mt)]])</f>
        <v>183.82499999999999</v>
      </c>
    </row>
    <row r="453" spans="1:23">
      <c r="A453" t="s">
        <v>43</v>
      </c>
      <c r="B453">
        <v>2007</v>
      </c>
      <c r="C453" t="s">
        <v>28</v>
      </c>
      <c r="D453">
        <v>371.53669989999997</v>
      </c>
      <c r="E453">
        <v>2.0394185120000001</v>
      </c>
      <c r="F453">
        <v>0.21636792599999999</v>
      </c>
      <c r="G453">
        <v>318.16229989999999</v>
      </c>
      <c r="H453">
        <v>182.17776180000001</v>
      </c>
      <c r="I453">
        <v>12.9038839</v>
      </c>
      <c r="J453">
        <v>7.5400059209999997</v>
      </c>
      <c r="K453">
        <v>58.442</v>
      </c>
      <c r="L453">
        <v>46.396999999999998</v>
      </c>
      <c r="M453">
        <v>71.507055469999997</v>
      </c>
      <c r="N453">
        <v>30.482026829999999</v>
      </c>
      <c r="O453">
        <v>0.10609295000000001</v>
      </c>
      <c r="P453">
        <v>142.15100000000001</v>
      </c>
      <c r="Q453">
        <v>121.614</v>
      </c>
      <c r="R453">
        <v>61.445999999999998</v>
      </c>
      <c r="S453">
        <v>4.9391140409999998</v>
      </c>
      <c r="T453">
        <v>46.744</v>
      </c>
      <c r="U453">
        <v>248.83199999999999</v>
      </c>
      <c r="V453" s="1" t="str">
        <f>IF(Energy_data_1990___2020[[#This Row],[CO2 emissions from fuel combustion (MtCO2)]]&gt;Energy_data_1990___2020[[#Totals],[CO2 emissions from fuel combustion (MtCO2)]],"Above Average","")</f>
        <v/>
      </c>
      <c r="W453" s="1">
        <f>SUM(Energy_data_1990___2020[[#This Row],[Coal and lignite production (Mt)]]-Energy_data_1990___2020[[#This Row],[Coal and lignite domestic consumption (Mt)]])</f>
        <v>187.386</v>
      </c>
    </row>
    <row r="454" spans="1:23">
      <c r="A454" t="s">
        <v>43</v>
      </c>
      <c r="B454">
        <v>2008</v>
      </c>
      <c r="C454" t="s">
        <v>28</v>
      </c>
      <c r="D454">
        <v>365.22893850000003</v>
      </c>
      <c r="E454">
        <v>1.9705032149999999</v>
      </c>
      <c r="F454">
        <v>0.20062929099999999</v>
      </c>
      <c r="G454">
        <v>323.17274149999997</v>
      </c>
      <c r="H454">
        <v>185.34805510000001</v>
      </c>
      <c r="I454">
        <v>13.31583247</v>
      </c>
      <c r="J454">
        <v>8.1866192259999995</v>
      </c>
      <c r="K454">
        <v>59.91</v>
      </c>
      <c r="L454">
        <v>48.351999999999997</v>
      </c>
      <c r="M454">
        <v>73.724064040000002</v>
      </c>
      <c r="N454">
        <v>32.612037899999997</v>
      </c>
      <c r="O454">
        <v>0.101816272</v>
      </c>
      <c r="P454">
        <v>149.32599999999999</v>
      </c>
      <c r="Q454">
        <v>128.81</v>
      </c>
      <c r="R454">
        <v>55.226999999999997</v>
      </c>
      <c r="S454">
        <v>5.5643357489999996</v>
      </c>
      <c r="T454">
        <v>48.304000000000002</v>
      </c>
      <c r="U454">
        <v>248.76599999999999</v>
      </c>
      <c r="V454" s="1" t="str">
        <f>IF(Energy_data_1990___2020[[#This Row],[CO2 emissions from fuel combustion (MtCO2)]]&gt;Energy_data_1990___2020[[#Totals],[CO2 emissions from fuel combustion (MtCO2)]],"Above Average","")</f>
        <v/>
      </c>
      <c r="W454" s="1">
        <f>SUM(Energy_data_1990___2020[[#This Row],[Coal and lignite production (Mt)]]-Energy_data_1990___2020[[#This Row],[Coal and lignite domestic consumption (Mt)]])</f>
        <v>193.53899999999999</v>
      </c>
    </row>
    <row r="455" spans="1:23">
      <c r="A455" t="s">
        <v>43</v>
      </c>
      <c r="B455">
        <v>2009</v>
      </c>
      <c r="C455" t="s">
        <v>28</v>
      </c>
      <c r="D455">
        <v>382.4650815</v>
      </c>
      <c r="E455">
        <v>1.954819882</v>
      </c>
      <c r="F455">
        <v>0.20080263500000001</v>
      </c>
      <c r="G455">
        <v>348.0182274</v>
      </c>
      <c r="H455">
        <v>195.6523387</v>
      </c>
      <c r="I455">
        <v>13.233061599999999</v>
      </c>
      <c r="J455">
        <v>8.3895044740000007</v>
      </c>
      <c r="K455">
        <v>59.960999999999999</v>
      </c>
      <c r="L455">
        <v>49.524000000000001</v>
      </c>
      <c r="M455">
        <v>76.891068430000004</v>
      </c>
      <c r="N455">
        <v>38.836028749999997</v>
      </c>
      <c r="O455">
        <v>0.102721809</v>
      </c>
      <c r="P455">
        <v>156.774</v>
      </c>
      <c r="Q455">
        <v>136.053</v>
      </c>
      <c r="R455">
        <v>56.295000000000002</v>
      </c>
      <c r="S455">
        <v>5.931468228</v>
      </c>
      <c r="T455">
        <v>47.314</v>
      </c>
      <c r="U455">
        <v>291.24700000000001</v>
      </c>
      <c r="V455" s="1" t="str">
        <f>IF(Energy_data_1990___2020[[#This Row],[CO2 emissions from fuel combustion (MtCO2)]]&gt;Energy_data_1990___2020[[#Totals],[CO2 emissions from fuel combustion (MtCO2)]],"Above Average","")</f>
        <v/>
      </c>
      <c r="W455" s="1">
        <f>SUM(Energy_data_1990___2020[[#This Row],[Coal and lignite production (Mt)]]-Energy_data_1990___2020[[#This Row],[Coal and lignite domestic consumption (Mt)]])</f>
        <v>234.952</v>
      </c>
    </row>
    <row r="456" spans="1:23">
      <c r="A456" t="s">
        <v>43</v>
      </c>
      <c r="B456">
        <v>2010</v>
      </c>
      <c r="C456" t="s">
        <v>28</v>
      </c>
      <c r="D456">
        <v>410.47747340000001</v>
      </c>
      <c r="E456">
        <v>2.0351947309999998</v>
      </c>
      <c r="F456">
        <v>0.202882641</v>
      </c>
      <c r="G456">
        <v>373.7883903</v>
      </c>
      <c r="H456">
        <v>201.6895323</v>
      </c>
      <c r="I456">
        <v>15.854024920000001</v>
      </c>
      <c r="J456">
        <v>8.6771957890000007</v>
      </c>
      <c r="K456">
        <v>59.664000000000001</v>
      </c>
      <c r="L456">
        <v>46.725000000000001</v>
      </c>
      <c r="M456">
        <v>85.714989450000004</v>
      </c>
      <c r="N456">
        <v>43.525992479999999</v>
      </c>
      <c r="O456">
        <v>9.9687090000000006E-2</v>
      </c>
      <c r="P456">
        <v>169.755</v>
      </c>
      <c r="Q456">
        <v>147.297</v>
      </c>
      <c r="R456">
        <v>67.075000000000003</v>
      </c>
      <c r="S456">
        <v>5.5150069220000004</v>
      </c>
      <c r="T456">
        <v>47.536000000000001</v>
      </c>
      <c r="U456">
        <v>325</v>
      </c>
      <c r="V456" s="1" t="str">
        <f>IF(Energy_data_1990___2020[[#This Row],[CO2 emissions from fuel combustion (MtCO2)]]&gt;Energy_data_1990___2020[[#Totals],[CO2 emissions from fuel combustion (MtCO2)]],"Above Average","")</f>
        <v/>
      </c>
      <c r="W456" s="1">
        <f>SUM(Energy_data_1990___2020[[#This Row],[Coal and lignite production (Mt)]]-Energy_data_1990___2020[[#This Row],[Coal and lignite domestic consumption (Mt)]])</f>
        <v>257.92500000000001</v>
      </c>
    </row>
    <row r="457" spans="1:23">
      <c r="A457" t="s">
        <v>43</v>
      </c>
      <c r="B457">
        <v>2011</v>
      </c>
      <c r="C457" t="s">
        <v>28</v>
      </c>
      <c r="D457">
        <v>460.66937489999998</v>
      </c>
      <c r="E457">
        <v>2.2462495869999999</v>
      </c>
      <c r="F457">
        <v>0.21445884800000001</v>
      </c>
      <c r="G457">
        <v>424.8456893</v>
      </c>
      <c r="H457">
        <v>205.0837884</v>
      </c>
      <c r="I457">
        <v>11.99289052</v>
      </c>
      <c r="J457">
        <v>8.8566020079999994</v>
      </c>
      <c r="K457">
        <v>70.905000000000001</v>
      </c>
      <c r="L457">
        <v>47.875999999999998</v>
      </c>
      <c r="M457">
        <v>81.456966850000001</v>
      </c>
      <c r="N457">
        <v>41.030046720000001</v>
      </c>
      <c r="O457">
        <v>9.5474185000000003E-2</v>
      </c>
      <c r="P457">
        <v>183.417</v>
      </c>
      <c r="Q457">
        <v>157.99299999999999</v>
      </c>
      <c r="R457">
        <v>79.548000000000002</v>
      </c>
      <c r="S457">
        <v>5.1123941620000002</v>
      </c>
      <c r="T457">
        <v>45.283999999999999</v>
      </c>
      <c r="U457">
        <v>435.93599999999998</v>
      </c>
      <c r="V457" s="1" t="str">
        <f>IF(Energy_data_1990___2020[[#This Row],[CO2 emissions from fuel combustion (MtCO2)]]&gt;Energy_data_1990___2020[[#Totals],[CO2 emissions from fuel combustion (MtCO2)]],"Above Average","")</f>
        <v/>
      </c>
      <c r="W457" s="1">
        <f>SUM(Energy_data_1990___2020[[#This Row],[Coal and lignite production (Mt)]]-Energy_data_1990___2020[[#This Row],[Coal and lignite domestic consumption (Mt)]])</f>
        <v>356.38799999999998</v>
      </c>
    </row>
    <row r="458" spans="1:23">
      <c r="A458" t="s">
        <v>43</v>
      </c>
      <c r="B458">
        <v>2012</v>
      </c>
      <c r="C458" t="s">
        <v>28</v>
      </c>
      <c r="D458">
        <v>467.92731559999999</v>
      </c>
      <c r="E458">
        <v>2.2922970770000002</v>
      </c>
      <c r="F458">
        <v>0.20544901199999999</v>
      </c>
      <c r="G458">
        <v>429.18757829999998</v>
      </c>
      <c r="H458">
        <v>204.13031119999999</v>
      </c>
      <c r="I458">
        <v>11.23681448</v>
      </c>
      <c r="J458">
        <v>9.4174514859999992</v>
      </c>
      <c r="K458">
        <v>75.569999999999993</v>
      </c>
      <c r="L458">
        <v>46.067</v>
      </c>
      <c r="M458">
        <v>77.142033780000006</v>
      </c>
      <c r="N458">
        <v>40.84201556</v>
      </c>
      <c r="O458">
        <v>8.9625822999999993E-2</v>
      </c>
      <c r="P458">
        <v>200.03</v>
      </c>
      <c r="Q458">
        <v>173.99100000000001</v>
      </c>
      <c r="R458">
        <v>82.18</v>
      </c>
      <c r="S458">
        <v>4.7117932309999997</v>
      </c>
      <c r="T458">
        <v>43.654000000000003</v>
      </c>
      <c r="U458">
        <v>470.24</v>
      </c>
      <c r="V458" s="1" t="str">
        <f>IF(Energy_data_1990___2020[[#This Row],[CO2 emissions from fuel combustion (MtCO2)]]&gt;Energy_data_1990___2020[[#Totals],[CO2 emissions from fuel combustion (MtCO2)]],"Above Average","")</f>
        <v/>
      </c>
      <c r="W458" s="1">
        <f>SUM(Energy_data_1990___2020[[#This Row],[Coal and lignite production (Mt)]]-Energy_data_1990___2020[[#This Row],[Coal and lignite domestic consumption (Mt)]])</f>
        <v>388.06</v>
      </c>
    </row>
    <row r="459" spans="1:23">
      <c r="A459" t="s">
        <v>43</v>
      </c>
      <c r="B459">
        <v>2013</v>
      </c>
      <c r="C459" t="s">
        <v>28</v>
      </c>
      <c r="D459">
        <v>428.44124690000001</v>
      </c>
      <c r="E459">
        <v>2.1722323000000001</v>
      </c>
      <c r="F459">
        <v>0.17820866199999999</v>
      </c>
      <c r="G459">
        <v>437.04807770000002</v>
      </c>
      <c r="H459">
        <v>197.2354646</v>
      </c>
      <c r="I459">
        <v>12.27016017</v>
      </c>
      <c r="J459">
        <v>10.83462827</v>
      </c>
      <c r="K459">
        <v>75.215999999999994</v>
      </c>
      <c r="L459">
        <v>44.496000000000002</v>
      </c>
      <c r="M459">
        <v>76.477067559999995</v>
      </c>
      <c r="N459">
        <v>41.905969980000002</v>
      </c>
      <c r="O459">
        <v>8.2039413000000005E-2</v>
      </c>
      <c r="P459">
        <v>216.02</v>
      </c>
      <c r="Q459">
        <v>187.541</v>
      </c>
      <c r="R459">
        <v>65.366</v>
      </c>
      <c r="S459">
        <v>4.3602444220000001</v>
      </c>
      <c r="T459">
        <v>41.390999999999998</v>
      </c>
      <c r="U459">
        <v>491.07600000000002</v>
      </c>
      <c r="V459" s="1" t="str">
        <f>IF(Energy_data_1990___2020[[#This Row],[CO2 emissions from fuel combustion (MtCO2)]]&gt;Energy_data_1990___2020[[#Totals],[CO2 emissions from fuel combustion (MtCO2)]],"Above Average","")</f>
        <v/>
      </c>
      <c r="W459" s="1">
        <f>SUM(Energy_data_1990___2020[[#This Row],[Coal and lignite production (Mt)]]-Energy_data_1990___2020[[#This Row],[Coal and lignite domestic consumption (Mt)]])</f>
        <v>425.71000000000004</v>
      </c>
    </row>
    <row r="460" spans="1:23">
      <c r="A460" t="s">
        <v>43</v>
      </c>
      <c r="B460">
        <v>2014</v>
      </c>
      <c r="C460" t="s">
        <v>28</v>
      </c>
      <c r="D460">
        <v>463.73682960000002</v>
      </c>
      <c r="E460">
        <v>2.256406251</v>
      </c>
      <c r="F460">
        <v>0.18369284599999999</v>
      </c>
      <c r="G460">
        <v>430.78284000000002</v>
      </c>
      <c r="H460">
        <v>205.52009609999999</v>
      </c>
      <c r="I460">
        <v>11.475100490000001</v>
      </c>
      <c r="J460">
        <v>11.337337850000001</v>
      </c>
      <c r="K460">
        <v>75.658000000000001</v>
      </c>
      <c r="L460">
        <v>47.936</v>
      </c>
      <c r="M460">
        <v>75.271073430000001</v>
      </c>
      <c r="N460">
        <v>42.94895099</v>
      </c>
      <c r="O460">
        <v>8.1409473999999996E-2</v>
      </c>
      <c r="P460">
        <v>227.876</v>
      </c>
      <c r="Q460">
        <v>198.602</v>
      </c>
      <c r="R460">
        <v>79.108000000000004</v>
      </c>
      <c r="S460">
        <v>4.4080991420000002</v>
      </c>
      <c r="T460">
        <v>40.075000000000003</v>
      </c>
      <c r="U460">
        <v>488.05200000000002</v>
      </c>
      <c r="V460" s="1" t="str">
        <f>IF(Energy_data_1990___2020[[#This Row],[CO2 emissions from fuel combustion (MtCO2)]]&gt;Energy_data_1990___2020[[#Totals],[CO2 emissions from fuel combustion (MtCO2)]],"Above Average","")</f>
        <v/>
      </c>
      <c r="W460" s="1">
        <f>SUM(Energy_data_1990___2020[[#This Row],[Coal and lignite production (Mt)]]-Energy_data_1990___2020[[#This Row],[Coal and lignite domestic consumption (Mt)]])</f>
        <v>408.94400000000002</v>
      </c>
    </row>
    <row r="461" spans="1:23">
      <c r="A461" t="s">
        <v>43</v>
      </c>
      <c r="B461">
        <v>2015</v>
      </c>
      <c r="C461" t="s">
        <v>28</v>
      </c>
      <c r="D461">
        <v>465.11007940000002</v>
      </c>
      <c r="E461">
        <v>2.278379948</v>
      </c>
      <c r="F461">
        <v>0.17567054800000001</v>
      </c>
      <c r="G461">
        <v>405.9013271</v>
      </c>
      <c r="H461">
        <v>204.14070079999999</v>
      </c>
      <c r="I461">
        <v>10.65115563</v>
      </c>
      <c r="J461">
        <v>11.84196775</v>
      </c>
      <c r="K461">
        <v>71.126999999999995</v>
      </c>
      <c r="L461">
        <v>46.689</v>
      </c>
      <c r="M461">
        <v>75.037019889999996</v>
      </c>
      <c r="N461">
        <v>42.94696759</v>
      </c>
      <c r="O461">
        <v>7.7103272E-2</v>
      </c>
      <c r="P461">
        <v>233.98400000000001</v>
      </c>
      <c r="Q461">
        <v>202.845</v>
      </c>
      <c r="R461">
        <v>86.82</v>
      </c>
      <c r="S461">
        <v>4.2981571389999997</v>
      </c>
      <c r="T461">
        <v>39.686</v>
      </c>
      <c r="U461">
        <v>451.76400000000001</v>
      </c>
      <c r="V461" s="1" t="str">
        <f>IF(Energy_data_1990___2020[[#This Row],[CO2 emissions from fuel combustion (MtCO2)]]&gt;Energy_data_1990___2020[[#Totals],[CO2 emissions from fuel combustion (MtCO2)]],"Above Average","")</f>
        <v/>
      </c>
      <c r="W461" s="1">
        <f>SUM(Energy_data_1990___2020[[#This Row],[Coal and lignite production (Mt)]]-Energy_data_1990___2020[[#This Row],[Coal and lignite domestic consumption (Mt)]])</f>
        <v>364.94400000000002</v>
      </c>
    </row>
    <row r="462" spans="1:23">
      <c r="A462" t="s">
        <v>43</v>
      </c>
      <c r="B462">
        <v>2016</v>
      </c>
      <c r="C462" t="s">
        <v>28</v>
      </c>
      <c r="D462">
        <v>466.2089441</v>
      </c>
      <c r="E462">
        <v>2.2288436420000002</v>
      </c>
      <c r="F462">
        <v>0.16764775800000001</v>
      </c>
      <c r="G462">
        <v>413.72868390000002</v>
      </c>
      <c r="H462">
        <v>209.1707715</v>
      </c>
      <c r="I462">
        <v>12.56695708</v>
      </c>
      <c r="J462">
        <v>12.854597480000001</v>
      </c>
      <c r="K462">
        <v>67.947999999999993</v>
      </c>
      <c r="L462">
        <v>47.75</v>
      </c>
      <c r="M462">
        <v>73.970029699999998</v>
      </c>
      <c r="N462">
        <v>41.567960990000003</v>
      </c>
      <c r="O462">
        <v>7.5217370000000006E-2</v>
      </c>
      <c r="P462">
        <v>247.92</v>
      </c>
      <c r="Q462">
        <v>216.00399999999999</v>
      </c>
      <c r="R462">
        <v>94.46</v>
      </c>
      <c r="S462">
        <v>4.3090513069999998</v>
      </c>
      <c r="T462">
        <v>41.831000000000003</v>
      </c>
      <c r="U462">
        <v>463.48700000000002</v>
      </c>
      <c r="V462" s="1" t="str">
        <f>IF(Energy_data_1990___2020[[#This Row],[CO2 emissions from fuel combustion (MtCO2)]]&gt;Energy_data_1990___2020[[#Totals],[CO2 emissions from fuel combustion (MtCO2)]],"Above Average","")</f>
        <v/>
      </c>
      <c r="W462" s="1">
        <f>SUM(Energy_data_1990___2020[[#This Row],[Coal and lignite production (Mt)]]-Energy_data_1990___2020[[#This Row],[Coal and lignite domestic consumption (Mt)]])</f>
        <v>369.02700000000004</v>
      </c>
    </row>
    <row r="463" spans="1:23">
      <c r="A463" t="s">
        <v>43</v>
      </c>
      <c r="B463">
        <v>2017</v>
      </c>
      <c r="C463" t="s">
        <v>28</v>
      </c>
      <c r="D463">
        <v>505.31382880000001</v>
      </c>
      <c r="E463">
        <v>2.2775407620000001</v>
      </c>
      <c r="F463">
        <v>0.17294592</v>
      </c>
      <c r="G463">
        <v>426.00156629999998</v>
      </c>
      <c r="H463">
        <v>221.86818220000001</v>
      </c>
      <c r="I463">
        <v>12.54197847</v>
      </c>
      <c r="J463">
        <v>12.60845829</v>
      </c>
      <c r="K463">
        <v>74.372604999999993</v>
      </c>
      <c r="L463">
        <v>48.485219000000001</v>
      </c>
      <c r="M463">
        <v>71.630521700000003</v>
      </c>
      <c r="N463">
        <v>39.759522879999999</v>
      </c>
      <c r="O463">
        <v>7.5935378999999997E-2</v>
      </c>
      <c r="P463">
        <v>254.86872</v>
      </c>
      <c r="Q463">
        <v>223.13372000000001</v>
      </c>
      <c r="R463">
        <v>105.471435</v>
      </c>
      <c r="S463">
        <v>5.0218206460000001</v>
      </c>
      <c r="T463">
        <v>40.083632000000001</v>
      </c>
      <c r="U463">
        <v>494.70925599999998</v>
      </c>
      <c r="V463" s="1" t="str">
        <f>IF(Energy_data_1990___2020[[#This Row],[CO2 emissions from fuel combustion (MtCO2)]]&gt;Energy_data_1990___2020[[#Totals],[CO2 emissions from fuel combustion (MtCO2)]],"Above Average","")</f>
        <v/>
      </c>
      <c r="W463" s="1">
        <f>SUM(Energy_data_1990___2020[[#This Row],[Coal and lignite production (Mt)]]-Energy_data_1990___2020[[#This Row],[Coal and lignite domestic consumption (Mt)]])</f>
        <v>389.237821</v>
      </c>
    </row>
    <row r="464" spans="1:23">
      <c r="A464" t="s">
        <v>43</v>
      </c>
      <c r="B464">
        <v>2018</v>
      </c>
      <c r="C464" t="s">
        <v>28</v>
      </c>
      <c r="D464">
        <v>556.34243140000001</v>
      </c>
      <c r="E464">
        <v>2.4073371699999999</v>
      </c>
      <c r="F464">
        <v>0.18104819599999999</v>
      </c>
      <c r="G464">
        <v>450.77035100000001</v>
      </c>
      <c r="H464">
        <v>231.10282950000001</v>
      </c>
      <c r="I464">
        <v>17.3161886</v>
      </c>
      <c r="J464">
        <v>14.11243286</v>
      </c>
      <c r="K464">
        <v>79.042772999999997</v>
      </c>
      <c r="L464">
        <v>50.486136999999999</v>
      </c>
      <c r="M464">
        <v>71.725779560000007</v>
      </c>
      <c r="N464">
        <v>44.455942139999998</v>
      </c>
      <c r="O464">
        <v>7.5206829000000003E-2</v>
      </c>
      <c r="P464">
        <v>283.77076</v>
      </c>
      <c r="Q464">
        <v>256.09135300000003</v>
      </c>
      <c r="R464">
        <v>119.73542500000001</v>
      </c>
      <c r="S464">
        <v>5.0390639259999999</v>
      </c>
      <c r="T464">
        <v>38.673810000000003</v>
      </c>
      <c r="U464">
        <v>548.21979099999999</v>
      </c>
      <c r="V464" s="1" t="str">
        <f>IF(Energy_data_1990___2020[[#This Row],[CO2 emissions from fuel combustion (MtCO2)]]&gt;Energy_data_1990___2020[[#Totals],[CO2 emissions from fuel combustion (MtCO2)]],"Above Average","")</f>
        <v>Above Average</v>
      </c>
      <c r="W464" s="1">
        <f>SUM(Energy_data_1990___2020[[#This Row],[Coal and lignite production (Mt)]]-Energy_data_1990___2020[[#This Row],[Coal and lignite domestic consumption (Mt)]])</f>
        <v>428.48436599999997</v>
      </c>
    </row>
    <row r="465" spans="1:23">
      <c r="A465" t="s">
        <v>43</v>
      </c>
      <c r="B465">
        <v>2019</v>
      </c>
      <c r="C465" t="s">
        <v>28</v>
      </c>
      <c r="D465">
        <v>595.53364050000005</v>
      </c>
      <c r="E465">
        <v>2.5103963970000001</v>
      </c>
      <c r="F465">
        <v>0.184529424</v>
      </c>
      <c r="G465">
        <v>473.14577350000002</v>
      </c>
      <c r="H465">
        <v>237.22693409999999</v>
      </c>
      <c r="I465">
        <v>16.520368080000001</v>
      </c>
      <c r="J465">
        <v>14.22142631</v>
      </c>
      <c r="K465">
        <v>76.497601079999995</v>
      </c>
      <c r="L465">
        <v>50.652271599999999</v>
      </c>
      <c r="M465">
        <v>68.613858769999993</v>
      </c>
      <c r="N465">
        <v>44.498437989999999</v>
      </c>
      <c r="O465">
        <v>7.3506089999999996E-2</v>
      </c>
      <c r="P465">
        <v>295.44354449999997</v>
      </c>
      <c r="Q465">
        <v>267.98897269999998</v>
      </c>
      <c r="R465">
        <v>144.01773589999999</v>
      </c>
      <c r="S465">
        <v>4.9760346240000004</v>
      </c>
      <c r="T465">
        <v>37.254125999999999</v>
      </c>
      <c r="U465">
        <v>605.60643879999998</v>
      </c>
      <c r="V465" s="1" t="str">
        <f>IF(Energy_data_1990___2020[[#This Row],[CO2 emissions from fuel combustion (MtCO2)]]&gt;Energy_data_1990___2020[[#Totals],[CO2 emissions from fuel combustion (MtCO2)]],"Above Average","")</f>
        <v>Above Average</v>
      </c>
      <c r="W465" s="1">
        <f>SUM(Energy_data_1990___2020[[#This Row],[Coal and lignite production (Mt)]]-Energy_data_1990___2020[[#This Row],[Coal and lignite domestic consumption (Mt)]])</f>
        <v>461.58870289999999</v>
      </c>
    </row>
    <row r="466" spans="1:23">
      <c r="A466" t="s">
        <v>43</v>
      </c>
      <c r="B466">
        <v>2020</v>
      </c>
      <c r="C466" t="s">
        <v>28</v>
      </c>
      <c r="D466">
        <v>566.03976560000001</v>
      </c>
      <c r="E466">
        <v>2.5171479410000002</v>
      </c>
      <c r="F466">
        <v>0.17915279100000001</v>
      </c>
      <c r="G466">
        <v>436.58301340000003</v>
      </c>
      <c r="H466">
        <v>224.8734595</v>
      </c>
      <c r="I466">
        <v>18.313618559999998</v>
      </c>
      <c r="J466">
        <v>14.810269809999999</v>
      </c>
      <c r="K466">
        <v>73.093584660000005</v>
      </c>
      <c r="L466">
        <v>52.294824009999999</v>
      </c>
      <c r="M466">
        <v>61.921248460000001</v>
      </c>
      <c r="N466">
        <v>39.461125940000002</v>
      </c>
      <c r="O466">
        <v>7.1172928999999996E-2</v>
      </c>
      <c r="P466">
        <v>291.11168129999999</v>
      </c>
      <c r="Q466">
        <v>265.87687240000002</v>
      </c>
      <c r="R466">
        <v>138.67384960000001</v>
      </c>
      <c r="S466">
        <v>5.1531335250000003</v>
      </c>
      <c r="T466">
        <v>35.678087140000002</v>
      </c>
      <c r="U466">
        <v>551.06058140000005</v>
      </c>
      <c r="V466" s="1" t="str">
        <f>IF(Energy_data_1990___2020[[#This Row],[CO2 emissions from fuel combustion (MtCO2)]]&gt;Energy_data_1990___2020[[#Totals],[CO2 emissions from fuel combustion (MtCO2)]],"Above Average","")</f>
        <v>Above Average</v>
      </c>
      <c r="W466" s="1">
        <f>SUM(Energy_data_1990___2020[[#This Row],[Coal and lignite production (Mt)]]-Energy_data_1990___2020[[#This Row],[Coal and lignite domestic consumption (Mt)]])</f>
        <v>412.38673180000001</v>
      </c>
    </row>
    <row r="467" spans="1:23">
      <c r="A467" t="s">
        <v>44</v>
      </c>
      <c r="B467">
        <v>1990</v>
      </c>
      <c r="C467" t="s">
        <v>39</v>
      </c>
      <c r="D467">
        <v>181.23918520000001</v>
      </c>
      <c r="E467">
        <v>2.6151890419999999</v>
      </c>
      <c r="F467">
        <v>0.35583219100000002</v>
      </c>
      <c r="G467">
        <v>187.83951709999999</v>
      </c>
      <c r="H467">
        <v>69.302517839999993</v>
      </c>
      <c r="I467">
        <v>10.292375890000001</v>
      </c>
      <c r="J467">
        <v>7.7179754809999999</v>
      </c>
      <c r="K467">
        <v>45.625</v>
      </c>
      <c r="L467">
        <v>40.887999999999998</v>
      </c>
      <c r="M467">
        <v>22.602006329999998</v>
      </c>
      <c r="N467">
        <v>20.668013370000001</v>
      </c>
      <c r="O467">
        <v>0.136063659</v>
      </c>
      <c r="P467">
        <v>59.101999999999997</v>
      </c>
      <c r="Q467">
        <v>50.12</v>
      </c>
      <c r="R467">
        <v>1.0609999999999999</v>
      </c>
      <c r="S467">
        <v>0</v>
      </c>
      <c r="T467">
        <v>164.304</v>
      </c>
      <c r="U467">
        <v>0.83499999999999996</v>
      </c>
      <c r="V467" s="1" t="str">
        <f>IF(Energy_data_1990___2020[[#This Row],[CO2 emissions from fuel combustion (MtCO2)]]&gt;Energy_data_1990___2020[[#Totals],[CO2 emissions from fuel combustion (MtCO2)]],"Above Average","")</f>
        <v/>
      </c>
      <c r="W467" s="1">
        <f>SUM(Energy_data_1990___2020[[#This Row],[Coal and lignite production (Mt)]]-Energy_data_1990___2020[[#This Row],[Coal and lignite domestic consumption (Mt)]])</f>
        <v>-0.22599999999999998</v>
      </c>
    </row>
    <row r="468" spans="1:23">
      <c r="A468" t="s">
        <v>44</v>
      </c>
      <c r="B468">
        <v>1991</v>
      </c>
      <c r="C468" t="s">
        <v>39</v>
      </c>
      <c r="D468">
        <v>200.81709660000001</v>
      </c>
      <c r="E468">
        <v>2.613929567</v>
      </c>
      <c r="F468">
        <v>0.35082595799999999</v>
      </c>
      <c r="G468">
        <v>200.47012770000001</v>
      </c>
      <c r="H468">
        <v>76.825748910000002</v>
      </c>
      <c r="I468">
        <v>11.003337180000001</v>
      </c>
      <c r="J468">
        <v>7.4928320790000003</v>
      </c>
      <c r="K468">
        <v>48.353999999999999</v>
      </c>
      <c r="L468">
        <v>46.628</v>
      </c>
      <c r="M468">
        <v>28.271033379999999</v>
      </c>
      <c r="N468">
        <v>25.628010979999999</v>
      </c>
      <c r="O468">
        <v>0.134214006</v>
      </c>
      <c r="P468">
        <v>64.126000000000005</v>
      </c>
      <c r="Q468">
        <v>54.398000000000003</v>
      </c>
      <c r="R468">
        <v>1.512</v>
      </c>
      <c r="S468">
        <v>0</v>
      </c>
      <c r="T468">
        <v>171.89</v>
      </c>
      <c r="U468">
        <v>0.85799999999999998</v>
      </c>
      <c r="V468" s="1" t="str">
        <f>IF(Energy_data_1990___2020[[#This Row],[CO2 emissions from fuel combustion (MtCO2)]]&gt;Energy_data_1990___2020[[#Totals],[CO2 emissions from fuel combustion (MtCO2)]],"Above Average","")</f>
        <v/>
      </c>
      <c r="W468" s="1">
        <f>SUM(Energy_data_1990___2020[[#This Row],[Coal and lignite production (Mt)]]-Energy_data_1990___2020[[#This Row],[Coal and lignite domestic consumption (Mt)]])</f>
        <v>-0.65400000000000003</v>
      </c>
    </row>
    <row r="469" spans="1:23">
      <c r="A469" t="s">
        <v>44</v>
      </c>
      <c r="B469">
        <v>1992</v>
      </c>
      <c r="C469" t="s">
        <v>39</v>
      </c>
      <c r="D469">
        <v>218.18239149999999</v>
      </c>
      <c r="E469">
        <v>2.6978707819999999</v>
      </c>
      <c r="F469">
        <v>0.37065591199999998</v>
      </c>
      <c r="G469">
        <v>214.9159166</v>
      </c>
      <c r="H469">
        <v>80.872068810000002</v>
      </c>
      <c r="I469">
        <v>13.87675462</v>
      </c>
      <c r="J469">
        <v>7.1851442299999997</v>
      </c>
      <c r="K469">
        <v>52.701000000000001</v>
      </c>
      <c r="L469">
        <v>47.262999999999998</v>
      </c>
      <c r="M469">
        <v>27.577034980000001</v>
      </c>
      <c r="N469">
        <v>27.19299315</v>
      </c>
      <c r="O469">
        <v>0.13738831200000001</v>
      </c>
      <c r="P469">
        <v>68.676000000000002</v>
      </c>
      <c r="Q469">
        <v>59.203000000000003</v>
      </c>
      <c r="R469">
        <v>1.331</v>
      </c>
      <c r="S469">
        <v>0</v>
      </c>
      <c r="T469">
        <v>186.53</v>
      </c>
      <c r="U469">
        <v>0.67700000000000005</v>
      </c>
      <c r="V469" s="1" t="str">
        <f>IF(Energy_data_1990___2020[[#This Row],[CO2 emissions from fuel combustion (MtCO2)]]&gt;Energy_data_1990___2020[[#Totals],[CO2 emissions from fuel combustion (MtCO2)]],"Above Average","")</f>
        <v/>
      </c>
      <c r="W469" s="1">
        <f>SUM(Energy_data_1990___2020[[#This Row],[Coal and lignite production (Mt)]]-Energy_data_1990___2020[[#This Row],[Coal and lignite domestic consumption (Mt)]])</f>
        <v>-0.65399999999999991</v>
      </c>
    </row>
    <row r="470" spans="1:23">
      <c r="A470" t="s">
        <v>44</v>
      </c>
      <c r="B470">
        <v>1993</v>
      </c>
      <c r="C470" t="s">
        <v>39</v>
      </c>
      <c r="D470">
        <v>219.6433122</v>
      </c>
      <c r="E470">
        <v>2.5225308040000001</v>
      </c>
      <c r="F470">
        <v>0.36929709300000002</v>
      </c>
      <c r="G470">
        <v>227.86490979999999</v>
      </c>
      <c r="H470">
        <v>87.07259861</v>
      </c>
      <c r="I470">
        <v>12.89039945</v>
      </c>
      <c r="J470">
        <v>7.8343769500000002</v>
      </c>
      <c r="K470">
        <v>52.668999999999997</v>
      </c>
      <c r="L470">
        <v>53.798999999999999</v>
      </c>
      <c r="M470">
        <v>31.347011890000001</v>
      </c>
      <c r="N470">
        <v>31.418004880000002</v>
      </c>
      <c r="O470">
        <v>0.14639943799999999</v>
      </c>
      <c r="P470">
        <v>76.203999999999994</v>
      </c>
      <c r="Q470">
        <v>63.094999999999999</v>
      </c>
      <c r="R470">
        <v>1.645</v>
      </c>
      <c r="S470">
        <v>0</v>
      </c>
      <c r="T470">
        <v>195.774</v>
      </c>
      <c r="U470">
        <v>1.1339999999999999</v>
      </c>
      <c r="V470" s="1" t="str">
        <f>IF(Energy_data_1990___2020[[#This Row],[CO2 emissions from fuel combustion (MtCO2)]]&gt;Energy_data_1990___2020[[#Totals],[CO2 emissions from fuel combustion (MtCO2)]],"Above Average","")</f>
        <v/>
      </c>
      <c r="W470" s="1">
        <f>SUM(Energy_data_1990___2020[[#This Row],[Coal and lignite production (Mt)]]-Energy_data_1990___2020[[#This Row],[Coal and lignite domestic consumption (Mt)]])</f>
        <v>-0.51100000000000012</v>
      </c>
    </row>
    <row r="471" spans="1:23">
      <c r="A471" t="s">
        <v>44</v>
      </c>
      <c r="B471">
        <v>1994</v>
      </c>
      <c r="C471" t="s">
        <v>39</v>
      </c>
      <c r="D471">
        <v>248.8075892</v>
      </c>
      <c r="E471">
        <v>2.5737724320000002</v>
      </c>
      <c r="F471">
        <v>0.42475293800000002</v>
      </c>
      <c r="G471">
        <v>231.34081169999999</v>
      </c>
      <c r="H471">
        <v>96.670391710000004</v>
      </c>
      <c r="I471">
        <v>9.0927965999999998</v>
      </c>
      <c r="J471">
        <v>7.2922228069999999</v>
      </c>
      <c r="K471">
        <v>57.042999999999999</v>
      </c>
      <c r="L471">
        <v>60.033000000000001</v>
      </c>
      <c r="M471">
        <v>37.988997869999999</v>
      </c>
      <c r="N471">
        <v>37.991996139999998</v>
      </c>
      <c r="O471">
        <v>0.16503127200000001</v>
      </c>
      <c r="P471">
        <v>81.878</v>
      </c>
      <c r="Q471">
        <v>66.521000000000001</v>
      </c>
      <c r="R471">
        <v>1.653</v>
      </c>
      <c r="S471">
        <v>0</v>
      </c>
      <c r="T471">
        <v>193.86099999999999</v>
      </c>
      <c r="U471">
        <v>1.1120000000000001</v>
      </c>
      <c r="V471" s="1" t="str">
        <f>IF(Energy_data_1990___2020[[#This Row],[CO2 emissions from fuel combustion (MtCO2)]]&gt;Energy_data_1990___2020[[#Totals],[CO2 emissions from fuel combustion (MtCO2)]],"Above Average","")</f>
        <v/>
      </c>
      <c r="W471" s="1">
        <f>SUM(Energy_data_1990___2020[[#This Row],[Coal and lignite production (Mt)]]-Energy_data_1990___2020[[#This Row],[Coal and lignite domestic consumption (Mt)]])</f>
        <v>-0.54099999999999993</v>
      </c>
    </row>
    <row r="472" spans="1:23">
      <c r="A472" t="s">
        <v>44</v>
      </c>
      <c r="B472">
        <v>1995</v>
      </c>
      <c r="C472" t="s">
        <v>39</v>
      </c>
      <c r="D472">
        <v>254.7476853</v>
      </c>
      <c r="E472">
        <v>2.517901223</v>
      </c>
      <c r="F472">
        <v>0.42518799800000001</v>
      </c>
      <c r="G472">
        <v>237.66588419999999</v>
      </c>
      <c r="H472">
        <v>101.1746144</v>
      </c>
      <c r="I472">
        <v>8.5760346429999998</v>
      </c>
      <c r="J472">
        <v>7.4194007519999996</v>
      </c>
      <c r="K472">
        <v>56.113999999999997</v>
      </c>
      <c r="L472">
        <v>61.427999999999997</v>
      </c>
      <c r="M472">
        <v>42.13499848</v>
      </c>
      <c r="N472">
        <v>42.210006100000001</v>
      </c>
      <c r="O472">
        <v>0.168866036</v>
      </c>
      <c r="P472">
        <v>84.980999999999995</v>
      </c>
      <c r="Q472">
        <v>68.843000000000004</v>
      </c>
      <c r="R472">
        <v>1.546</v>
      </c>
      <c r="S472">
        <v>0</v>
      </c>
      <c r="T472">
        <v>196.67400000000001</v>
      </c>
      <c r="U472">
        <v>1.0840000000000001</v>
      </c>
      <c r="V472" s="1" t="str">
        <f>IF(Energy_data_1990___2020[[#This Row],[CO2 emissions from fuel combustion (MtCO2)]]&gt;Energy_data_1990___2020[[#Totals],[CO2 emissions from fuel combustion (MtCO2)]],"Above Average","")</f>
        <v/>
      </c>
      <c r="W472" s="1">
        <f>SUM(Energy_data_1990___2020[[#This Row],[Coal and lignite production (Mt)]]-Energy_data_1990___2020[[#This Row],[Coal and lignite domestic consumption (Mt)]])</f>
        <v>-0.46199999999999997</v>
      </c>
    </row>
    <row r="473" spans="1:23">
      <c r="A473" t="s">
        <v>44</v>
      </c>
      <c r="B473">
        <v>1996</v>
      </c>
      <c r="C473" t="s">
        <v>39</v>
      </c>
      <c r="D473">
        <v>262.16418390000001</v>
      </c>
      <c r="E473">
        <v>2.6862338120000002</v>
      </c>
      <c r="F473">
        <v>0.41604343799999999</v>
      </c>
      <c r="G473">
        <v>235.24359319999999</v>
      </c>
      <c r="H473">
        <v>97.595444869999994</v>
      </c>
      <c r="I473">
        <v>8.134966489</v>
      </c>
      <c r="J473">
        <v>7.8456365850000003</v>
      </c>
      <c r="K473">
        <v>59.216000000000001</v>
      </c>
      <c r="L473">
        <v>64.759</v>
      </c>
      <c r="M473">
        <v>41.965011689999997</v>
      </c>
      <c r="N473">
        <v>41.932005289999999</v>
      </c>
      <c r="O473">
        <v>0.154879831</v>
      </c>
      <c r="P473">
        <v>90.867000000000004</v>
      </c>
      <c r="Q473">
        <v>75.081000000000003</v>
      </c>
      <c r="R473">
        <v>1.6220000000000001</v>
      </c>
      <c r="S473">
        <v>0</v>
      </c>
      <c r="T473">
        <v>194.47</v>
      </c>
      <c r="U473">
        <v>1.02</v>
      </c>
      <c r="V473" s="1" t="str">
        <f>IF(Energy_data_1990___2020[[#This Row],[CO2 emissions from fuel combustion (MtCO2)]]&gt;Energy_data_1990___2020[[#Totals],[CO2 emissions from fuel combustion (MtCO2)]],"Above Average","")</f>
        <v/>
      </c>
      <c r="W473" s="1">
        <f>SUM(Energy_data_1990___2020[[#This Row],[Coal and lignite production (Mt)]]-Energy_data_1990___2020[[#This Row],[Coal and lignite domestic consumption (Mt)]])</f>
        <v>-0.60200000000000009</v>
      </c>
    </row>
    <row r="474" spans="1:23">
      <c r="A474" t="s">
        <v>44</v>
      </c>
      <c r="B474">
        <v>1997</v>
      </c>
      <c r="C474" t="s">
        <v>39</v>
      </c>
      <c r="D474">
        <v>276.55883849999998</v>
      </c>
      <c r="E474">
        <v>2.531834967</v>
      </c>
      <c r="F474">
        <v>0.43678165200000002</v>
      </c>
      <c r="G474">
        <v>237.98029349999999</v>
      </c>
      <c r="H474">
        <v>109.23256929999999</v>
      </c>
      <c r="I474">
        <v>7.0874034669999997</v>
      </c>
      <c r="J474">
        <v>7.8246885820000003</v>
      </c>
      <c r="K474">
        <v>60.323</v>
      </c>
      <c r="L474">
        <v>69.445999999999998</v>
      </c>
      <c r="M474">
        <v>46.564996440000002</v>
      </c>
      <c r="N474">
        <v>46.744003460000002</v>
      </c>
      <c r="O474">
        <v>0.172515846</v>
      </c>
      <c r="P474">
        <v>97.765000000000001</v>
      </c>
      <c r="Q474">
        <v>79.313999999999993</v>
      </c>
      <c r="R474">
        <v>1.66</v>
      </c>
      <c r="S474">
        <v>0</v>
      </c>
      <c r="T474">
        <v>193.43100000000001</v>
      </c>
      <c r="U474">
        <v>0.97599999999999998</v>
      </c>
      <c r="V474" s="1" t="str">
        <f>IF(Energy_data_1990___2020[[#This Row],[CO2 emissions from fuel combustion (MtCO2)]]&gt;Energy_data_1990___2020[[#Totals],[CO2 emissions from fuel combustion (MtCO2)]],"Above Average","")</f>
        <v/>
      </c>
      <c r="W474" s="1">
        <f>SUM(Energy_data_1990___2020[[#This Row],[Coal and lignite production (Mt)]]-Energy_data_1990___2020[[#This Row],[Coal and lignite domestic consumption (Mt)]])</f>
        <v>-0.68399999999999994</v>
      </c>
    </row>
    <row r="475" spans="1:23">
      <c r="A475" t="s">
        <v>44</v>
      </c>
      <c r="B475">
        <v>1998</v>
      </c>
      <c r="C475" t="s">
        <v>39</v>
      </c>
      <c r="D475">
        <v>280.10392780000001</v>
      </c>
      <c r="E475">
        <v>2.5179560269999999</v>
      </c>
      <c r="F475">
        <v>0.43295164800000002</v>
      </c>
      <c r="G475">
        <v>241.21241409999999</v>
      </c>
      <c r="H475">
        <v>111.2425812</v>
      </c>
      <c r="I475">
        <v>6.8042990799999998</v>
      </c>
      <c r="J475">
        <v>8.0539589889999998</v>
      </c>
      <c r="K475">
        <v>59.493000000000002</v>
      </c>
      <c r="L475">
        <v>72.92</v>
      </c>
      <c r="M475">
        <v>49.092997259999997</v>
      </c>
      <c r="N475">
        <v>50.816012809999997</v>
      </c>
      <c r="O475">
        <v>0.17194567499999999</v>
      </c>
      <c r="P475">
        <v>103.464</v>
      </c>
      <c r="Q475">
        <v>83.838999999999999</v>
      </c>
      <c r="R475">
        <v>1.9330000000000001</v>
      </c>
      <c r="S475">
        <v>0</v>
      </c>
      <c r="T475">
        <v>194.376</v>
      </c>
      <c r="U475">
        <v>1.23</v>
      </c>
      <c r="V475" s="1" t="str">
        <f>IF(Energy_data_1990___2020[[#This Row],[CO2 emissions from fuel combustion (MtCO2)]]&gt;Energy_data_1990___2020[[#Totals],[CO2 emissions from fuel combustion (MtCO2)]],"Above Average","")</f>
        <v/>
      </c>
      <c r="W475" s="1">
        <f>SUM(Energy_data_1990___2020[[#This Row],[Coal and lignite production (Mt)]]-Energy_data_1990___2020[[#This Row],[Coal and lignite domestic consumption (Mt)]])</f>
        <v>-0.70300000000000007</v>
      </c>
    </row>
    <row r="476" spans="1:23">
      <c r="A476" t="s">
        <v>44</v>
      </c>
      <c r="B476">
        <v>1999</v>
      </c>
      <c r="C476" t="s">
        <v>39</v>
      </c>
      <c r="D476">
        <v>305.92588799999999</v>
      </c>
      <c r="E476">
        <v>2.4239940639999999</v>
      </c>
      <c r="F476">
        <v>0.46885334499999998</v>
      </c>
      <c r="G476">
        <v>244.34740099999999</v>
      </c>
      <c r="H476">
        <v>126.20735860000001</v>
      </c>
      <c r="I476">
        <v>4.4409135700000002</v>
      </c>
      <c r="J476">
        <v>8.4615475819999997</v>
      </c>
      <c r="K476">
        <v>62.936</v>
      </c>
      <c r="L476">
        <v>79.765000000000001</v>
      </c>
      <c r="M476">
        <v>56.921018799999999</v>
      </c>
      <c r="N476">
        <v>59.067962199999997</v>
      </c>
      <c r="O476">
        <v>0.19342182099999999</v>
      </c>
      <c r="P476">
        <v>112.657</v>
      </c>
      <c r="Q476">
        <v>90.105000000000004</v>
      </c>
      <c r="R476">
        <v>1.7934943649999999</v>
      </c>
      <c r="S476">
        <v>3.1067754E-2</v>
      </c>
      <c r="T476">
        <v>191.27699999999999</v>
      </c>
      <c r="U476">
        <v>1.04</v>
      </c>
      <c r="V476" s="1" t="str">
        <f>IF(Energy_data_1990___2020[[#This Row],[CO2 emissions from fuel combustion (MtCO2)]]&gt;Energy_data_1990___2020[[#Totals],[CO2 emissions from fuel combustion (MtCO2)]],"Above Average","")</f>
        <v/>
      </c>
      <c r="W476" s="1">
        <f>SUM(Energy_data_1990___2020[[#This Row],[Coal and lignite production (Mt)]]-Energy_data_1990___2020[[#This Row],[Coal and lignite domestic consumption (Mt)]])</f>
        <v>-0.75349436499999989</v>
      </c>
    </row>
    <row r="477" spans="1:23">
      <c r="A477" t="s">
        <v>44</v>
      </c>
      <c r="B477">
        <v>2000</v>
      </c>
      <c r="C477" t="s">
        <v>39</v>
      </c>
      <c r="D477">
        <v>320.06474209999999</v>
      </c>
      <c r="E477">
        <v>2.602012293</v>
      </c>
      <c r="F477">
        <v>0.46337720700000001</v>
      </c>
      <c r="G477">
        <v>253.66737599999999</v>
      </c>
      <c r="H477">
        <v>123.0066218</v>
      </c>
      <c r="I477">
        <v>3.0490266350000002</v>
      </c>
      <c r="J477">
        <v>8.5781945900000007</v>
      </c>
      <c r="K477">
        <v>64.858999999999995</v>
      </c>
      <c r="L477">
        <v>78.808000000000007</v>
      </c>
      <c r="M477">
        <v>58.927053239999999</v>
      </c>
      <c r="N477">
        <v>62.238955390000001</v>
      </c>
      <c r="O477">
        <v>0.17808417300000001</v>
      </c>
      <c r="P477">
        <v>121.383</v>
      </c>
      <c r="Q477">
        <v>96.042000000000002</v>
      </c>
      <c r="R477">
        <v>1.912569336</v>
      </c>
      <c r="S477">
        <v>3.0482028000000001E-2</v>
      </c>
      <c r="T477">
        <v>198.822</v>
      </c>
      <c r="U477">
        <v>1.1479999999999999</v>
      </c>
      <c r="V477" s="1" t="str">
        <f>IF(Energy_data_1990___2020[[#This Row],[CO2 emissions from fuel combustion (MtCO2)]]&gt;Energy_data_1990___2020[[#Totals],[CO2 emissions from fuel combustion (MtCO2)]],"Above Average","")</f>
        <v/>
      </c>
      <c r="W477" s="1">
        <f>SUM(Energy_data_1990___2020[[#This Row],[Coal and lignite production (Mt)]]-Energy_data_1990___2020[[#This Row],[Coal and lignite domestic consumption (Mt)]])</f>
        <v>-0.7645693360000001</v>
      </c>
    </row>
    <row r="478" spans="1:23">
      <c r="A478" t="s">
        <v>44</v>
      </c>
      <c r="B478">
        <v>2001</v>
      </c>
      <c r="C478" t="s">
        <v>39</v>
      </c>
      <c r="D478">
        <v>335.43718940000002</v>
      </c>
      <c r="E478">
        <v>2.5132072590000001</v>
      </c>
      <c r="F478">
        <v>0.48188072399999998</v>
      </c>
      <c r="G478">
        <v>248.37134180000001</v>
      </c>
      <c r="H478">
        <v>133.4697678</v>
      </c>
      <c r="I478">
        <v>3.9255293820000001</v>
      </c>
      <c r="J478">
        <v>8.7631480390000007</v>
      </c>
      <c r="K478">
        <v>68.16</v>
      </c>
      <c r="L478">
        <v>79.626999999999995</v>
      </c>
      <c r="M478">
        <v>61.777984439999997</v>
      </c>
      <c r="N478">
        <v>66.13997286</v>
      </c>
      <c r="O478">
        <v>0.191739349</v>
      </c>
      <c r="P478">
        <v>130.19900000000001</v>
      </c>
      <c r="Q478">
        <v>102.914</v>
      </c>
      <c r="R478">
        <v>1.8808000760000001</v>
      </c>
      <c r="S478">
        <v>2.6113872E-2</v>
      </c>
      <c r="T478">
        <v>191.173</v>
      </c>
      <c r="U478">
        <v>1.1140000000000001</v>
      </c>
      <c r="V478" s="1" t="str">
        <f>IF(Energy_data_1990___2020[[#This Row],[CO2 emissions from fuel combustion (MtCO2)]]&gt;Energy_data_1990___2020[[#Totals],[CO2 emissions from fuel combustion (MtCO2)]],"Above Average","")</f>
        <v/>
      </c>
      <c r="W478" s="1">
        <f>SUM(Energy_data_1990___2020[[#This Row],[Coal and lignite production (Mt)]]-Energy_data_1990___2020[[#This Row],[Coal and lignite domestic consumption (Mt)]])</f>
        <v>-0.766800076</v>
      </c>
    </row>
    <row r="479" spans="1:23">
      <c r="A479" t="s">
        <v>44</v>
      </c>
      <c r="B479">
        <v>2002</v>
      </c>
      <c r="C479" t="s">
        <v>39</v>
      </c>
      <c r="D479">
        <v>350.71575639999998</v>
      </c>
      <c r="E479">
        <v>2.5403278380000001</v>
      </c>
      <c r="F479">
        <v>0.469703021</v>
      </c>
      <c r="G479">
        <v>253.9913506</v>
      </c>
      <c r="H479">
        <v>138.05925010000001</v>
      </c>
      <c r="I479">
        <v>5.7520148000000004</v>
      </c>
      <c r="J479">
        <v>9.0707533750000007</v>
      </c>
      <c r="K479">
        <v>66.921999999999997</v>
      </c>
      <c r="L479">
        <v>79.225999999999999</v>
      </c>
      <c r="M479">
        <v>70.289028360000003</v>
      </c>
      <c r="N479">
        <v>74.485056839999999</v>
      </c>
      <c r="O479">
        <v>0.184898584</v>
      </c>
      <c r="P479">
        <v>141.08099999999999</v>
      </c>
      <c r="Q479">
        <v>110.833</v>
      </c>
      <c r="R479">
        <v>1.792152687</v>
      </c>
      <c r="S479">
        <v>2.1264379999999999E-2</v>
      </c>
      <c r="T479">
        <v>189.458</v>
      </c>
      <c r="U479">
        <v>1.032</v>
      </c>
      <c r="V479" s="1" t="str">
        <f>IF(Energy_data_1990___2020[[#This Row],[CO2 emissions from fuel combustion (MtCO2)]]&gt;Energy_data_1990___2020[[#Totals],[CO2 emissions from fuel combustion (MtCO2)]],"Above Average","")</f>
        <v/>
      </c>
      <c r="W479" s="1">
        <f>SUM(Energy_data_1990___2020[[#This Row],[Coal and lignite production (Mt)]]-Energy_data_1990___2020[[#This Row],[Coal and lignite domestic consumption (Mt)]])</f>
        <v>-0.76015268699999994</v>
      </c>
    </row>
    <row r="480" spans="1:23">
      <c r="A480" t="s">
        <v>44</v>
      </c>
      <c r="B480">
        <v>2003</v>
      </c>
      <c r="C480" t="s">
        <v>39</v>
      </c>
      <c r="D480">
        <v>365.5547722</v>
      </c>
      <c r="E480">
        <v>2.5622714169999998</v>
      </c>
      <c r="F480">
        <v>0.45024908000000002</v>
      </c>
      <c r="G480">
        <v>281.16711249999997</v>
      </c>
      <c r="H480">
        <v>142.66824729999999</v>
      </c>
      <c r="I480">
        <v>7.2297534409999997</v>
      </c>
      <c r="J480">
        <v>9.4747673020000001</v>
      </c>
      <c r="K480">
        <v>66.507000000000005</v>
      </c>
      <c r="L480">
        <v>79.756</v>
      </c>
      <c r="M480">
        <v>79.535063359999995</v>
      </c>
      <c r="N480">
        <v>82.09693034</v>
      </c>
      <c r="O480">
        <v>0.17572263299999999</v>
      </c>
      <c r="P480">
        <v>153.87799999999999</v>
      </c>
      <c r="Q480">
        <v>121.645</v>
      </c>
      <c r="R480">
        <v>1.9508688839999999</v>
      </c>
      <c r="S480">
        <v>1.7546368E-2</v>
      </c>
      <c r="T480">
        <v>208.14500000000001</v>
      </c>
      <c r="U480">
        <v>1.143</v>
      </c>
      <c r="V480" s="1" t="str">
        <f>IF(Energy_data_1990___2020[[#This Row],[CO2 emissions from fuel combustion (MtCO2)]]&gt;Energy_data_1990___2020[[#Totals],[CO2 emissions from fuel combustion (MtCO2)]],"Above Average","")</f>
        <v/>
      </c>
      <c r="W480" s="1">
        <f>SUM(Energy_data_1990___2020[[#This Row],[Coal and lignite production (Mt)]]-Energy_data_1990___2020[[#This Row],[Coal and lignite domestic consumption (Mt)]])</f>
        <v>-0.8078688839999999</v>
      </c>
    </row>
    <row r="481" spans="1:23">
      <c r="A481" t="s">
        <v>44</v>
      </c>
      <c r="B481">
        <v>2004</v>
      </c>
      <c r="C481" t="s">
        <v>39</v>
      </c>
      <c r="D481">
        <v>394.90440960000001</v>
      </c>
      <c r="E481">
        <v>2.5381105960000001</v>
      </c>
      <c r="F481">
        <v>0.46601287200000002</v>
      </c>
      <c r="G481">
        <v>292.69261069999999</v>
      </c>
      <c r="H481">
        <v>155.58991409999999</v>
      </c>
      <c r="I481">
        <v>6.394756707</v>
      </c>
      <c r="J481">
        <v>9.4408958359999993</v>
      </c>
      <c r="K481">
        <v>70.052999999999997</v>
      </c>
      <c r="L481">
        <v>81.326999999999998</v>
      </c>
      <c r="M481">
        <v>90.059076279999999</v>
      </c>
      <c r="N481">
        <v>92.591066170000005</v>
      </c>
      <c r="O481">
        <v>0.18360621199999999</v>
      </c>
      <c r="P481">
        <v>166.91800000000001</v>
      </c>
      <c r="Q481">
        <v>131.19</v>
      </c>
      <c r="R481">
        <v>2.0371023680000002</v>
      </c>
      <c r="S481">
        <v>2.8157537999999999E-2</v>
      </c>
      <c r="T481">
        <v>210.72</v>
      </c>
      <c r="U481">
        <v>1.224</v>
      </c>
      <c r="V481" s="1" t="str">
        <f>IF(Energy_data_1990___2020[[#This Row],[CO2 emissions from fuel combustion (MtCO2)]]&gt;Energy_data_1990___2020[[#Totals],[CO2 emissions from fuel combustion (MtCO2)]],"Above Average","")</f>
        <v/>
      </c>
      <c r="W481" s="1">
        <f>SUM(Energy_data_1990___2020[[#This Row],[Coal and lignite production (Mt)]]-Energy_data_1990___2020[[#This Row],[Coal and lignite domestic consumption (Mt)]])</f>
        <v>-0.81310236800000024</v>
      </c>
    </row>
    <row r="482" spans="1:23">
      <c r="A482" t="s">
        <v>44</v>
      </c>
      <c r="B482">
        <v>2005</v>
      </c>
      <c r="C482" t="s">
        <v>39</v>
      </c>
      <c r="D482">
        <v>427.02379969999998</v>
      </c>
      <c r="E482">
        <v>2.4729423599999998</v>
      </c>
      <c r="F482">
        <v>0.48833879000000002</v>
      </c>
      <c r="G482">
        <v>310.67494699999997</v>
      </c>
      <c r="H482">
        <v>172.67842820000001</v>
      </c>
      <c r="I482">
        <v>9.0803423030000001</v>
      </c>
      <c r="J482">
        <v>9.1923152889999997</v>
      </c>
      <c r="K482">
        <v>75.406000000000006</v>
      </c>
      <c r="L482">
        <v>83.506</v>
      </c>
      <c r="M482">
        <v>98.657053559999994</v>
      </c>
      <c r="N482">
        <v>99.096914839999997</v>
      </c>
      <c r="O482">
        <v>0.19747277499999999</v>
      </c>
      <c r="P482">
        <v>178.08799999999999</v>
      </c>
      <c r="Q482">
        <v>137.25</v>
      </c>
      <c r="R482">
        <v>2.3535142050000002</v>
      </c>
      <c r="S482">
        <v>3.9867930000000003E-2</v>
      </c>
      <c r="T482">
        <v>220.078</v>
      </c>
      <c r="U482">
        <v>1.556</v>
      </c>
      <c r="V482" s="1" t="str">
        <f>IF(Energy_data_1990___2020[[#This Row],[CO2 emissions from fuel combustion (MtCO2)]]&gt;Energy_data_1990___2020[[#Totals],[CO2 emissions from fuel combustion (MtCO2)]],"Above Average","")</f>
        <v/>
      </c>
      <c r="W482" s="1">
        <f>SUM(Energy_data_1990___2020[[#This Row],[Coal and lignite production (Mt)]]-Energy_data_1990___2020[[#This Row],[Coal and lignite domestic consumption (Mt)]])</f>
        <v>-0.79751420500000014</v>
      </c>
    </row>
    <row r="483" spans="1:23">
      <c r="A483" t="s">
        <v>44</v>
      </c>
      <c r="B483">
        <v>2006</v>
      </c>
      <c r="C483" t="s">
        <v>39</v>
      </c>
      <c r="D483">
        <v>460.32082109999999</v>
      </c>
      <c r="E483">
        <v>2.5505818150000001</v>
      </c>
      <c r="F483">
        <v>0.50135033399999995</v>
      </c>
      <c r="G483">
        <v>322.7431876</v>
      </c>
      <c r="H483">
        <v>180.47679099999999</v>
      </c>
      <c r="I483">
        <v>9.5447421139999999</v>
      </c>
      <c r="J483">
        <v>8.9951347669999997</v>
      </c>
      <c r="K483">
        <v>83.882000000000005</v>
      </c>
      <c r="L483">
        <v>86.68</v>
      </c>
      <c r="M483">
        <v>108.5908665</v>
      </c>
      <c r="N483">
        <v>109.149886</v>
      </c>
      <c r="O483">
        <v>0.196563126</v>
      </c>
      <c r="P483">
        <v>192.68199999999999</v>
      </c>
      <c r="Q483">
        <v>148.685</v>
      </c>
      <c r="R483">
        <v>2.2783214570000001</v>
      </c>
      <c r="S483">
        <v>6.4873730000000004E-2</v>
      </c>
      <c r="T483">
        <v>223.43199999999999</v>
      </c>
      <c r="U483">
        <v>1.651</v>
      </c>
      <c r="V483" s="1" t="str">
        <f>IF(Energy_data_1990___2020[[#This Row],[CO2 emissions from fuel combustion (MtCO2)]]&gt;Energy_data_1990___2020[[#Totals],[CO2 emissions from fuel combustion (MtCO2)]],"Above Average","")</f>
        <v/>
      </c>
      <c r="W483" s="1">
        <f>SUM(Energy_data_1990___2020[[#This Row],[Coal and lignite production (Mt)]]-Energy_data_1990___2020[[#This Row],[Coal and lignite domestic consumption (Mt)]])</f>
        <v>-0.62732145700000008</v>
      </c>
    </row>
    <row r="484" spans="1:23">
      <c r="A484" t="s">
        <v>44</v>
      </c>
      <c r="B484">
        <v>2007</v>
      </c>
      <c r="C484" t="s">
        <v>39</v>
      </c>
      <c r="D484">
        <v>492.6318311</v>
      </c>
      <c r="E484">
        <v>2.579571751</v>
      </c>
      <c r="F484">
        <v>0.49608197999999998</v>
      </c>
      <c r="G484">
        <v>337.39831529999998</v>
      </c>
      <c r="H484">
        <v>190.97426960000001</v>
      </c>
      <c r="I484">
        <v>8.887864853</v>
      </c>
      <c r="J484">
        <v>8.7509699570000006</v>
      </c>
      <c r="K484">
        <v>85.76</v>
      </c>
      <c r="L484">
        <v>87.173000000000002</v>
      </c>
      <c r="M484">
        <v>122.6319307</v>
      </c>
      <c r="N484">
        <v>123.21596</v>
      </c>
      <c r="O484">
        <v>0.192311759</v>
      </c>
      <c r="P484">
        <v>203.98599999999999</v>
      </c>
      <c r="Q484">
        <v>156.524</v>
      </c>
      <c r="R484">
        <v>2.3925210429999999</v>
      </c>
      <c r="S484">
        <v>7.0102849999999994E-2</v>
      </c>
      <c r="T484">
        <v>226.14</v>
      </c>
      <c r="U484">
        <v>1.665</v>
      </c>
      <c r="V484" s="1" t="str">
        <f>IF(Energy_data_1990___2020[[#This Row],[CO2 emissions from fuel combustion (MtCO2)]]&gt;Energy_data_1990___2020[[#Totals],[CO2 emissions from fuel combustion (MtCO2)]],"Above Average","")</f>
        <v/>
      </c>
      <c r="W484" s="1">
        <f>SUM(Energy_data_1990___2020[[#This Row],[Coal and lignite production (Mt)]]-Energy_data_1990___2020[[#This Row],[Coal and lignite domestic consumption (Mt)]])</f>
        <v>-0.72752104299999987</v>
      </c>
    </row>
    <row r="485" spans="1:23">
      <c r="A485" t="s">
        <v>44</v>
      </c>
      <c r="B485">
        <v>2008</v>
      </c>
      <c r="C485" t="s">
        <v>39</v>
      </c>
      <c r="D485">
        <v>501.95723349999997</v>
      </c>
      <c r="E485">
        <v>2.4526837889999999</v>
      </c>
      <c r="F485">
        <v>0.50420785499999998</v>
      </c>
      <c r="G485">
        <v>337.77813739999999</v>
      </c>
      <c r="H485">
        <v>204.656318</v>
      </c>
      <c r="I485">
        <v>2.423437281</v>
      </c>
      <c r="J485">
        <v>9.2442502690000001</v>
      </c>
      <c r="K485">
        <v>85.543999999999997</v>
      </c>
      <c r="L485">
        <v>87.628</v>
      </c>
      <c r="M485">
        <v>127.68401849999999</v>
      </c>
      <c r="N485">
        <v>130.18408880000001</v>
      </c>
      <c r="O485">
        <v>0.20557393400000001</v>
      </c>
      <c r="P485">
        <v>214.53</v>
      </c>
      <c r="Q485">
        <v>166.179</v>
      </c>
      <c r="R485">
        <v>1.8002971409999999</v>
      </c>
      <c r="S485">
        <v>9.1362513000000006E-2</v>
      </c>
      <c r="T485">
        <v>223.43700000000001</v>
      </c>
      <c r="U485">
        <v>1.59</v>
      </c>
      <c r="V485" s="1" t="str">
        <f>IF(Energy_data_1990___2020[[#This Row],[CO2 emissions from fuel combustion (MtCO2)]]&gt;Energy_data_1990___2020[[#Totals],[CO2 emissions from fuel combustion (MtCO2)]],"Above Average","")</f>
        <v/>
      </c>
      <c r="W485" s="1">
        <f>SUM(Energy_data_1990___2020[[#This Row],[Coal and lignite production (Mt)]]-Energy_data_1990___2020[[#This Row],[Coal and lignite domestic consumption (Mt)]])</f>
        <v>-0.21029714099999985</v>
      </c>
    </row>
    <row r="486" spans="1:23">
      <c r="A486" t="s">
        <v>44</v>
      </c>
      <c r="B486">
        <v>2009</v>
      </c>
      <c r="C486" t="s">
        <v>39</v>
      </c>
      <c r="D486">
        <v>521.07366190000005</v>
      </c>
      <c r="E486">
        <v>2.5509860729999998</v>
      </c>
      <c r="F486">
        <v>0.51818982599999996</v>
      </c>
      <c r="G486">
        <v>334.18985350000003</v>
      </c>
      <c r="H486">
        <v>204.26362470000001</v>
      </c>
      <c r="I486">
        <v>3.3699236570000002</v>
      </c>
      <c r="J486">
        <v>9.2262887459999998</v>
      </c>
      <c r="K486">
        <v>87.210999999999999</v>
      </c>
      <c r="L486">
        <v>89.302999999999997</v>
      </c>
      <c r="M486">
        <v>137.41386979999999</v>
      </c>
      <c r="N486">
        <v>136.4910979</v>
      </c>
      <c r="O486">
        <v>0.20313314599999999</v>
      </c>
      <c r="P486">
        <v>221.37</v>
      </c>
      <c r="Q486">
        <v>174.054</v>
      </c>
      <c r="R486">
        <v>2.022034235</v>
      </c>
      <c r="S486">
        <v>0.10163978899999999</v>
      </c>
      <c r="T486">
        <v>211.92699999999999</v>
      </c>
      <c r="U486">
        <v>1.1519999999999999</v>
      </c>
      <c r="V486" s="1" t="str">
        <f>IF(Energy_data_1990___2020[[#This Row],[CO2 emissions from fuel combustion (MtCO2)]]&gt;Energy_data_1990___2020[[#Totals],[CO2 emissions from fuel combustion (MtCO2)]],"Above Average","")</f>
        <v/>
      </c>
      <c r="W486" s="1">
        <f>SUM(Energy_data_1990___2020[[#This Row],[Coal and lignite production (Mt)]]-Energy_data_1990___2020[[#This Row],[Coal and lignite domestic consumption (Mt)]])</f>
        <v>-0.8700342350000001</v>
      </c>
    </row>
    <row r="487" spans="1:23">
      <c r="A487" t="s">
        <v>44</v>
      </c>
      <c r="B487">
        <v>2010</v>
      </c>
      <c r="C487" t="s">
        <v>39</v>
      </c>
      <c r="D487">
        <v>515.24730629999999</v>
      </c>
      <c r="E487">
        <v>2.5217532880000002</v>
      </c>
      <c r="F487">
        <v>0.484315408</v>
      </c>
      <c r="G487">
        <v>342.27655010000001</v>
      </c>
      <c r="H487">
        <v>204.32106060000001</v>
      </c>
      <c r="I487">
        <v>4.1633935590000002</v>
      </c>
      <c r="J487">
        <v>10.153136440000001</v>
      </c>
      <c r="K487">
        <v>77.209999999999994</v>
      </c>
      <c r="L487">
        <v>88.518000000000001</v>
      </c>
      <c r="M487">
        <v>143.87708069999999</v>
      </c>
      <c r="N487">
        <v>144.42012800000001</v>
      </c>
      <c r="O487">
        <v>0.19205503199999999</v>
      </c>
      <c r="P487">
        <v>232.959</v>
      </c>
      <c r="Q487">
        <v>187.93100000000001</v>
      </c>
      <c r="R487">
        <v>1.9204580609999999</v>
      </c>
      <c r="S487">
        <v>6.9969394000000004E-2</v>
      </c>
      <c r="T487">
        <v>214.35499999999999</v>
      </c>
      <c r="U487">
        <v>1.089</v>
      </c>
      <c r="V487" s="1" t="str">
        <f>IF(Energy_data_1990___2020[[#This Row],[CO2 emissions from fuel combustion (MtCO2)]]&gt;Energy_data_1990___2020[[#Totals],[CO2 emissions from fuel combustion (MtCO2)]],"Above Average","")</f>
        <v/>
      </c>
      <c r="W487" s="1">
        <f>SUM(Energy_data_1990___2020[[#This Row],[Coal and lignite production (Mt)]]-Energy_data_1990___2020[[#This Row],[Coal and lignite domestic consumption (Mt)]])</f>
        <v>-0.83145806099999997</v>
      </c>
    </row>
    <row r="488" spans="1:23">
      <c r="A488" t="s">
        <v>44</v>
      </c>
      <c r="B488">
        <v>2011</v>
      </c>
      <c r="C488" t="s">
        <v>39</v>
      </c>
      <c r="D488">
        <v>531.29665469999998</v>
      </c>
      <c r="E488">
        <v>2.5499616129999998</v>
      </c>
      <c r="F488">
        <v>0.48652907699999998</v>
      </c>
      <c r="G488">
        <v>345.68895120000002</v>
      </c>
      <c r="H488">
        <v>208.3547658</v>
      </c>
      <c r="I488">
        <v>5.1226400950000004</v>
      </c>
      <c r="J488">
        <v>10.022665910000001</v>
      </c>
      <c r="K488">
        <v>76.218000000000004</v>
      </c>
      <c r="L488">
        <v>90.754000000000005</v>
      </c>
      <c r="M488">
        <v>150.38591220000001</v>
      </c>
      <c r="N488">
        <v>152.7810824</v>
      </c>
      <c r="O488">
        <v>0.19079858899999999</v>
      </c>
      <c r="P488">
        <v>240.05199999999999</v>
      </c>
      <c r="Q488">
        <v>191.45500000000001</v>
      </c>
      <c r="R488">
        <v>2.1247257799999999</v>
      </c>
      <c r="S488">
        <v>9.0397081000000004E-2</v>
      </c>
      <c r="T488">
        <v>212.059</v>
      </c>
      <c r="U488">
        <v>1.1639999999999999</v>
      </c>
      <c r="V488" s="1" t="str">
        <f>IF(Energy_data_1990___2020[[#This Row],[CO2 emissions from fuel combustion (MtCO2)]]&gt;Energy_data_1990___2020[[#Totals],[CO2 emissions from fuel combustion (MtCO2)]],"Above Average","")</f>
        <v/>
      </c>
      <c r="W488" s="1">
        <f>SUM(Energy_data_1990___2020[[#This Row],[Coal and lignite production (Mt)]]-Energy_data_1990___2020[[#This Row],[Coal and lignite domestic consumption (Mt)]])</f>
        <v>-0.96072577999999997</v>
      </c>
    </row>
    <row r="489" spans="1:23">
      <c r="A489" t="s">
        <v>44</v>
      </c>
      <c r="B489">
        <v>2012</v>
      </c>
      <c r="C489" t="s">
        <v>39</v>
      </c>
      <c r="D489">
        <v>538.06967099999997</v>
      </c>
      <c r="E489">
        <v>2.473882648</v>
      </c>
      <c r="F489">
        <v>0.53236349599999999</v>
      </c>
      <c r="G489">
        <v>297.42801580000003</v>
      </c>
      <c r="H489">
        <v>217.50007880000001</v>
      </c>
      <c r="I489">
        <v>4.9855275370000003</v>
      </c>
      <c r="J489">
        <v>10.454662799999999</v>
      </c>
      <c r="K489">
        <v>80.888000000000005</v>
      </c>
      <c r="L489">
        <v>93.284999999999997</v>
      </c>
      <c r="M489">
        <v>156.36492530000001</v>
      </c>
      <c r="N489">
        <v>151.7829855</v>
      </c>
      <c r="O489">
        <v>0.215193512</v>
      </c>
      <c r="P489">
        <v>254.27600000000001</v>
      </c>
      <c r="Q489">
        <v>201.55799999999999</v>
      </c>
      <c r="R489">
        <v>1.6806357380000001</v>
      </c>
      <c r="S489">
        <v>8.1407603999999995E-2</v>
      </c>
      <c r="T489">
        <v>159.393</v>
      </c>
      <c r="U489">
        <v>1.0409999999999999</v>
      </c>
      <c r="V489" s="1" t="str">
        <f>IF(Energy_data_1990___2020[[#This Row],[CO2 emissions from fuel combustion (MtCO2)]]&gt;Energy_data_1990___2020[[#Totals],[CO2 emissions from fuel combustion (MtCO2)]],"Above Average","")</f>
        <v/>
      </c>
      <c r="W489" s="1">
        <f>SUM(Energy_data_1990___2020[[#This Row],[Coal and lignite production (Mt)]]-Energy_data_1990___2020[[#This Row],[Coal and lignite domestic consumption (Mt)]])</f>
        <v>-0.63963573800000018</v>
      </c>
    </row>
    <row r="490" spans="1:23">
      <c r="A490" t="s">
        <v>44</v>
      </c>
      <c r="B490">
        <v>2013</v>
      </c>
      <c r="C490" t="s">
        <v>39</v>
      </c>
      <c r="D490">
        <v>561.41101149999997</v>
      </c>
      <c r="E490">
        <v>2.5312099240000001</v>
      </c>
      <c r="F490">
        <v>0.55653739599999996</v>
      </c>
      <c r="G490">
        <v>297.9717043</v>
      </c>
      <c r="H490">
        <v>221.79551609999999</v>
      </c>
      <c r="I490">
        <v>5.7077207980000004</v>
      </c>
      <c r="J490">
        <v>10.332867909999999</v>
      </c>
      <c r="K490">
        <v>87.144999999999996</v>
      </c>
      <c r="L490">
        <v>94.62</v>
      </c>
      <c r="M490">
        <v>156.74601899999999</v>
      </c>
      <c r="N490">
        <v>152.8920622</v>
      </c>
      <c r="O490">
        <v>0.21987010700000001</v>
      </c>
      <c r="P490">
        <v>262.43400000000003</v>
      </c>
      <c r="Q490">
        <v>207.21600000000001</v>
      </c>
      <c r="R490">
        <v>2.0955559969999999</v>
      </c>
      <c r="S490">
        <v>0.14327411800000001</v>
      </c>
      <c r="T490">
        <v>158.69</v>
      </c>
      <c r="U490">
        <v>1.105</v>
      </c>
      <c r="V490" s="1" t="str">
        <f>IF(Energy_data_1990___2020[[#This Row],[CO2 emissions from fuel combustion (MtCO2)]]&gt;Energy_data_1990___2020[[#Totals],[CO2 emissions from fuel combustion (MtCO2)]],"Above Average","")</f>
        <v>Above Average</v>
      </c>
      <c r="W490" s="1">
        <f>SUM(Energy_data_1990___2020[[#This Row],[Coal and lignite production (Mt)]]-Energy_data_1990___2020[[#This Row],[Coal and lignite domestic consumption (Mt)]])</f>
        <v>-0.99055599699999997</v>
      </c>
    </row>
    <row r="491" spans="1:23">
      <c r="A491" t="s">
        <v>44</v>
      </c>
      <c r="B491">
        <v>2014</v>
      </c>
      <c r="C491" t="s">
        <v>39</v>
      </c>
      <c r="D491">
        <v>587.22184709999999</v>
      </c>
      <c r="E491">
        <v>2.466984455</v>
      </c>
      <c r="F491">
        <v>0.55650587100000004</v>
      </c>
      <c r="G491">
        <v>316.37095950000003</v>
      </c>
      <c r="H491">
        <v>238.03224449999999</v>
      </c>
      <c r="I491">
        <v>5.1953868959999996</v>
      </c>
      <c r="J491">
        <v>10.48787888</v>
      </c>
      <c r="K491">
        <v>84.343000000000004</v>
      </c>
      <c r="L491">
        <v>92.991</v>
      </c>
      <c r="M491">
        <v>174.63108550000001</v>
      </c>
      <c r="N491">
        <v>172.49703349999999</v>
      </c>
      <c r="O491">
        <v>0.225581426</v>
      </c>
      <c r="P491">
        <v>274.60899999999998</v>
      </c>
      <c r="Q491">
        <v>223.95699999999999</v>
      </c>
      <c r="R491">
        <v>2.3934532910000001</v>
      </c>
      <c r="S491">
        <v>0.130367177</v>
      </c>
      <c r="T491">
        <v>162.00399999999999</v>
      </c>
      <c r="U491">
        <v>1.075</v>
      </c>
      <c r="V491" s="1" t="str">
        <f>IF(Energy_data_1990___2020[[#This Row],[CO2 emissions from fuel combustion (MtCO2)]]&gt;Energy_data_1990___2020[[#Totals],[CO2 emissions from fuel combustion (MtCO2)]],"Above Average","")</f>
        <v>Above Average</v>
      </c>
      <c r="W491" s="1">
        <f>SUM(Energy_data_1990___2020[[#This Row],[Coal and lignite production (Mt)]]-Energy_data_1990___2020[[#This Row],[Coal and lignite domestic consumption (Mt)]])</f>
        <v>-1.3184532910000002</v>
      </c>
    </row>
    <row r="492" spans="1:23">
      <c r="A492" t="s">
        <v>44</v>
      </c>
      <c r="B492">
        <v>2015</v>
      </c>
      <c r="C492" t="s">
        <v>39</v>
      </c>
      <c r="D492">
        <v>581.62459660000002</v>
      </c>
      <c r="E492">
        <v>2.4426400140000002</v>
      </c>
      <c r="F492">
        <v>0.55857823299999998</v>
      </c>
      <c r="G492">
        <v>322.70531119999998</v>
      </c>
      <c r="H492">
        <v>238.1131044</v>
      </c>
      <c r="I492">
        <v>5.1048878780000004</v>
      </c>
      <c r="J492">
        <v>9.997589112</v>
      </c>
      <c r="K492">
        <v>77.646000000000001</v>
      </c>
      <c r="L492">
        <v>88.251000000000005</v>
      </c>
      <c r="M492">
        <v>184.0799624</v>
      </c>
      <c r="N492">
        <v>184.0930481</v>
      </c>
      <c r="O492">
        <v>0.228678082</v>
      </c>
      <c r="P492">
        <v>280.63299999999998</v>
      </c>
      <c r="Q492">
        <v>213.654</v>
      </c>
      <c r="R492">
        <v>2.3322396470000002</v>
      </c>
      <c r="S492">
        <v>7.9106876000000007E-2</v>
      </c>
      <c r="T492">
        <v>160.68199999999999</v>
      </c>
      <c r="U492">
        <v>1.206</v>
      </c>
      <c r="V492" s="1" t="str">
        <f>IF(Energy_data_1990___2020[[#This Row],[CO2 emissions from fuel combustion (MtCO2)]]&gt;Energy_data_1990___2020[[#Totals],[CO2 emissions from fuel combustion (MtCO2)]],"Above Average","")</f>
        <v>Above Average</v>
      </c>
      <c r="W492" s="1">
        <f>SUM(Energy_data_1990___2020[[#This Row],[Coal and lignite production (Mt)]]-Energy_data_1990___2020[[#This Row],[Coal and lignite domestic consumption (Mt)]])</f>
        <v>-1.1262396470000002</v>
      </c>
    </row>
    <row r="493" spans="1:23">
      <c r="A493" t="s">
        <v>44</v>
      </c>
      <c r="B493">
        <v>2016</v>
      </c>
      <c r="C493" t="s">
        <v>39</v>
      </c>
      <c r="D493">
        <v>584.97177350000004</v>
      </c>
      <c r="E493">
        <v>2.3809656910000001</v>
      </c>
      <c r="F493">
        <v>0.49542450399999999</v>
      </c>
      <c r="G493">
        <v>391.2441346</v>
      </c>
      <c r="H493">
        <v>245.6867714</v>
      </c>
      <c r="I493">
        <v>5.776321888</v>
      </c>
      <c r="J493">
        <v>10.98400447</v>
      </c>
      <c r="K493">
        <v>72.930000000000007</v>
      </c>
      <c r="L493">
        <v>86.409000000000006</v>
      </c>
      <c r="M493">
        <v>199.8408379</v>
      </c>
      <c r="N493">
        <v>196.74578210000001</v>
      </c>
      <c r="O493">
        <v>0.208077128</v>
      </c>
      <c r="P493">
        <v>289.09399999999999</v>
      </c>
      <c r="Q493">
        <v>243.73</v>
      </c>
      <c r="R493">
        <v>2.2890160829999999</v>
      </c>
      <c r="S493">
        <v>8.7860696000000002E-2</v>
      </c>
      <c r="T493">
        <v>213.63800000000001</v>
      </c>
      <c r="U493">
        <v>1.335</v>
      </c>
      <c r="V493" s="1" t="str">
        <f>IF(Energy_data_1990___2020[[#This Row],[CO2 emissions from fuel combustion (MtCO2)]]&gt;Energy_data_1990___2020[[#Totals],[CO2 emissions from fuel combustion (MtCO2)]],"Above Average","")</f>
        <v>Above Average</v>
      </c>
      <c r="W493" s="1">
        <f>SUM(Energy_data_1990___2020[[#This Row],[Coal and lignite production (Mt)]]-Energy_data_1990___2020[[#This Row],[Coal and lignite domestic consumption (Mt)]])</f>
        <v>-0.95401608299999996</v>
      </c>
    </row>
    <row r="494" spans="1:23">
      <c r="A494" t="s">
        <v>44</v>
      </c>
      <c r="B494">
        <v>2017</v>
      </c>
      <c r="C494" t="s">
        <v>39</v>
      </c>
      <c r="D494">
        <v>604.68529890000002</v>
      </c>
      <c r="E494">
        <v>2.3092526960000002</v>
      </c>
      <c r="F494">
        <v>0.49358523900000001</v>
      </c>
      <c r="G494">
        <v>411.60665920000002</v>
      </c>
      <c r="H494">
        <v>261.85323940000001</v>
      </c>
      <c r="I494">
        <v>5.0222274340000004</v>
      </c>
      <c r="J494">
        <v>11.13164239</v>
      </c>
      <c r="K494">
        <v>74.456698000000003</v>
      </c>
      <c r="L494">
        <v>89.481627000000003</v>
      </c>
      <c r="M494">
        <v>215.7180151</v>
      </c>
      <c r="N494">
        <v>206.54846509999999</v>
      </c>
      <c r="O494">
        <v>0.21374241099999999</v>
      </c>
      <c r="P494">
        <v>307.96829100000002</v>
      </c>
      <c r="Q494">
        <v>255.02629899999999</v>
      </c>
      <c r="R494">
        <v>2.5029935160000001</v>
      </c>
      <c r="S494">
        <v>0.12710009799999999</v>
      </c>
      <c r="T494">
        <v>220.19365999999999</v>
      </c>
      <c r="U494">
        <v>1.5212669999999999</v>
      </c>
      <c r="V494" s="1" t="str">
        <f>IF(Energy_data_1990___2020[[#This Row],[CO2 emissions from fuel combustion (MtCO2)]]&gt;Energy_data_1990___2020[[#Totals],[CO2 emissions from fuel combustion (MtCO2)]],"Above Average","")</f>
        <v>Above Average</v>
      </c>
      <c r="W494" s="1">
        <f>SUM(Energy_data_1990___2020[[#This Row],[Coal and lignite production (Mt)]]-Energy_data_1990___2020[[#This Row],[Coal and lignite domestic consumption (Mt)]])</f>
        <v>-0.98172651600000016</v>
      </c>
    </row>
    <row r="495" spans="1:23">
      <c r="A495" t="s">
        <v>44</v>
      </c>
      <c r="B495">
        <v>2018</v>
      </c>
      <c r="C495" t="s">
        <v>39</v>
      </c>
      <c r="D495">
        <v>615.06637720000003</v>
      </c>
      <c r="E495">
        <v>2.3147478459999999</v>
      </c>
      <c r="F495">
        <v>0.53082435299999997</v>
      </c>
      <c r="G495">
        <v>406.25419979999998</v>
      </c>
      <c r="H495">
        <v>265.71636230000001</v>
      </c>
      <c r="I495">
        <v>5.2716451370000001</v>
      </c>
      <c r="J495">
        <v>11.14367453</v>
      </c>
      <c r="K495">
        <v>77.452473999999995</v>
      </c>
      <c r="L495">
        <v>89.991202999999999</v>
      </c>
      <c r="M495">
        <v>225.25416340000001</v>
      </c>
      <c r="N495">
        <v>208.12823929999999</v>
      </c>
      <c r="O495">
        <v>0.22932275499999999</v>
      </c>
      <c r="P495">
        <v>309.84276399999999</v>
      </c>
      <c r="Q495">
        <v>262.66016999999999</v>
      </c>
      <c r="R495">
        <v>2.6146484120000002</v>
      </c>
      <c r="S495">
        <v>0.175692662</v>
      </c>
      <c r="T495">
        <v>206.86035699999999</v>
      </c>
      <c r="U495">
        <v>1.6460090000000001</v>
      </c>
      <c r="V495" s="1" t="str">
        <f>IF(Energy_data_1990___2020[[#This Row],[CO2 emissions from fuel combustion (MtCO2)]]&gt;Energy_data_1990___2020[[#Totals],[CO2 emissions from fuel combustion (MtCO2)]],"Above Average","")</f>
        <v>Above Average</v>
      </c>
      <c r="W495" s="1">
        <f>SUM(Energy_data_1990___2020[[#This Row],[Coal and lignite production (Mt)]]-Energy_data_1990___2020[[#This Row],[Coal and lignite domestic consumption (Mt)]])</f>
        <v>-0.96863941200000014</v>
      </c>
    </row>
    <row r="496" spans="1:23">
      <c r="A496" t="s">
        <v>44</v>
      </c>
      <c r="B496">
        <v>2019</v>
      </c>
      <c r="C496" t="s">
        <v>39</v>
      </c>
      <c r="D496">
        <v>619.99441030000003</v>
      </c>
      <c r="E496">
        <v>2.3043230280000002</v>
      </c>
      <c r="F496">
        <v>0.57233652999999995</v>
      </c>
      <c r="G496">
        <v>351.35655580000002</v>
      </c>
      <c r="H496">
        <v>269.0570735</v>
      </c>
      <c r="I496">
        <v>9.8771044200000002</v>
      </c>
      <c r="J496">
        <v>11.126027499999999</v>
      </c>
      <c r="K496">
        <v>76.761288109999995</v>
      </c>
      <c r="L496">
        <v>90.780915239999999</v>
      </c>
      <c r="M496">
        <v>231.68600000000001</v>
      </c>
      <c r="N496">
        <v>211.708339</v>
      </c>
      <c r="O496">
        <v>0.248375129</v>
      </c>
      <c r="P496">
        <v>314.06269759999998</v>
      </c>
      <c r="Q496">
        <v>262.99507240000003</v>
      </c>
      <c r="R496">
        <v>2.7144238920000001</v>
      </c>
      <c r="S496">
        <v>0.19753431199999999</v>
      </c>
      <c r="T496">
        <v>146.47561300000001</v>
      </c>
      <c r="U496">
        <v>1.7107410000000001</v>
      </c>
      <c r="V496" s="1" t="str">
        <f>IF(Energy_data_1990___2020[[#This Row],[CO2 emissions from fuel combustion (MtCO2)]]&gt;Energy_data_1990___2020[[#Totals],[CO2 emissions from fuel combustion (MtCO2)]],"Above Average","")</f>
        <v>Above Average</v>
      </c>
      <c r="W496" s="1">
        <f>SUM(Energy_data_1990___2020[[#This Row],[Coal and lignite production (Mt)]]-Energy_data_1990___2020[[#This Row],[Coal and lignite domestic consumption (Mt)]])</f>
        <v>-1.003682892</v>
      </c>
    </row>
    <row r="497" spans="1:23">
      <c r="A497" t="s">
        <v>44</v>
      </c>
      <c r="B497">
        <v>2020</v>
      </c>
      <c r="C497" t="s">
        <v>39</v>
      </c>
      <c r="D497">
        <v>619.06287239999995</v>
      </c>
      <c r="E497">
        <v>2.3138641579999999</v>
      </c>
      <c r="F497">
        <v>0.58017928699999999</v>
      </c>
      <c r="G497">
        <v>338.92562670000001</v>
      </c>
      <c r="H497">
        <v>267.54503729999999</v>
      </c>
      <c r="I497">
        <v>6.9366735999999998</v>
      </c>
      <c r="J497">
        <v>11.559238329999999</v>
      </c>
      <c r="K497">
        <v>69.913748909999995</v>
      </c>
      <c r="L497">
        <v>77.952189189999999</v>
      </c>
      <c r="M497">
        <v>234.26093420000001</v>
      </c>
      <c r="N497">
        <v>220.5305851</v>
      </c>
      <c r="O497">
        <v>0.25074042699999999</v>
      </c>
      <c r="P497">
        <v>322.07989520000001</v>
      </c>
      <c r="Q497">
        <v>269.0834673</v>
      </c>
      <c r="R497">
        <v>2.8061186990000002</v>
      </c>
      <c r="S497">
        <v>0.233048068</v>
      </c>
      <c r="T497">
        <v>132.824881</v>
      </c>
      <c r="U497">
        <v>1.7780186920000001</v>
      </c>
      <c r="V497" s="1" t="str">
        <f>IF(Energy_data_1990___2020[[#This Row],[CO2 emissions from fuel combustion (MtCO2)]]&gt;Energy_data_1990___2020[[#Totals],[CO2 emissions from fuel combustion (MtCO2)]],"Above Average","")</f>
        <v>Above Average</v>
      </c>
      <c r="W497" s="1">
        <f>SUM(Energy_data_1990___2020[[#This Row],[Coal and lignite production (Mt)]]-Energy_data_1990___2020[[#This Row],[Coal and lignite domestic consumption (Mt)]])</f>
        <v>-1.0281000070000001</v>
      </c>
    </row>
    <row r="498" spans="1:23">
      <c r="A498" t="s">
        <v>45</v>
      </c>
      <c r="B498">
        <v>1990</v>
      </c>
      <c r="C498" t="s">
        <v>30</v>
      </c>
      <c r="D498">
        <v>397.81691289999998</v>
      </c>
      <c r="E498">
        <v>2.7105326970000001</v>
      </c>
      <c r="F498">
        <v>0.209048967</v>
      </c>
      <c r="G498">
        <v>25.517565130000001</v>
      </c>
      <c r="H498">
        <v>146.76705920000001</v>
      </c>
      <c r="I498">
        <v>17.70914127</v>
      </c>
      <c r="J498">
        <v>15.78584678</v>
      </c>
      <c r="K498">
        <v>88.028000000000006</v>
      </c>
      <c r="L498">
        <v>90.563999999999993</v>
      </c>
      <c r="M498">
        <v>17.295985160000001</v>
      </c>
      <c r="N498">
        <v>47.404944399999998</v>
      </c>
      <c r="O498">
        <v>7.7124680000000001E-2</v>
      </c>
      <c r="P498">
        <v>216.6</v>
      </c>
      <c r="Q498">
        <v>218.77799999999999</v>
      </c>
      <c r="R498">
        <v>22.485274100000002</v>
      </c>
      <c r="S498">
        <v>1.4903047089999999</v>
      </c>
      <c r="T498">
        <v>4.7229999999999999</v>
      </c>
      <c r="U498">
        <v>0</v>
      </c>
      <c r="V498" s="1" t="str">
        <f>IF(Energy_data_1990___2020[[#This Row],[CO2 emissions from fuel combustion (MtCO2)]]&gt;Energy_data_1990___2020[[#Totals],[CO2 emissions from fuel combustion (MtCO2)]],"Above Average","")</f>
        <v/>
      </c>
      <c r="W498" s="1">
        <f>SUM(Energy_data_1990___2020[[#This Row],[Coal and lignite production (Mt)]]-Energy_data_1990___2020[[#This Row],[Coal and lignite domestic consumption (Mt)]])</f>
        <v>-22.485274100000002</v>
      </c>
    </row>
    <row r="499" spans="1:23">
      <c r="A499" t="s">
        <v>45</v>
      </c>
      <c r="B499">
        <v>1991</v>
      </c>
      <c r="C499" t="s">
        <v>30</v>
      </c>
      <c r="D499">
        <v>398.54288680000002</v>
      </c>
      <c r="E499">
        <v>2.6503059859999998</v>
      </c>
      <c r="F499">
        <v>0.20625729900000001</v>
      </c>
      <c r="G499">
        <v>26.282151410000001</v>
      </c>
      <c r="H499">
        <v>150.37617879999999</v>
      </c>
      <c r="I499">
        <v>22.048003749999999</v>
      </c>
      <c r="J499">
        <v>15.77658433</v>
      </c>
      <c r="K499">
        <v>86.938999999999993</v>
      </c>
      <c r="L499">
        <v>90.906000000000006</v>
      </c>
      <c r="M499">
        <v>17.400004240000001</v>
      </c>
      <c r="N499">
        <v>50.25600171</v>
      </c>
      <c r="O499">
        <v>7.7823956999999999E-2</v>
      </c>
      <c r="P499">
        <v>221.816</v>
      </c>
      <c r="Q499">
        <v>223.68700000000001</v>
      </c>
      <c r="R499">
        <v>21.174694389999999</v>
      </c>
      <c r="S499">
        <v>1.4381288999999999</v>
      </c>
      <c r="T499">
        <v>4.4889999999999999</v>
      </c>
      <c r="U499">
        <v>0</v>
      </c>
      <c r="V499" s="1" t="str">
        <f>IF(Energy_data_1990___2020[[#This Row],[CO2 emissions from fuel combustion (MtCO2)]]&gt;Energy_data_1990___2020[[#Totals],[CO2 emissions from fuel combustion (MtCO2)]],"Above Average","")</f>
        <v/>
      </c>
      <c r="W499" s="1">
        <f>SUM(Energy_data_1990___2020[[#This Row],[Coal and lignite production (Mt)]]-Energy_data_1990___2020[[#This Row],[Coal and lignite domestic consumption (Mt)]])</f>
        <v>-21.174694389999999</v>
      </c>
    </row>
    <row r="500" spans="1:23">
      <c r="A500" t="s">
        <v>45</v>
      </c>
      <c r="B500">
        <v>1992</v>
      </c>
      <c r="C500" t="s">
        <v>30</v>
      </c>
      <c r="D500">
        <v>397.9498509</v>
      </c>
      <c r="E500">
        <v>2.662299768</v>
      </c>
      <c r="F500">
        <v>0.20424640899999999</v>
      </c>
      <c r="G500">
        <v>27.50192895</v>
      </c>
      <c r="H500">
        <v>149.47597400000001</v>
      </c>
      <c r="I500">
        <v>21.813095019999999</v>
      </c>
      <c r="J500">
        <v>16.06548269</v>
      </c>
      <c r="K500">
        <v>89.259</v>
      </c>
      <c r="L500">
        <v>91.367999999999995</v>
      </c>
      <c r="M500">
        <v>18.149976299999999</v>
      </c>
      <c r="N500">
        <v>49.84604719</v>
      </c>
      <c r="O500">
        <v>7.6718036000000003E-2</v>
      </c>
      <c r="P500">
        <v>226.25399999999999</v>
      </c>
      <c r="Q500">
        <v>228.06899999999999</v>
      </c>
      <c r="R500">
        <v>18.479218530000001</v>
      </c>
      <c r="S500">
        <v>1.6720146380000001</v>
      </c>
      <c r="T500">
        <v>4.7050000000000001</v>
      </c>
      <c r="U500">
        <v>0</v>
      </c>
      <c r="V500" s="1" t="str">
        <f>IF(Energy_data_1990___2020[[#This Row],[CO2 emissions from fuel combustion (MtCO2)]]&gt;Energy_data_1990___2020[[#Totals],[CO2 emissions from fuel combustion (MtCO2)]],"Above Average","")</f>
        <v/>
      </c>
      <c r="W500" s="1">
        <f>SUM(Energy_data_1990___2020[[#This Row],[Coal and lignite production (Mt)]]-Energy_data_1990___2020[[#This Row],[Coal and lignite domestic consumption (Mt)]])</f>
        <v>-18.479218530000001</v>
      </c>
    </row>
    <row r="501" spans="1:23">
      <c r="A501" t="s">
        <v>45</v>
      </c>
      <c r="B501">
        <v>1993</v>
      </c>
      <c r="C501" t="s">
        <v>30</v>
      </c>
      <c r="D501">
        <v>392.47749440000001</v>
      </c>
      <c r="E501">
        <v>2.6394153349999998</v>
      </c>
      <c r="F501">
        <v>0.20317038900000001</v>
      </c>
      <c r="G501">
        <v>28.54289897</v>
      </c>
      <c r="H501">
        <v>148.69864899999999</v>
      </c>
      <c r="I501">
        <v>21.66946437</v>
      </c>
      <c r="J501">
        <v>16.187250349999999</v>
      </c>
      <c r="K501">
        <v>88.382999999999996</v>
      </c>
      <c r="L501">
        <v>92.286000000000001</v>
      </c>
      <c r="M501">
        <v>19.559010019999999</v>
      </c>
      <c r="N501">
        <v>50.998034820000001</v>
      </c>
      <c r="O501">
        <v>7.6975528000000001E-2</v>
      </c>
      <c r="P501">
        <v>222.80199999999999</v>
      </c>
      <c r="Q501">
        <v>228.964</v>
      </c>
      <c r="R501">
        <v>16.09860961</v>
      </c>
      <c r="S501">
        <v>1.811025036</v>
      </c>
      <c r="T501">
        <v>4.819</v>
      </c>
      <c r="U501">
        <v>0</v>
      </c>
      <c r="V501" s="1" t="str">
        <f>IF(Energy_data_1990___2020[[#This Row],[CO2 emissions from fuel combustion (MtCO2)]]&gt;Energy_data_1990___2020[[#Totals],[CO2 emissions from fuel combustion (MtCO2)]],"Above Average","")</f>
        <v/>
      </c>
      <c r="W501" s="1">
        <f>SUM(Energy_data_1990___2020[[#This Row],[Coal and lignite production (Mt)]]-Energy_data_1990___2020[[#This Row],[Coal and lignite domestic consumption (Mt)]])</f>
        <v>-16.09860961</v>
      </c>
    </row>
    <row r="502" spans="1:23">
      <c r="A502" t="s">
        <v>45</v>
      </c>
      <c r="B502">
        <v>1994</v>
      </c>
      <c r="C502" t="s">
        <v>30</v>
      </c>
      <c r="D502">
        <v>387.91591490000002</v>
      </c>
      <c r="E502">
        <v>2.6421578769999998</v>
      </c>
      <c r="F502">
        <v>0.196580542</v>
      </c>
      <c r="G502">
        <v>29.747130989999999</v>
      </c>
      <c r="H502">
        <v>146.81784099999999</v>
      </c>
      <c r="I502">
        <v>22.135514400000002</v>
      </c>
      <c r="J502">
        <v>16.909977489999999</v>
      </c>
      <c r="K502">
        <v>87.334999999999994</v>
      </c>
      <c r="L502">
        <v>92.460999999999999</v>
      </c>
      <c r="M502">
        <v>20.637016620000001</v>
      </c>
      <c r="N502">
        <v>49.500941050000002</v>
      </c>
      <c r="O502">
        <v>7.4401512000000003E-2</v>
      </c>
      <c r="P502">
        <v>231.81299999999999</v>
      </c>
      <c r="Q502">
        <v>236.55500000000001</v>
      </c>
      <c r="R502">
        <v>16.804002740000001</v>
      </c>
      <c r="S502">
        <v>1.6129380149999999</v>
      </c>
      <c r="T502">
        <v>5.0330000000000004</v>
      </c>
      <c r="U502">
        <v>0</v>
      </c>
      <c r="V502" s="1" t="str">
        <f>IF(Energy_data_1990___2020[[#This Row],[CO2 emissions from fuel combustion (MtCO2)]]&gt;Energy_data_1990___2020[[#Totals],[CO2 emissions from fuel combustion (MtCO2)]],"Above Average","")</f>
        <v/>
      </c>
      <c r="W502" s="1">
        <f>SUM(Energy_data_1990___2020[[#This Row],[Coal and lignite production (Mt)]]-Energy_data_1990___2020[[#This Row],[Coal and lignite domestic consumption (Mt)]])</f>
        <v>-16.804002740000001</v>
      </c>
    </row>
    <row r="503" spans="1:23">
      <c r="A503" t="s">
        <v>45</v>
      </c>
      <c r="B503">
        <v>1995</v>
      </c>
      <c r="C503" t="s">
        <v>30</v>
      </c>
      <c r="D503">
        <v>410.55909359999998</v>
      </c>
      <c r="E503">
        <v>2.575866247</v>
      </c>
      <c r="F503">
        <v>0.20221752600000001</v>
      </c>
      <c r="G503">
        <v>29.6699357</v>
      </c>
      <c r="H503">
        <v>159.38680590000001</v>
      </c>
      <c r="I503">
        <v>18.87580801</v>
      </c>
      <c r="J503">
        <v>16.693834330000001</v>
      </c>
      <c r="K503">
        <v>90.616</v>
      </c>
      <c r="L503">
        <v>90.472999999999999</v>
      </c>
      <c r="M503">
        <v>20.384012269999999</v>
      </c>
      <c r="N503">
        <v>54.384968630000003</v>
      </c>
      <c r="O503">
        <v>7.8504668E-2</v>
      </c>
      <c r="P503">
        <v>241.489</v>
      </c>
      <c r="Q503">
        <v>243.465</v>
      </c>
      <c r="R503">
        <v>17.95009529</v>
      </c>
      <c r="S503">
        <v>1.5847512720000001</v>
      </c>
      <c r="T503">
        <v>5.4539999999999997</v>
      </c>
      <c r="U503">
        <v>1.014</v>
      </c>
      <c r="V503" s="1" t="str">
        <f>IF(Energy_data_1990___2020[[#This Row],[CO2 emissions from fuel combustion (MtCO2)]]&gt;Energy_data_1990___2020[[#Totals],[CO2 emissions from fuel combustion (MtCO2)]],"Above Average","")</f>
        <v/>
      </c>
      <c r="W503" s="1">
        <f>SUM(Energy_data_1990___2020[[#This Row],[Coal and lignite production (Mt)]]-Energy_data_1990___2020[[#This Row],[Coal and lignite domestic consumption (Mt)]])</f>
        <v>-16.936095290000001</v>
      </c>
    </row>
    <row r="504" spans="1:23">
      <c r="A504" t="s">
        <v>45</v>
      </c>
      <c r="B504">
        <v>1996</v>
      </c>
      <c r="C504" t="s">
        <v>30</v>
      </c>
      <c r="D504">
        <v>408.24452280000003</v>
      </c>
      <c r="E504">
        <v>2.5636040310000001</v>
      </c>
      <c r="F504">
        <v>0.19856214799999999</v>
      </c>
      <c r="G504">
        <v>30.518275209999999</v>
      </c>
      <c r="H504">
        <v>159.24632579999999</v>
      </c>
      <c r="I504">
        <v>20.970163599999999</v>
      </c>
      <c r="J504">
        <v>16.7230466</v>
      </c>
      <c r="K504">
        <v>89.915999999999997</v>
      </c>
      <c r="L504">
        <v>89.385000000000005</v>
      </c>
      <c r="M504">
        <v>20.033976190000001</v>
      </c>
      <c r="N504">
        <v>56.184018039999998</v>
      </c>
      <c r="O504">
        <v>7.7454297000000005E-2</v>
      </c>
      <c r="P504">
        <v>244.43299999999999</v>
      </c>
      <c r="Q504">
        <v>245.95400000000001</v>
      </c>
      <c r="R504">
        <v>16.545987</v>
      </c>
      <c r="S504">
        <v>1.699443201</v>
      </c>
      <c r="T504">
        <v>5.6550000000000002</v>
      </c>
      <c r="U504">
        <v>0.96099999999999997</v>
      </c>
      <c r="V504" s="1" t="str">
        <f>IF(Energy_data_1990___2020[[#This Row],[CO2 emissions from fuel combustion (MtCO2)]]&gt;Energy_data_1990___2020[[#Totals],[CO2 emissions from fuel combustion (MtCO2)]],"Above Average","")</f>
        <v/>
      </c>
      <c r="W504" s="1">
        <f>SUM(Energy_data_1990___2020[[#This Row],[Coal and lignite production (Mt)]]-Energy_data_1990___2020[[#This Row],[Coal and lignite domestic consumption (Mt)]])</f>
        <v>-15.584987</v>
      </c>
    </row>
    <row r="505" spans="1:23">
      <c r="A505" t="s">
        <v>45</v>
      </c>
      <c r="B505">
        <v>1997</v>
      </c>
      <c r="C505" t="s">
        <v>30</v>
      </c>
      <c r="D505">
        <v>412.0752852</v>
      </c>
      <c r="E505">
        <v>2.5509784760000001</v>
      </c>
      <c r="F505">
        <v>0.19682307499999999</v>
      </c>
      <c r="G505">
        <v>30.679589629999999</v>
      </c>
      <c r="H505">
        <v>161.53616700000001</v>
      </c>
      <c r="I505">
        <v>20.342144090000001</v>
      </c>
      <c r="J505">
        <v>17.05080113</v>
      </c>
      <c r="K505">
        <v>90.212000000000003</v>
      </c>
      <c r="L505">
        <v>96.152000000000001</v>
      </c>
      <c r="M505">
        <v>19.266983549999999</v>
      </c>
      <c r="N505">
        <v>57.979926560000003</v>
      </c>
      <c r="O505">
        <v>7.7155914000000006E-2</v>
      </c>
      <c r="P505">
        <v>251.47300000000001</v>
      </c>
      <c r="Q505">
        <v>253.67400000000001</v>
      </c>
      <c r="R505">
        <v>16.741258599999998</v>
      </c>
      <c r="S505">
        <v>1.878929348</v>
      </c>
      <c r="T505">
        <v>6.0940000000000003</v>
      </c>
      <c r="U505">
        <v>0.82499999999999996</v>
      </c>
      <c r="V505" s="1" t="str">
        <f>IF(Energy_data_1990___2020[[#This Row],[CO2 emissions from fuel combustion (MtCO2)]]&gt;Energy_data_1990___2020[[#Totals],[CO2 emissions from fuel combustion (MtCO2)]],"Above Average","")</f>
        <v/>
      </c>
      <c r="W505" s="1">
        <f>SUM(Energy_data_1990___2020[[#This Row],[Coal and lignite production (Mt)]]-Energy_data_1990___2020[[#This Row],[Coal and lignite domestic consumption (Mt)]])</f>
        <v>-15.916258599999999</v>
      </c>
    </row>
    <row r="506" spans="1:23">
      <c r="A506" t="s">
        <v>45</v>
      </c>
      <c r="B506">
        <v>1998</v>
      </c>
      <c r="C506" t="s">
        <v>30</v>
      </c>
      <c r="D506">
        <v>422.44283539999998</v>
      </c>
      <c r="E506">
        <v>2.5439577760000001</v>
      </c>
      <c r="F506">
        <v>0.19818662100000001</v>
      </c>
      <c r="G506">
        <v>30.56918005</v>
      </c>
      <c r="H506">
        <v>166.05732979999999</v>
      </c>
      <c r="I506">
        <v>20.254426479999999</v>
      </c>
      <c r="J506">
        <v>17.121485109999998</v>
      </c>
      <c r="K506">
        <v>90.063000000000002</v>
      </c>
      <c r="L506">
        <v>99.694000000000003</v>
      </c>
      <c r="M506">
        <v>19.00900262</v>
      </c>
      <c r="N506">
        <v>62.424954270000001</v>
      </c>
      <c r="O506">
        <v>7.7904839000000004E-2</v>
      </c>
      <c r="P506">
        <v>259.8</v>
      </c>
      <c r="Q506">
        <v>260.80900000000003</v>
      </c>
      <c r="R506">
        <v>17.462186920000001</v>
      </c>
      <c r="S506">
        <v>1.996920708</v>
      </c>
      <c r="T506">
        <v>5.819</v>
      </c>
      <c r="U506">
        <v>0.63</v>
      </c>
      <c r="V506" s="1" t="str">
        <f>IF(Energy_data_1990___2020[[#This Row],[CO2 emissions from fuel combustion (MtCO2)]]&gt;Energy_data_1990___2020[[#Totals],[CO2 emissions from fuel combustion (MtCO2)]],"Above Average","")</f>
        <v/>
      </c>
      <c r="W506" s="1">
        <f>SUM(Energy_data_1990___2020[[#This Row],[Coal and lignite production (Mt)]]-Energy_data_1990___2020[[#This Row],[Coal and lignite domestic consumption (Mt)]])</f>
        <v>-16.832186920000002</v>
      </c>
    </row>
    <row r="507" spans="1:23">
      <c r="A507" t="s">
        <v>45</v>
      </c>
      <c r="B507">
        <v>1999</v>
      </c>
      <c r="C507" t="s">
        <v>30</v>
      </c>
      <c r="D507">
        <v>427.49616759999998</v>
      </c>
      <c r="E507">
        <v>2.5354989749999999</v>
      </c>
      <c r="F507">
        <v>0.19734900499999999</v>
      </c>
      <c r="G507">
        <v>29.495667300000001</v>
      </c>
      <c r="H507">
        <v>168.60435430000001</v>
      </c>
      <c r="I507">
        <v>21.729081900000001</v>
      </c>
      <c r="J507">
        <v>17.147060320000001</v>
      </c>
      <c r="K507">
        <v>87.826999999999998</v>
      </c>
      <c r="L507">
        <v>94.073999999999998</v>
      </c>
      <c r="M507">
        <v>17.476010500000001</v>
      </c>
      <c r="N507">
        <v>67.849002619999993</v>
      </c>
      <c r="O507">
        <v>7.7834386000000005E-2</v>
      </c>
      <c r="P507">
        <v>265.66699999999997</v>
      </c>
      <c r="Q507">
        <v>267.28399999999999</v>
      </c>
      <c r="R507">
        <v>17.44403161</v>
      </c>
      <c r="S507">
        <v>2.0627326689999999</v>
      </c>
      <c r="T507">
        <v>5.2160000000000002</v>
      </c>
      <c r="U507">
        <v>0.26700000000000002</v>
      </c>
      <c r="V507" s="1" t="str">
        <f>IF(Energy_data_1990___2020[[#This Row],[CO2 emissions from fuel combustion (MtCO2)]]&gt;Energy_data_1990___2020[[#Totals],[CO2 emissions from fuel combustion (MtCO2)]],"Above Average","")</f>
        <v/>
      </c>
      <c r="W507" s="1">
        <f>SUM(Energy_data_1990___2020[[#This Row],[Coal and lignite production (Mt)]]-Energy_data_1990___2020[[#This Row],[Coal and lignite domestic consumption (Mt)]])</f>
        <v>-17.17703161</v>
      </c>
    </row>
    <row r="508" spans="1:23">
      <c r="A508" t="s">
        <v>45</v>
      </c>
      <c r="B508">
        <v>2000</v>
      </c>
      <c r="C508" t="s">
        <v>30</v>
      </c>
      <c r="D508">
        <v>430.66509300000001</v>
      </c>
      <c r="E508">
        <v>2.5065190959999999</v>
      </c>
      <c r="F508">
        <v>0.191557701</v>
      </c>
      <c r="G508">
        <v>28.453927329999999</v>
      </c>
      <c r="H508">
        <v>171.81799799999999</v>
      </c>
      <c r="I508">
        <v>20.813903889999999</v>
      </c>
      <c r="J508">
        <v>17.97534022</v>
      </c>
      <c r="K508">
        <v>85.933000000000007</v>
      </c>
      <c r="L508">
        <v>94.771000000000001</v>
      </c>
      <c r="M508">
        <v>16.63300954</v>
      </c>
      <c r="N508">
        <v>70.744960629999994</v>
      </c>
      <c r="O508">
        <v>7.6423795000000003E-2</v>
      </c>
      <c r="P508">
        <v>276.642</v>
      </c>
      <c r="Q508">
        <v>279.31900000000002</v>
      </c>
      <c r="R508">
        <v>18.581099999999999</v>
      </c>
      <c r="S508">
        <v>2.1948944849999998</v>
      </c>
      <c r="T508">
        <v>4.7640000000000002</v>
      </c>
      <c r="U508">
        <v>0.17199999999999999</v>
      </c>
      <c r="V508" s="1" t="str">
        <f>IF(Energy_data_1990___2020[[#This Row],[CO2 emissions from fuel combustion (MtCO2)]]&gt;Energy_data_1990___2020[[#Totals],[CO2 emissions from fuel combustion (MtCO2)]],"Above Average","")</f>
        <v/>
      </c>
      <c r="W508" s="1">
        <f>SUM(Energy_data_1990___2020[[#This Row],[Coal and lignite production (Mt)]]-Energy_data_1990___2020[[#This Row],[Coal and lignite domestic consumption (Mt)]])</f>
        <v>-18.409099999999999</v>
      </c>
    </row>
    <row r="509" spans="1:23">
      <c r="A509" t="s">
        <v>45</v>
      </c>
      <c r="B509">
        <v>2001</v>
      </c>
      <c r="C509" t="s">
        <v>30</v>
      </c>
      <c r="D509">
        <v>429.25716449999999</v>
      </c>
      <c r="E509">
        <v>2.489866616</v>
      </c>
      <c r="F509">
        <v>0.187276992</v>
      </c>
      <c r="G509">
        <v>27.09943805</v>
      </c>
      <c r="H509">
        <v>172.40167070000001</v>
      </c>
      <c r="I509">
        <v>22.029038490000001</v>
      </c>
      <c r="J509">
        <v>17.92340123</v>
      </c>
      <c r="K509">
        <v>84.756</v>
      </c>
      <c r="L509">
        <v>96.081999999999994</v>
      </c>
      <c r="M509">
        <v>15.24199348</v>
      </c>
      <c r="N509">
        <v>70.939028870000001</v>
      </c>
      <c r="O509">
        <v>7.5215671999999997E-2</v>
      </c>
      <c r="P509">
        <v>279.00900000000001</v>
      </c>
      <c r="Q509">
        <v>285.49099999999999</v>
      </c>
      <c r="R509">
        <v>19.855218990000001</v>
      </c>
      <c r="S509">
        <v>2.3389926490000001</v>
      </c>
      <c r="T509">
        <v>4.2229999999999999</v>
      </c>
      <c r="U509">
        <v>0.13700000000000001</v>
      </c>
      <c r="V509" s="1" t="str">
        <f>IF(Energy_data_1990___2020[[#This Row],[CO2 emissions from fuel combustion (MtCO2)]]&gt;Energy_data_1990___2020[[#Totals],[CO2 emissions from fuel combustion (MtCO2)]],"Above Average","")</f>
        <v/>
      </c>
      <c r="W509" s="1">
        <f>SUM(Energy_data_1990___2020[[#This Row],[Coal and lignite production (Mt)]]-Energy_data_1990___2020[[#This Row],[Coal and lignite domestic consumption (Mt)]])</f>
        <v>-19.71821899</v>
      </c>
    </row>
    <row r="510" spans="1:23">
      <c r="A510" t="s">
        <v>45</v>
      </c>
      <c r="B510">
        <v>2002</v>
      </c>
      <c r="C510" t="s">
        <v>30</v>
      </c>
      <c r="D510">
        <v>437.8277516</v>
      </c>
      <c r="E510">
        <v>2.5219845599999999</v>
      </c>
      <c r="F510">
        <v>0.190532338</v>
      </c>
      <c r="G510">
        <v>28.535335809999999</v>
      </c>
      <c r="H510">
        <v>173.6044536</v>
      </c>
      <c r="I510">
        <v>19.650794319999999</v>
      </c>
      <c r="J510">
        <v>18.20672356</v>
      </c>
      <c r="K510">
        <v>86.748000000000005</v>
      </c>
      <c r="L510">
        <v>96.233000000000004</v>
      </c>
      <c r="M510">
        <v>14.62301837</v>
      </c>
      <c r="N510">
        <v>70.458057740000001</v>
      </c>
      <c r="O510">
        <v>7.5548573999999993E-2</v>
      </c>
      <c r="P510">
        <v>285.27600000000001</v>
      </c>
      <c r="Q510">
        <v>290.95999999999998</v>
      </c>
      <c r="R510">
        <v>20.635812619999999</v>
      </c>
      <c r="S510">
        <v>2.4032866419999999</v>
      </c>
      <c r="T510">
        <v>5.8049999999999997</v>
      </c>
      <c r="U510">
        <v>0.216</v>
      </c>
      <c r="V510" s="1" t="str">
        <f>IF(Energy_data_1990___2020[[#This Row],[CO2 emissions from fuel combustion (MtCO2)]]&gt;Energy_data_1990___2020[[#Totals],[CO2 emissions from fuel combustion (MtCO2)]],"Above Average","")</f>
        <v/>
      </c>
      <c r="W510" s="1">
        <f>SUM(Energy_data_1990___2020[[#This Row],[Coal and lignite production (Mt)]]-Energy_data_1990___2020[[#This Row],[Coal and lignite domestic consumption (Mt)]])</f>
        <v>-20.419812619999998</v>
      </c>
    </row>
    <row r="511" spans="1:23">
      <c r="A511" t="s">
        <v>45</v>
      </c>
      <c r="B511">
        <v>2003</v>
      </c>
      <c r="C511" t="s">
        <v>30</v>
      </c>
      <c r="D511">
        <v>453.00210700000002</v>
      </c>
      <c r="E511">
        <v>2.4902245220000001</v>
      </c>
      <c r="F511">
        <v>0.19686295500000001</v>
      </c>
      <c r="G511">
        <v>30.19238022</v>
      </c>
      <c r="H511">
        <v>181.91215410000001</v>
      </c>
      <c r="I511">
        <v>18.535481570000002</v>
      </c>
      <c r="J511">
        <v>17.94133454</v>
      </c>
      <c r="K511">
        <v>85.83</v>
      </c>
      <c r="L511">
        <v>97.84</v>
      </c>
      <c r="M511">
        <v>13.884997070000001</v>
      </c>
      <c r="N511">
        <v>77.681049869999995</v>
      </c>
      <c r="O511">
        <v>7.9054298999999995E-2</v>
      </c>
      <c r="P511">
        <v>293.88499999999999</v>
      </c>
      <c r="Q511">
        <v>299.78800000000001</v>
      </c>
      <c r="R511">
        <v>22.36903161</v>
      </c>
      <c r="S511">
        <v>2.6238154379999998</v>
      </c>
      <c r="T511">
        <v>5.8879999999999999</v>
      </c>
      <c r="U511">
        <v>0.189</v>
      </c>
      <c r="V511" s="1" t="str">
        <f>IF(Energy_data_1990___2020[[#This Row],[CO2 emissions from fuel combustion (MtCO2)]]&gt;Energy_data_1990___2020[[#Totals],[CO2 emissions from fuel combustion (MtCO2)]],"Above Average","")</f>
        <v/>
      </c>
      <c r="W511" s="1">
        <f>SUM(Energy_data_1990___2020[[#This Row],[Coal and lignite production (Mt)]]-Energy_data_1990___2020[[#This Row],[Coal and lignite domestic consumption (Mt)]])</f>
        <v>-22.18003161</v>
      </c>
    </row>
    <row r="512" spans="1:23">
      <c r="A512" t="s">
        <v>45</v>
      </c>
      <c r="B512">
        <v>2004</v>
      </c>
      <c r="C512" t="s">
        <v>30</v>
      </c>
      <c r="D512">
        <v>460.04448839999998</v>
      </c>
      <c r="E512">
        <v>2.5113133009999999</v>
      </c>
      <c r="F512">
        <v>0.197117242</v>
      </c>
      <c r="G512">
        <v>29.44504371</v>
      </c>
      <c r="H512">
        <v>183.18880730000001</v>
      </c>
      <c r="I512">
        <v>20.25436217</v>
      </c>
      <c r="J512">
        <v>18.211657840000001</v>
      </c>
      <c r="K512">
        <v>83.653999999999996</v>
      </c>
      <c r="L512">
        <v>98.14</v>
      </c>
      <c r="M512">
        <v>12.96100515</v>
      </c>
      <c r="N512">
        <v>80.608923880000006</v>
      </c>
      <c r="O512">
        <v>7.8491696999999999E-2</v>
      </c>
      <c r="P512">
        <v>303.34699999999998</v>
      </c>
      <c r="Q512">
        <v>304.49</v>
      </c>
      <c r="R512">
        <v>25.215529610000001</v>
      </c>
      <c r="S512">
        <v>2.723943207</v>
      </c>
      <c r="T512">
        <v>5.7290000000000001</v>
      </c>
      <c r="U512">
        <v>0.115</v>
      </c>
      <c r="V512" s="1" t="str">
        <f>IF(Energy_data_1990___2020[[#This Row],[CO2 emissions from fuel combustion (MtCO2)]]&gt;Energy_data_1990___2020[[#Totals],[CO2 emissions from fuel combustion (MtCO2)]],"Above Average","")</f>
        <v/>
      </c>
      <c r="W512" s="1">
        <f>SUM(Energy_data_1990___2020[[#This Row],[Coal and lignite production (Mt)]]-Energy_data_1990___2020[[#This Row],[Coal and lignite domestic consumption (Mt)]])</f>
        <v>-25.100529610000002</v>
      </c>
    </row>
    <row r="513" spans="1:23">
      <c r="A513" t="s">
        <v>45</v>
      </c>
      <c r="B513">
        <v>2005</v>
      </c>
      <c r="C513" t="s">
        <v>30</v>
      </c>
      <c r="D513">
        <v>462.26069510000002</v>
      </c>
      <c r="E513">
        <v>2.4760624280000001</v>
      </c>
      <c r="F513">
        <v>0.19646008200000001</v>
      </c>
      <c r="G513">
        <v>30.526672609999999</v>
      </c>
      <c r="H513">
        <v>186.691858</v>
      </c>
      <c r="I513">
        <v>18.208429370000001</v>
      </c>
      <c r="J513">
        <v>18.067978969999999</v>
      </c>
      <c r="K513">
        <v>81.138000000000005</v>
      </c>
      <c r="L513">
        <v>100.598</v>
      </c>
      <c r="M513">
        <v>12.07099738</v>
      </c>
      <c r="N513">
        <v>86.264986879999995</v>
      </c>
      <c r="O513">
        <v>7.9343752000000003E-2</v>
      </c>
      <c r="P513">
        <v>303.7</v>
      </c>
      <c r="Q513">
        <v>309.84500000000003</v>
      </c>
      <c r="R513">
        <v>24.945</v>
      </c>
      <c r="S513">
        <v>2.9025353969999999</v>
      </c>
      <c r="T513">
        <v>6.3620000000000001</v>
      </c>
      <c r="U513">
        <v>1.4E-2</v>
      </c>
      <c r="V513" s="1" t="str">
        <f>IF(Energy_data_1990___2020[[#This Row],[CO2 emissions from fuel combustion (MtCO2)]]&gt;Energy_data_1990___2020[[#Totals],[CO2 emissions from fuel combustion (MtCO2)]],"Above Average","")</f>
        <v/>
      </c>
      <c r="W513" s="1">
        <f>SUM(Energy_data_1990___2020[[#This Row],[Coal and lignite production (Mt)]]-Energy_data_1990___2020[[#This Row],[Coal and lignite domestic consumption (Mt)]])</f>
        <v>-24.931000000000001</v>
      </c>
    </row>
    <row r="514" spans="1:23">
      <c r="A514" t="s">
        <v>45</v>
      </c>
      <c r="B514">
        <v>2006</v>
      </c>
      <c r="C514" t="s">
        <v>30</v>
      </c>
      <c r="D514">
        <v>459.0674042</v>
      </c>
      <c r="E514">
        <v>2.4815898079999998</v>
      </c>
      <c r="F514">
        <v>0.191670805</v>
      </c>
      <c r="G514">
        <v>30.390194730000001</v>
      </c>
      <c r="H514">
        <v>184.9892366</v>
      </c>
      <c r="I514">
        <v>18.1668269</v>
      </c>
      <c r="J514">
        <v>18.724153619999999</v>
      </c>
      <c r="K514">
        <v>80.781000000000006</v>
      </c>
      <c r="L514">
        <v>99.198999999999998</v>
      </c>
      <c r="M514">
        <v>10.979000060000001</v>
      </c>
      <c r="N514">
        <v>84.483018369999996</v>
      </c>
      <c r="O514">
        <v>7.7237102000000002E-2</v>
      </c>
      <c r="P514">
        <v>314.12200000000001</v>
      </c>
      <c r="Q514">
        <v>317.56599999999997</v>
      </c>
      <c r="R514">
        <v>25.216999999999999</v>
      </c>
      <c r="S514">
        <v>3.0434035179999999</v>
      </c>
      <c r="T514">
        <v>6.327</v>
      </c>
      <c r="U514">
        <v>0.13900000000000001</v>
      </c>
      <c r="V514" s="1" t="str">
        <f>IF(Energy_data_1990___2020[[#This Row],[CO2 emissions from fuel combustion (MtCO2)]]&gt;Energy_data_1990___2020[[#Totals],[CO2 emissions from fuel combustion (MtCO2)]],"Above Average","")</f>
        <v/>
      </c>
      <c r="W514" s="1">
        <f>SUM(Energy_data_1990___2020[[#This Row],[Coal and lignite production (Mt)]]-Energy_data_1990___2020[[#This Row],[Coal and lignite domestic consumption (Mt)]])</f>
        <v>-25.077999999999999</v>
      </c>
    </row>
    <row r="515" spans="1:23">
      <c r="A515" t="s">
        <v>45</v>
      </c>
      <c r="B515">
        <v>2007</v>
      </c>
      <c r="C515" t="s">
        <v>30</v>
      </c>
      <c r="D515">
        <v>451.03010569999998</v>
      </c>
      <c r="E515">
        <v>2.4460129359999998</v>
      </c>
      <c r="F515">
        <v>0.18555570599999999</v>
      </c>
      <c r="G515">
        <v>31.454492089999999</v>
      </c>
      <c r="H515">
        <v>184.39399850000001</v>
      </c>
      <c r="I515">
        <v>17.006120039999999</v>
      </c>
      <c r="J515">
        <v>18.93994897</v>
      </c>
      <c r="K515">
        <v>77.930000000000007</v>
      </c>
      <c r="L515">
        <v>100.714</v>
      </c>
      <c r="M515">
        <v>9.7060104999999997</v>
      </c>
      <c r="N515">
        <v>84.897007869999996</v>
      </c>
      <c r="O515">
        <v>7.5860475999999996E-2</v>
      </c>
      <c r="P515">
        <v>313.887</v>
      </c>
      <c r="Q515">
        <v>318.95400000000001</v>
      </c>
      <c r="R515">
        <v>25.378</v>
      </c>
      <c r="S515">
        <v>3.3967638039999999</v>
      </c>
      <c r="T515">
        <v>6.609</v>
      </c>
      <c r="U515">
        <v>0.16300000000000001</v>
      </c>
      <c r="V515" s="1" t="str">
        <f>IF(Energy_data_1990___2020[[#This Row],[CO2 emissions from fuel combustion (MtCO2)]]&gt;Energy_data_1990___2020[[#Totals],[CO2 emissions from fuel combustion (MtCO2)]],"Above Average","")</f>
        <v/>
      </c>
      <c r="W515" s="1">
        <f>SUM(Energy_data_1990___2020[[#This Row],[Coal and lignite production (Mt)]]-Energy_data_1990___2020[[#This Row],[Coal and lignite domestic consumption (Mt)]])</f>
        <v>-25.215</v>
      </c>
    </row>
    <row r="516" spans="1:23">
      <c r="A516" t="s">
        <v>45</v>
      </c>
      <c r="B516">
        <v>2008</v>
      </c>
      <c r="C516" t="s">
        <v>30</v>
      </c>
      <c r="D516">
        <v>440.01980689999999</v>
      </c>
      <c r="E516">
        <v>2.4181493189999999</v>
      </c>
      <c r="F516">
        <v>0.182784432</v>
      </c>
      <c r="G516">
        <v>33.223772889999999</v>
      </c>
      <c r="H516">
        <v>181.96552360000001</v>
      </c>
      <c r="I516">
        <v>19.981449619999999</v>
      </c>
      <c r="J516">
        <v>18.974877530000001</v>
      </c>
      <c r="K516">
        <v>74.451999999999998</v>
      </c>
      <c r="L516">
        <v>94.72</v>
      </c>
      <c r="M516">
        <v>9.2549907870000006</v>
      </c>
      <c r="N516">
        <v>84.883044620000007</v>
      </c>
      <c r="O516">
        <v>7.5588562999999998E-2</v>
      </c>
      <c r="P516">
        <v>319.13099999999997</v>
      </c>
      <c r="Q516">
        <v>319.036</v>
      </c>
      <c r="R516">
        <v>24.678999999999998</v>
      </c>
      <c r="S516">
        <v>3.6004023429999998</v>
      </c>
      <c r="T516">
        <v>6.0529999999999999</v>
      </c>
      <c r="U516">
        <v>0.25</v>
      </c>
      <c r="V516" s="1" t="str">
        <f>IF(Energy_data_1990___2020[[#This Row],[CO2 emissions from fuel combustion (MtCO2)]]&gt;Energy_data_1990___2020[[#Totals],[CO2 emissions from fuel combustion (MtCO2)]],"Above Average","")</f>
        <v/>
      </c>
      <c r="W516" s="1">
        <f>SUM(Energy_data_1990___2020[[#This Row],[Coal and lignite production (Mt)]]-Energy_data_1990___2020[[#This Row],[Coal and lignite domestic consumption (Mt)]])</f>
        <v>-24.428999999999998</v>
      </c>
    </row>
    <row r="517" spans="1:23">
      <c r="A517" t="s">
        <v>45</v>
      </c>
      <c r="B517">
        <v>2009</v>
      </c>
      <c r="C517" t="s">
        <v>30</v>
      </c>
      <c r="D517">
        <v>393.41233890000001</v>
      </c>
      <c r="E517">
        <v>2.3155013649999998</v>
      </c>
      <c r="F517">
        <v>0.172535141</v>
      </c>
      <c r="G517">
        <v>31.951492760000001</v>
      </c>
      <c r="H517">
        <v>169.90373869999999</v>
      </c>
      <c r="I517">
        <v>25.136686709999999</v>
      </c>
      <c r="J517">
        <v>18.904688499999999</v>
      </c>
      <c r="K517">
        <v>67.739000000000004</v>
      </c>
      <c r="L517">
        <v>86.477999999999994</v>
      </c>
      <c r="M517">
        <v>8.0130027269999999</v>
      </c>
      <c r="N517">
        <v>78.024068240000005</v>
      </c>
      <c r="O517">
        <v>7.4513080999999995E-2</v>
      </c>
      <c r="P517">
        <v>292.64</v>
      </c>
      <c r="Q517">
        <v>299.91500000000002</v>
      </c>
      <c r="R517">
        <v>19.681000000000001</v>
      </c>
      <c r="S517">
        <v>4.4983597590000004</v>
      </c>
      <c r="T517">
        <v>5.2370000000000001</v>
      </c>
      <c r="U517">
        <v>9.8000000000000004E-2</v>
      </c>
      <c r="V517" s="1" t="str">
        <f>IF(Energy_data_1990___2020[[#This Row],[CO2 emissions from fuel combustion (MtCO2)]]&gt;Energy_data_1990___2020[[#Totals],[CO2 emissions from fuel combustion (MtCO2)]],"Above Average","")</f>
        <v/>
      </c>
      <c r="W517" s="1">
        <f>SUM(Energy_data_1990___2020[[#This Row],[Coal and lignite production (Mt)]]-Energy_data_1990___2020[[#This Row],[Coal and lignite domestic consumption (Mt)]])</f>
        <v>-19.583000000000002</v>
      </c>
    </row>
    <row r="518" spans="1:23">
      <c r="A518" t="s">
        <v>45</v>
      </c>
      <c r="B518">
        <v>2010</v>
      </c>
      <c r="C518" t="s">
        <v>30</v>
      </c>
      <c r="D518">
        <v>402.00855630000001</v>
      </c>
      <c r="E518">
        <v>2.310958147</v>
      </c>
      <c r="F518">
        <v>0.173335355</v>
      </c>
      <c r="G518">
        <v>33.224014369999999</v>
      </c>
      <c r="H518">
        <v>173.95752350000001</v>
      </c>
      <c r="I518">
        <v>26.56920388</v>
      </c>
      <c r="J518">
        <v>19.039228340000001</v>
      </c>
      <c r="K518">
        <v>66.546999999999997</v>
      </c>
      <c r="L518">
        <v>90.131</v>
      </c>
      <c r="M518">
        <v>8.4060063150000008</v>
      </c>
      <c r="N518">
        <v>83.096981630000002</v>
      </c>
      <c r="O518">
        <v>7.5005839000000005E-2</v>
      </c>
      <c r="P518">
        <v>302.06400000000002</v>
      </c>
      <c r="Q518">
        <v>309.88299999999998</v>
      </c>
      <c r="R518">
        <v>21.6</v>
      </c>
      <c r="S518">
        <v>5.6891916939999998</v>
      </c>
      <c r="T518">
        <v>5.9820000000000002</v>
      </c>
      <c r="U518">
        <v>9.5000000000000001E-2</v>
      </c>
      <c r="V518" s="1" t="str">
        <f>IF(Energy_data_1990___2020[[#This Row],[CO2 emissions from fuel combustion (MtCO2)]]&gt;Energy_data_1990___2020[[#Totals],[CO2 emissions from fuel combustion (MtCO2)]],"Above Average","")</f>
        <v/>
      </c>
      <c r="W518" s="1">
        <f>SUM(Energy_data_1990___2020[[#This Row],[Coal and lignite production (Mt)]]-Energy_data_1990___2020[[#This Row],[Coal and lignite domestic consumption (Mt)]])</f>
        <v>-21.505000000000003</v>
      </c>
    </row>
    <row r="519" spans="1:23">
      <c r="A519" t="s">
        <v>45</v>
      </c>
      <c r="B519">
        <v>2011</v>
      </c>
      <c r="C519" t="s">
        <v>30</v>
      </c>
      <c r="D519">
        <v>393.49144760000001</v>
      </c>
      <c r="E519">
        <v>2.3396849799999999</v>
      </c>
      <c r="F519">
        <v>0.16847135199999999</v>
      </c>
      <c r="G519">
        <v>32.156565829999998</v>
      </c>
      <c r="H519">
        <v>168.18137960000001</v>
      </c>
      <c r="I519">
        <v>28.057518290000001</v>
      </c>
      <c r="J519">
        <v>20.08227492</v>
      </c>
      <c r="K519">
        <v>64.296999999999997</v>
      </c>
      <c r="L519">
        <v>85.641999999999996</v>
      </c>
      <c r="M519">
        <v>8.4489944829999999</v>
      </c>
      <c r="N519">
        <v>77.916902890000003</v>
      </c>
      <c r="O519">
        <v>7.2005998000000002E-2</v>
      </c>
      <c r="P519">
        <v>302.58199999999999</v>
      </c>
      <c r="Q519">
        <v>313.791</v>
      </c>
      <c r="R519">
        <v>24.172000000000001</v>
      </c>
      <c r="S519">
        <v>8.960876721</v>
      </c>
      <c r="T519">
        <v>5.8250000000000002</v>
      </c>
      <c r="U519">
        <v>2.1000000000000001E-2</v>
      </c>
      <c r="V519" s="1" t="str">
        <f>IF(Energy_data_1990___2020[[#This Row],[CO2 emissions from fuel combustion (MtCO2)]]&gt;Energy_data_1990___2020[[#Totals],[CO2 emissions from fuel combustion (MtCO2)]],"Above Average","")</f>
        <v/>
      </c>
      <c r="W519" s="1">
        <f>SUM(Energy_data_1990___2020[[#This Row],[Coal and lignite production (Mt)]]-Energy_data_1990___2020[[#This Row],[Coal and lignite domestic consumption (Mt)]])</f>
        <v>-24.151</v>
      </c>
    </row>
    <row r="520" spans="1:23">
      <c r="A520" t="s">
        <v>45</v>
      </c>
      <c r="B520">
        <v>2012</v>
      </c>
      <c r="C520" t="s">
        <v>30</v>
      </c>
      <c r="D520">
        <v>374.88421599999998</v>
      </c>
      <c r="E520">
        <v>2.3206141320000002</v>
      </c>
      <c r="F520">
        <v>0.165436259</v>
      </c>
      <c r="G520">
        <v>35.170393660000002</v>
      </c>
      <c r="H520">
        <v>161.5452612</v>
      </c>
      <c r="I520">
        <v>31.476525089999999</v>
      </c>
      <c r="J520">
        <v>20.140938810000002</v>
      </c>
      <c r="K520">
        <v>58.63</v>
      </c>
      <c r="L520">
        <v>81.597999999999999</v>
      </c>
      <c r="M520">
        <v>8.6049905379999991</v>
      </c>
      <c r="N520">
        <v>74.915039370000002</v>
      </c>
      <c r="O520">
        <v>7.1289860999999996E-2</v>
      </c>
      <c r="P520">
        <v>299.27699999999999</v>
      </c>
      <c r="Q520">
        <v>307.22199999999998</v>
      </c>
      <c r="R520">
        <v>24.95</v>
      </c>
      <c r="S520">
        <v>12.901759910000001</v>
      </c>
      <c r="T520">
        <v>5.7859999999999996</v>
      </c>
      <c r="U520">
        <v>0.158</v>
      </c>
      <c r="V520" s="1" t="str">
        <f>IF(Energy_data_1990___2020[[#This Row],[CO2 emissions from fuel combustion (MtCO2)]]&gt;Energy_data_1990___2020[[#Totals],[CO2 emissions from fuel combustion (MtCO2)]],"Above Average","")</f>
        <v/>
      </c>
      <c r="W520" s="1">
        <f>SUM(Energy_data_1990___2020[[#This Row],[Coal and lignite production (Mt)]]-Energy_data_1990___2020[[#This Row],[Coal and lignite domestic consumption (Mt)]])</f>
        <v>-24.791999999999998</v>
      </c>
    </row>
    <row r="521" spans="1:23">
      <c r="A521" t="s">
        <v>45</v>
      </c>
      <c r="B521">
        <v>2013</v>
      </c>
      <c r="C521" t="s">
        <v>30</v>
      </c>
      <c r="D521">
        <v>343.70294250000001</v>
      </c>
      <c r="E521">
        <v>2.2089346779999999</v>
      </c>
      <c r="F521">
        <v>0.15452080500000001</v>
      </c>
      <c r="G521">
        <v>36.97419842</v>
      </c>
      <c r="H521">
        <v>155.59669819999999</v>
      </c>
      <c r="I521">
        <v>39.305468810000001</v>
      </c>
      <c r="J521">
        <v>20.278147100000002</v>
      </c>
      <c r="K521">
        <v>53.277000000000001</v>
      </c>
      <c r="L521">
        <v>69.628</v>
      </c>
      <c r="M521">
        <v>7.7349928219999997</v>
      </c>
      <c r="N521">
        <v>70.069028869999997</v>
      </c>
      <c r="O521">
        <v>6.9952636999999998E-2</v>
      </c>
      <c r="P521">
        <v>289.80700000000002</v>
      </c>
      <c r="Q521">
        <v>297.28899999999999</v>
      </c>
      <c r="R521">
        <v>21.632000000000001</v>
      </c>
      <c r="S521">
        <v>14.80226496</v>
      </c>
      <c r="T521">
        <v>5.9130000000000003</v>
      </c>
      <c r="U521">
        <v>0.11700000000000001</v>
      </c>
      <c r="V521" s="1" t="str">
        <f>IF(Energy_data_1990___2020[[#This Row],[CO2 emissions from fuel combustion (MtCO2)]]&gt;Energy_data_1990___2020[[#Totals],[CO2 emissions from fuel combustion (MtCO2)]],"Above Average","")</f>
        <v/>
      </c>
      <c r="W521" s="1">
        <f>SUM(Energy_data_1990___2020[[#This Row],[Coal and lignite production (Mt)]]-Energy_data_1990___2020[[#This Row],[Coal and lignite domestic consumption (Mt)]])</f>
        <v>-21.515000000000001</v>
      </c>
    </row>
    <row r="522" spans="1:23">
      <c r="A522" t="s">
        <v>45</v>
      </c>
      <c r="B522">
        <v>2014</v>
      </c>
      <c r="C522" t="s">
        <v>30</v>
      </c>
      <c r="D522">
        <v>328.13164460000002</v>
      </c>
      <c r="E522">
        <v>2.2327285240000001</v>
      </c>
      <c r="F522">
        <v>0.14752702200000001</v>
      </c>
      <c r="G522">
        <v>36.890054280000001</v>
      </c>
      <c r="H522">
        <v>146.9644164</v>
      </c>
      <c r="I522">
        <v>43.737737959999997</v>
      </c>
      <c r="J522">
        <v>20.596082630000002</v>
      </c>
      <c r="K522">
        <v>53.646000000000001</v>
      </c>
      <c r="L522">
        <v>66.337000000000003</v>
      </c>
      <c r="M522">
        <v>7.1490026249999996</v>
      </c>
      <c r="N522">
        <v>61.911994749999998</v>
      </c>
      <c r="O522">
        <v>6.6074769000000005E-2</v>
      </c>
      <c r="P522">
        <v>279.827</v>
      </c>
      <c r="Q522">
        <v>291.08499999999998</v>
      </c>
      <c r="R522">
        <v>21.292000000000002</v>
      </c>
      <c r="S522">
        <v>15.74580008</v>
      </c>
      <c r="T522">
        <v>6.13</v>
      </c>
      <c r="U522">
        <v>7.1999999999999995E-2</v>
      </c>
      <c r="V522" s="1" t="str">
        <f>IF(Energy_data_1990___2020[[#This Row],[CO2 emissions from fuel combustion (MtCO2)]]&gt;Energy_data_1990___2020[[#Totals],[CO2 emissions from fuel combustion (MtCO2)]],"Above Average","")</f>
        <v/>
      </c>
      <c r="W522" s="1">
        <f>SUM(Energy_data_1990___2020[[#This Row],[Coal and lignite production (Mt)]]-Energy_data_1990___2020[[#This Row],[Coal and lignite domestic consumption (Mt)]])</f>
        <v>-21.220000000000002</v>
      </c>
    </row>
    <row r="523" spans="1:23">
      <c r="A523" t="s">
        <v>45</v>
      </c>
      <c r="B523">
        <v>2015</v>
      </c>
      <c r="C523" t="s">
        <v>30</v>
      </c>
      <c r="D523">
        <v>335.96384440000003</v>
      </c>
      <c r="E523">
        <v>2.1993703789999999</v>
      </c>
      <c r="F523">
        <v>0.149881819</v>
      </c>
      <c r="G523">
        <v>36.289559339999997</v>
      </c>
      <c r="H523">
        <v>152.75455539999999</v>
      </c>
      <c r="I523">
        <v>38.989303620000001</v>
      </c>
      <c r="J523">
        <v>20.635577510000001</v>
      </c>
      <c r="K523">
        <v>54.152999999999999</v>
      </c>
      <c r="L523">
        <v>73.935000000000002</v>
      </c>
      <c r="M523">
        <v>6.7709973750000003</v>
      </c>
      <c r="N523">
        <v>67.523018370000003</v>
      </c>
      <c r="O523">
        <v>6.8147603000000001E-2</v>
      </c>
      <c r="P523">
        <v>282.99299999999999</v>
      </c>
      <c r="Q523">
        <v>297.18</v>
      </c>
      <c r="R523">
        <v>19.974</v>
      </c>
      <c r="S523">
        <v>15.74809271</v>
      </c>
      <c r="T523">
        <v>5.83</v>
      </c>
      <c r="U523">
        <v>0.10100000000000001</v>
      </c>
      <c r="V523" s="1" t="str">
        <f>IF(Energy_data_1990___2020[[#This Row],[CO2 emissions from fuel combustion (MtCO2)]]&gt;Energy_data_1990___2020[[#Totals],[CO2 emissions from fuel combustion (MtCO2)]],"Above Average","")</f>
        <v/>
      </c>
      <c r="W523" s="1">
        <f>SUM(Energy_data_1990___2020[[#This Row],[Coal and lignite production (Mt)]]-Energy_data_1990___2020[[#This Row],[Coal and lignite domestic consumption (Mt)]])</f>
        <v>-19.873000000000001</v>
      </c>
    </row>
    <row r="524" spans="1:23">
      <c r="A524" t="s">
        <v>45</v>
      </c>
      <c r="B524">
        <v>2016</v>
      </c>
      <c r="C524" t="s">
        <v>30</v>
      </c>
      <c r="D524">
        <v>333.0611768</v>
      </c>
      <c r="E524">
        <v>2.203043455</v>
      </c>
      <c r="F524">
        <v>0.14670946900000001</v>
      </c>
      <c r="G524">
        <v>33.721656600000003</v>
      </c>
      <c r="H524">
        <v>151.18230009999999</v>
      </c>
      <c r="I524">
        <v>37.908947849999997</v>
      </c>
      <c r="J524">
        <v>20.666080350000001</v>
      </c>
      <c r="K524">
        <v>52.076000000000001</v>
      </c>
      <c r="L524">
        <v>71.361000000000004</v>
      </c>
      <c r="M524">
        <v>5.7849979400000002</v>
      </c>
      <c r="N524">
        <v>70.915013119999998</v>
      </c>
      <c r="O524">
        <v>6.6593997000000002E-2</v>
      </c>
      <c r="P524">
        <v>289.76799999999997</v>
      </c>
      <c r="Q524">
        <v>295.50900000000001</v>
      </c>
      <c r="R524">
        <v>17.754999999999999</v>
      </c>
      <c r="S524">
        <v>16.157063579999999</v>
      </c>
      <c r="T524">
        <v>4.0659999999999998</v>
      </c>
      <c r="U524">
        <v>9.1999999999999998E-2</v>
      </c>
      <c r="V524" s="1" t="str">
        <f>IF(Energy_data_1990___2020[[#This Row],[CO2 emissions from fuel combustion (MtCO2)]]&gt;Energy_data_1990___2020[[#Totals],[CO2 emissions from fuel combustion (MtCO2)]],"Above Average","")</f>
        <v/>
      </c>
      <c r="W524" s="1">
        <f>SUM(Energy_data_1990___2020[[#This Row],[Coal and lignite production (Mt)]]-Energy_data_1990___2020[[#This Row],[Coal and lignite domestic consumption (Mt)]])</f>
        <v>-17.663</v>
      </c>
    </row>
    <row r="525" spans="1:23">
      <c r="A525" t="s">
        <v>45</v>
      </c>
      <c r="B525">
        <v>2017</v>
      </c>
      <c r="C525" t="s">
        <v>30</v>
      </c>
      <c r="D525">
        <v>329.23203849999999</v>
      </c>
      <c r="E525">
        <v>2.1429128070000001</v>
      </c>
      <c r="F525">
        <v>0.14257593700000001</v>
      </c>
      <c r="G525">
        <v>34.20789216</v>
      </c>
      <c r="H525">
        <v>153.63762700000001</v>
      </c>
      <c r="I525">
        <v>35.737962369999998</v>
      </c>
      <c r="J525">
        <v>20.972963889999999</v>
      </c>
      <c r="K525">
        <v>51.567726</v>
      </c>
      <c r="L525">
        <v>74.946192999999994</v>
      </c>
      <c r="M525">
        <v>5.5383529920000001</v>
      </c>
      <c r="N525">
        <v>75.160187480000005</v>
      </c>
      <c r="O525">
        <v>6.6533708999999996E-2</v>
      </c>
      <c r="P525">
        <v>295.83001100000001</v>
      </c>
      <c r="Q525">
        <v>301.880515</v>
      </c>
      <c r="R525">
        <v>15.53661462</v>
      </c>
      <c r="S525">
        <v>16.557404649999999</v>
      </c>
      <c r="T525">
        <v>4.4980000000000002</v>
      </c>
      <c r="U525">
        <v>0.08</v>
      </c>
      <c r="V525" s="1" t="str">
        <f>IF(Energy_data_1990___2020[[#This Row],[CO2 emissions from fuel combustion (MtCO2)]]&gt;Energy_data_1990___2020[[#Totals],[CO2 emissions from fuel combustion (MtCO2)]],"Above Average","")</f>
        <v/>
      </c>
      <c r="W525" s="1">
        <f>SUM(Energy_data_1990___2020[[#This Row],[Coal and lignite production (Mt)]]-Energy_data_1990___2020[[#This Row],[Coal and lignite domestic consumption (Mt)]])</f>
        <v>-15.45661462</v>
      </c>
    </row>
    <row r="526" spans="1:23">
      <c r="A526" t="s">
        <v>45</v>
      </c>
      <c r="B526">
        <v>2018</v>
      </c>
      <c r="C526" t="s">
        <v>30</v>
      </c>
      <c r="D526">
        <v>323.95533499999999</v>
      </c>
      <c r="E526">
        <v>2.146174223</v>
      </c>
      <c r="F526">
        <v>0.139212848</v>
      </c>
      <c r="G526">
        <v>35.026431969999997</v>
      </c>
      <c r="H526">
        <v>150.94549710000001</v>
      </c>
      <c r="I526">
        <v>40.085474830000003</v>
      </c>
      <c r="J526">
        <v>21.050621360000001</v>
      </c>
      <c r="K526">
        <v>51.813485</v>
      </c>
      <c r="L526">
        <v>71.741136999999995</v>
      </c>
      <c r="M526">
        <v>5.4479750129999998</v>
      </c>
      <c r="N526">
        <v>72.69490639</v>
      </c>
      <c r="O526">
        <v>6.4865586000000003E-2</v>
      </c>
      <c r="P526">
        <v>289.70843300000001</v>
      </c>
      <c r="Q526">
        <v>303.44297</v>
      </c>
      <c r="R526">
        <v>14.283772000000001</v>
      </c>
      <c r="S526">
        <v>16.249736850000001</v>
      </c>
      <c r="T526">
        <v>5.2427599999999996</v>
      </c>
      <c r="U526">
        <v>7.2999999999999995E-2</v>
      </c>
      <c r="V526" s="1" t="str">
        <f>IF(Energy_data_1990___2020[[#This Row],[CO2 emissions from fuel combustion (MtCO2)]]&gt;Energy_data_1990___2020[[#Totals],[CO2 emissions from fuel combustion (MtCO2)]],"Above Average","")</f>
        <v/>
      </c>
      <c r="W526" s="1">
        <f>SUM(Energy_data_1990___2020[[#This Row],[Coal and lignite production (Mt)]]-Energy_data_1990___2020[[#This Row],[Coal and lignite domestic consumption (Mt)]])</f>
        <v>-14.210772</v>
      </c>
    </row>
    <row r="527" spans="1:23">
      <c r="A527" t="s">
        <v>45</v>
      </c>
      <c r="B527">
        <v>2019</v>
      </c>
      <c r="C527" t="s">
        <v>30</v>
      </c>
      <c r="D527">
        <v>317.3631967</v>
      </c>
      <c r="E527">
        <v>2.1260336080000002</v>
      </c>
      <c r="F527">
        <v>0.135970746</v>
      </c>
      <c r="G527">
        <v>34.3520842</v>
      </c>
      <c r="H527">
        <v>149.2747789</v>
      </c>
      <c r="I527">
        <v>39.931160460000001</v>
      </c>
      <c r="J527">
        <v>21.148490809999998</v>
      </c>
      <c r="K527">
        <v>51.553709320000003</v>
      </c>
      <c r="L527">
        <v>70.541186850000003</v>
      </c>
      <c r="M527">
        <v>4.8564348270000002</v>
      </c>
      <c r="N527">
        <v>74.352466449999994</v>
      </c>
      <c r="O527">
        <v>6.3955125000000002E-2</v>
      </c>
      <c r="P527">
        <v>291.61970389999999</v>
      </c>
      <c r="Q527">
        <v>301.66544349999998</v>
      </c>
      <c r="R527">
        <v>10.022901579999999</v>
      </c>
      <c r="S527">
        <v>17.297853709999998</v>
      </c>
      <c r="T527">
        <v>4.7259256000000001</v>
      </c>
      <c r="U527">
        <v>8.5999999999999993E-2</v>
      </c>
      <c r="V527" s="1" t="str">
        <f>IF(Energy_data_1990___2020[[#This Row],[CO2 emissions from fuel combustion (MtCO2)]]&gt;Energy_data_1990___2020[[#Totals],[CO2 emissions from fuel combustion (MtCO2)]],"Above Average","")</f>
        <v/>
      </c>
      <c r="W527" s="1">
        <f>SUM(Energy_data_1990___2020[[#This Row],[Coal and lignite production (Mt)]]-Energy_data_1990___2020[[#This Row],[Coal and lignite domestic consumption (Mt)]])</f>
        <v>-9.9369015799999989</v>
      </c>
    </row>
    <row r="528" spans="1:23">
      <c r="A528" t="s">
        <v>45</v>
      </c>
      <c r="B528">
        <v>2020</v>
      </c>
      <c r="C528" t="s">
        <v>30</v>
      </c>
      <c r="D528">
        <v>275.7545824</v>
      </c>
      <c r="E528">
        <v>2.0107812030000001</v>
      </c>
      <c r="F528">
        <v>0.12968605499999999</v>
      </c>
      <c r="G528">
        <v>35.408706530000003</v>
      </c>
      <c r="H528">
        <v>137.13803469999999</v>
      </c>
      <c r="I528">
        <v>42.014583739999999</v>
      </c>
      <c r="J528">
        <v>21.988464910000001</v>
      </c>
      <c r="K528">
        <v>41.700748070000003</v>
      </c>
      <c r="L528">
        <v>59.190657459999997</v>
      </c>
      <c r="M528">
        <v>4.0726884109999997</v>
      </c>
      <c r="N528">
        <v>71.066080369999995</v>
      </c>
      <c r="O528">
        <v>6.4495359000000002E-2</v>
      </c>
      <c r="P528">
        <v>280.4848533</v>
      </c>
      <c r="Q528">
        <v>285.71190890000003</v>
      </c>
      <c r="R528">
        <v>7.4225218079999999</v>
      </c>
      <c r="S528">
        <v>18.277056850000001</v>
      </c>
      <c r="T528">
        <v>6.0666439839999997</v>
      </c>
      <c r="U528">
        <v>8.1000000000000003E-2</v>
      </c>
      <c r="V528" s="1" t="str">
        <f>IF(Energy_data_1990___2020[[#This Row],[CO2 emissions from fuel combustion (MtCO2)]]&gt;Energy_data_1990___2020[[#Totals],[CO2 emissions from fuel combustion (MtCO2)]],"Above Average","")</f>
        <v/>
      </c>
      <c r="W528" s="1">
        <f>SUM(Energy_data_1990___2020[[#This Row],[Coal and lignite production (Mt)]]-Energy_data_1990___2020[[#This Row],[Coal and lignite domestic consumption (Mt)]])</f>
        <v>-7.3415218079999995</v>
      </c>
    </row>
    <row r="529" spans="1:23">
      <c r="A529" t="s">
        <v>46</v>
      </c>
      <c r="B529">
        <v>1990</v>
      </c>
      <c r="C529" t="s">
        <v>28</v>
      </c>
      <c r="D529">
        <v>1055.1401820000001</v>
      </c>
      <c r="E529">
        <v>2.3961507389999999</v>
      </c>
      <c r="F529">
        <v>0.26156705600000002</v>
      </c>
      <c r="G529">
        <v>76.186191410000006</v>
      </c>
      <c r="H529">
        <v>440.34799850000002</v>
      </c>
      <c r="I529">
        <v>12.35389176</v>
      </c>
      <c r="J529">
        <v>21.075591320000001</v>
      </c>
      <c r="K529">
        <v>221.49700000000001</v>
      </c>
      <c r="L529">
        <v>177.834</v>
      </c>
      <c r="M529">
        <v>2.2449986279999998</v>
      </c>
      <c r="N529">
        <v>60.180053149999999</v>
      </c>
      <c r="O529">
        <v>0.109161353</v>
      </c>
      <c r="P529">
        <v>870.673</v>
      </c>
      <c r="Q529">
        <v>774.85799999999995</v>
      </c>
      <c r="R529">
        <v>121.7550219</v>
      </c>
      <c r="S529">
        <v>2.450058748</v>
      </c>
      <c r="T529">
        <v>0.52600000000000002</v>
      </c>
      <c r="U529">
        <v>7.9850000000000003</v>
      </c>
      <c r="V529" s="1" t="str">
        <f>IF(Energy_data_1990___2020[[#This Row],[CO2 emissions from fuel combustion (MtCO2)]]&gt;Energy_data_1990___2020[[#Totals],[CO2 emissions from fuel combustion (MtCO2)]],"Above Average","")</f>
        <v>Above Average</v>
      </c>
      <c r="W529" s="1">
        <f>SUM(Energy_data_1990___2020[[#This Row],[Coal and lignite production (Mt)]]-Energy_data_1990___2020[[#This Row],[Coal and lignite domestic consumption (Mt)]])</f>
        <v>-113.7700219</v>
      </c>
    </row>
    <row r="530" spans="1:23">
      <c r="A530" t="s">
        <v>46</v>
      </c>
      <c r="B530">
        <v>1991</v>
      </c>
      <c r="C530" t="s">
        <v>28</v>
      </c>
      <c r="D530">
        <v>1061.9454029999999</v>
      </c>
      <c r="E530">
        <v>2.3867297409999999</v>
      </c>
      <c r="F530">
        <v>0.25455465900000002</v>
      </c>
      <c r="G530">
        <v>80.133680400000003</v>
      </c>
      <c r="H530">
        <v>444.93743269999999</v>
      </c>
      <c r="I530">
        <v>13.109925779999999</v>
      </c>
      <c r="J530">
        <v>21.387242700000002</v>
      </c>
      <c r="K530">
        <v>222.93299999999999</v>
      </c>
      <c r="L530">
        <v>187.19900000000001</v>
      </c>
      <c r="M530">
        <v>2.3510015970000002</v>
      </c>
      <c r="N530">
        <v>64.445099940000006</v>
      </c>
      <c r="O530">
        <v>0.106654161</v>
      </c>
      <c r="P530">
        <v>898.38800000000003</v>
      </c>
      <c r="Q530">
        <v>798.32399999999996</v>
      </c>
      <c r="R530">
        <v>122.3812982</v>
      </c>
      <c r="S530">
        <v>2.4542847860000001</v>
      </c>
      <c r="T530">
        <v>0.76900000000000002</v>
      </c>
      <c r="U530">
        <v>7.931</v>
      </c>
      <c r="V530" s="1" t="str">
        <f>IF(Energy_data_1990___2020[[#This Row],[CO2 emissions from fuel combustion (MtCO2)]]&gt;Energy_data_1990___2020[[#Totals],[CO2 emissions from fuel combustion (MtCO2)]],"Above Average","")</f>
        <v>Above Average</v>
      </c>
      <c r="W530" s="1">
        <f>SUM(Energy_data_1990___2020[[#This Row],[Coal and lignite production (Mt)]]-Energy_data_1990___2020[[#This Row],[Coal and lignite domestic consumption (Mt)]])</f>
        <v>-114.45029820000001</v>
      </c>
    </row>
    <row r="531" spans="1:23">
      <c r="A531" t="s">
        <v>46</v>
      </c>
      <c r="B531">
        <v>1992</v>
      </c>
      <c r="C531" t="s">
        <v>28</v>
      </c>
      <c r="D531">
        <v>1071.2508700000001</v>
      </c>
      <c r="E531">
        <v>2.3550533200000001</v>
      </c>
      <c r="F531">
        <v>0.25462583100000002</v>
      </c>
      <c r="G531">
        <v>81.152463569999995</v>
      </c>
      <c r="H531">
        <v>454.87329770000002</v>
      </c>
      <c r="I531">
        <v>11.27394069</v>
      </c>
      <c r="J531">
        <v>21.448582850000001</v>
      </c>
      <c r="K531">
        <v>226.36799999999999</v>
      </c>
      <c r="L531">
        <v>196.86699999999999</v>
      </c>
      <c r="M531">
        <v>2.3270022579999998</v>
      </c>
      <c r="N531">
        <v>65.168972690000004</v>
      </c>
      <c r="O531">
        <v>0.10811892400000001</v>
      </c>
      <c r="P531">
        <v>903.53499999999997</v>
      </c>
      <c r="Q531">
        <v>806.20100000000002</v>
      </c>
      <c r="R531">
        <v>121.5019386</v>
      </c>
      <c r="S531">
        <v>2.4202714890000001</v>
      </c>
      <c r="T531">
        <v>0.80100000000000005</v>
      </c>
      <c r="U531">
        <v>7.6020000000000003</v>
      </c>
      <c r="V531" s="1" t="str">
        <f>IF(Energy_data_1990___2020[[#This Row],[CO2 emissions from fuel combustion (MtCO2)]]&gt;Energy_data_1990___2020[[#Totals],[CO2 emissions from fuel combustion (MtCO2)]],"Above Average","")</f>
        <v>Above Average</v>
      </c>
      <c r="W531" s="1">
        <f>SUM(Energy_data_1990___2020[[#This Row],[Coal and lignite production (Mt)]]-Energy_data_1990___2020[[#This Row],[Coal and lignite domestic consumption (Mt)]])</f>
        <v>-113.8999386</v>
      </c>
    </row>
    <row r="532" spans="1:23">
      <c r="A532" t="s">
        <v>46</v>
      </c>
      <c r="B532">
        <v>1993</v>
      </c>
      <c r="C532" t="s">
        <v>28</v>
      </c>
      <c r="D532">
        <v>1064.4351710000001</v>
      </c>
      <c r="E532">
        <v>2.3260537139999999</v>
      </c>
      <c r="F532">
        <v>0.254322995</v>
      </c>
      <c r="G532">
        <v>88.533056520000002</v>
      </c>
      <c r="H532">
        <v>457.61418359999999</v>
      </c>
      <c r="I532">
        <v>12.91967584</v>
      </c>
      <c r="J532">
        <v>21.4085967</v>
      </c>
      <c r="K532">
        <v>225.02699999999999</v>
      </c>
      <c r="L532">
        <v>202.65899999999999</v>
      </c>
      <c r="M532">
        <v>2.3980002499999999</v>
      </c>
      <c r="N532">
        <v>66.713012829999997</v>
      </c>
      <c r="O532">
        <v>0.109336682</v>
      </c>
      <c r="P532">
        <v>911.65599999999995</v>
      </c>
      <c r="Q532">
        <v>813.67700000000002</v>
      </c>
      <c r="R532">
        <v>124.2157191</v>
      </c>
      <c r="S532">
        <v>2.4167010360000001</v>
      </c>
      <c r="T532">
        <v>0.73499999999999999</v>
      </c>
      <c r="U532">
        <v>7.2060000000000004</v>
      </c>
      <c r="V532" s="1" t="str">
        <f>IF(Energy_data_1990___2020[[#This Row],[CO2 emissions from fuel combustion (MtCO2)]]&gt;Energy_data_1990___2020[[#Totals],[CO2 emissions from fuel combustion (MtCO2)]],"Above Average","")</f>
        <v>Above Average</v>
      </c>
      <c r="W532" s="1">
        <f>SUM(Energy_data_1990___2020[[#This Row],[Coal and lignite production (Mt)]]-Energy_data_1990___2020[[#This Row],[Coal and lignite domestic consumption (Mt)]])</f>
        <v>-117.0097191</v>
      </c>
    </row>
    <row r="533" spans="1:23">
      <c r="A533" t="s">
        <v>46</v>
      </c>
      <c r="B533">
        <v>1994</v>
      </c>
      <c r="C533" t="s">
        <v>28</v>
      </c>
      <c r="D533">
        <v>1116.0877740000001</v>
      </c>
      <c r="E533">
        <v>2.3131210750000002</v>
      </c>
      <c r="F533">
        <v>0.26404211700000002</v>
      </c>
      <c r="G533">
        <v>91.381162309999993</v>
      </c>
      <c r="H533">
        <v>482.50296359999999</v>
      </c>
      <c r="I533">
        <v>9.0932081710000006</v>
      </c>
      <c r="J533">
        <v>22.04821476</v>
      </c>
      <c r="K533">
        <v>233.63900000000001</v>
      </c>
      <c r="L533">
        <v>211.81700000000001</v>
      </c>
      <c r="M533">
        <v>2.384997678</v>
      </c>
      <c r="N533">
        <v>70.010096279999999</v>
      </c>
      <c r="O533">
        <v>0.114149717</v>
      </c>
      <c r="P533">
        <v>968.76700000000005</v>
      </c>
      <c r="Q533">
        <v>866.61199999999997</v>
      </c>
      <c r="R533">
        <v>128.12324480000001</v>
      </c>
      <c r="S533">
        <v>2.4401120189999999</v>
      </c>
      <c r="T533">
        <v>0.70399999999999996</v>
      </c>
      <c r="U533">
        <v>6.742</v>
      </c>
      <c r="V533" s="1" t="str">
        <f>IF(Energy_data_1990___2020[[#This Row],[CO2 emissions from fuel combustion (MtCO2)]]&gt;Energy_data_1990___2020[[#Totals],[CO2 emissions from fuel combustion (MtCO2)]],"Above Average","")</f>
        <v>Above Average</v>
      </c>
      <c r="W533" s="1">
        <f>SUM(Energy_data_1990___2020[[#This Row],[Coal and lignite production (Mt)]]-Energy_data_1990___2020[[#This Row],[Coal and lignite domestic consumption (Mt)]])</f>
        <v>-121.3812448</v>
      </c>
    </row>
    <row r="534" spans="1:23">
      <c r="A534" t="s">
        <v>46</v>
      </c>
      <c r="B534">
        <v>1995</v>
      </c>
      <c r="C534" t="s">
        <v>28</v>
      </c>
      <c r="D534">
        <v>1125.2460249999999</v>
      </c>
      <c r="E534">
        <v>2.2726150189999998</v>
      </c>
      <c r="F534">
        <v>0.25910377099999998</v>
      </c>
      <c r="G534">
        <v>99.41226503</v>
      </c>
      <c r="H534">
        <v>495.13270640000002</v>
      </c>
      <c r="I534">
        <v>10.65855567</v>
      </c>
      <c r="J534">
        <v>21.747728209999998</v>
      </c>
      <c r="K534">
        <v>238.024</v>
      </c>
      <c r="L534">
        <v>210.363</v>
      </c>
      <c r="M534">
        <v>2.4100013159999998</v>
      </c>
      <c r="N534">
        <v>72.535025989999994</v>
      </c>
      <c r="O534">
        <v>0.11401129</v>
      </c>
      <c r="P534">
        <v>990.42499999999995</v>
      </c>
      <c r="Q534">
        <v>884.00400000000002</v>
      </c>
      <c r="R534">
        <v>132.8433574</v>
      </c>
      <c r="S534">
        <v>2.6509831639999999</v>
      </c>
      <c r="T534">
        <v>0.70599999999999996</v>
      </c>
      <c r="U534">
        <v>6.3170000000000002</v>
      </c>
      <c r="V534" s="1" t="str">
        <f>IF(Energy_data_1990___2020[[#This Row],[CO2 emissions from fuel combustion (MtCO2)]]&gt;Energy_data_1990___2020[[#Totals],[CO2 emissions from fuel combustion (MtCO2)]],"Above Average","")</f>
        <v>Above Average</v>
      </c>
      <c r="W534" s="1">
        <f>SUM(Energy_data_1990___2020[[#This Row],[Coal and lignite production (Mt)]]-Energy_data_1990___2020[[#This Row],[Coal and lignite domestic consumption (Mt)]])</f>
        <v>-126.52635739999999</v>
      </c>
    </row>
    <row r="535" spans="1:23">
      <c r="A535" t="s">
        <v>46</v>
      </c>
      <c r="B535">
        <v>1996</v>
      </c>
      <c r="C535" t="s">
        <v>28</v>
      </c>
      <c r="D535">
        <v>1136.70406</v>
      </c>
      <c r="E535">
        <v>2.246972032</v>
      </c>
      <c r="F535">
        <v>0.25387211199999998</v>
      </c>
      <c r="G535">
        <v>102.86978550000001</v>
      </c>
      <c r="H535">
        <v>505.88260289999999</v>
      </c>
      <c r="I535">
        <v>10.185678960000001</v>
      </c>
      <c r="J535">
        <v>21.912252420000002</v>
      </c>
      <c r="K535">
        <v>237.852</v>
      </c>
      <c r="L535">
        <v>208.65199999999999</v>
      </c>
      <c r="M535">
        <v>2.3459996630000002</v>
      </c>
      <c r="N535">
        <v>75.592931320000005</v>
      </c>
      <c r="O535">
        <v>0.112984099</v>
      </c>
      <c r="P535">
        <v>1010.723</v>
      </c>
      <c r="Q535">
        <v>904.37199999999996</v>
      </c>
      <c r="R535">
        <v>136.31124629999999</v>
      </c>
      <c r="S535">
        <v>2.703213442</v>
      </c>
      <c r="T535">
        <v>0.68</v>
      </c>
      <c r="U535">
        <v>6.1660000000000004</v>
      </c>
      <c r="V535" s="1" t="str">
        <f>IF(Energy_data_1990___2020[[#This Row],[CO2 emissions from fuel combustion (MtCO2)]]&gt;Energy_data_1990___2020[[#Totals],[CO2 emissions from fuel combustion (MtCO2)]],"Above Average","")</f>
        <v>Above Average</v>
      </c>
      <c r="W535" s="1">
        <f>SUM(Energy_data_1990___2020[[#This Row],[Coal and lignite production (Mt)]]-Energy_data_1990___2020[[#This Row],[Coal and lignite domestic consumption (Mt)]])</f>
        <v>-130.1452463</v>
      </c>
    </row>
    <row r="536" spans="1:23">
      <c r="A536" t="s">
        <v>46</v>
      </c>
      <c r="B536">
        <v>1997</v>
      </c>
      <c r="C536" t="s">
        <v>28</v>
      </c>
      <c r="D536">
        <v>1126.7907600000001</v>
      </c>
      <c r="E536">
        <v>2.2036939000000002</v>
      </c>
      <c r="F536">
        <v>0.24897894400000001</v>
      </c>
      <c r="G536">
        <v>107.304284</v>
      </c>
      <c r="H536">
        <v>511.31909030000003</v>
      </c>
      <c r="I536">
        <v>11.085157969999999</v>
      </c>
      <c r="J536">
        <v>22.084885790000001</v>
      </c>
      <c r="K536">
        <v>236.48699999999999</v>
      </c>
      <c r="L536">
        <v>214.869</v>
      </c>
      <c r="M536">
        <v>2.4420000590000002</v>
      </c>
      <c r="N536">
        <v>78.092063600000003</v>
      </c>
      <c r="O536">
        <v>0.112982544</v>
      </c>
      <c r="P536">
        <v>1034.771</v>
      </c>
      <c r="Q536">
        <v>915.29200000000003</v>
      </c>
      <c r="R536">
        <v>138.5107998</v>
      </c>
      <c r="S536">
        <v>2.6043443430000002</v>
      </c>
      <c r="T536">
        <v>0.68100000000000005</v>
      </c>
      <c r="U536">
        <v>3.97</v>
      </c>
      <c r="V536" s="1" t="str">
        <f>IF(Energy_data_1990___2020[[#This Row],[CO2 emissions from fuel combustion (MtCO2)]]&gt;Energy_data_1990___2020[[#Totals],[CO2 emissions from fuel combustion (MtCO2)]],"Above Average","")</f>
        <v>Above Average</v>
      </c>
      <c r="W536" s="1">
        <f>SUM(Energy_data_1990___2020[[#This Row],[Coal and lignite production (Mt)]]-Energy_data_1990___2020[[#This Row],[Coal and lignite domestic consumption (Mt)]])</f>
        <v>-134.5407998</v>
      </c>
    </row>
    <row r="537" spans="1:23">
      <c r="A537" t="s">
        <v>46</v>
      </c>
      <c r="B537">
        <v>1998</v>
      </c>
      <c r="C537" t="s">
        <v>28</v>
      </c>
      <c r="D537">
        <v>1089.725852</v>
      </c>
      <c r="E537">
        <v>2.172497275</v>
      </c>
      <c r="F537">
        <v>0.24353707099999999</v>
      </c>
      <c r="G537">
        <v>109.7837114</v>
      </c>
      <c r="H537">
        <v>501.6005609</v>
      </c>
      <c r="I537">
        <v>11.25216723</v>
      </c>
      <c r="J537">
        <v>22.747309860000001</v>
      </c>
      <c r="K537">
        <v>231.40199999999999</v>
      </c>
      <c r="L537">
        <v>210.31700000000001</v>
      </c>
      <c r="M537">
        <v>2.4229976930000001</v>
      </c>
      <c r="N537">
        <v>80.076005080000002</v>
      </c>
      <c r="O537">
        <v>0.112100058</v>
      </c>
      <c r="P537">
        <v>1031.268</v>
      </c>
      <c r="Q537">
        <v>924.78</v>
      </c>
      <c r="R537">
        <v>130.47397810000001</v>
      </c>
      <c r="S537">
        <v>2.2560575909999998</v>
      </c>
      <c r="T537">
        <v>0.622</v>
      </c>
      <c r="U537">
        <v>3.698</v>
      </c>
      <c r="V537" s="1" t="str">
        <f>IF(Energy_data_1990___2020[[#This Row],[CO2 emissions from fuel combustion (MtCO2)]]&gt;Energy_data_1990___2020[[#Totals],[CO2 emissions from fuel combustion (MtCO2)]],"Above Average","")</f>
        <v>Above Average</v>
      </c>
      <c r="W537" s="1">
        <f>SUM(Energy_data_1990___2020[[#This Row],[Coal and lignite production (Mt)]]-Energy_data_1990___2020[[#This Row],[Coal and lignite domestic consumption (Mt)]])</f>
        <v>-126.77597810000002</v>
      </c>
    </row>
    <row r="538" spans="1:23">
      <c r="A538" t="s">
        <v>46</v>
      </c>
      <c r="B538">
        <v>1999</v>
      </c>
      <c r="C538" t="s">
        <v>28</v>
      </c>
      <c r="D538">
        <v>1124.910333</v>
      </c>
      <c r="E538">
        <v>2.207302673</v>
      </c>
      <c r="F538">
        <v>0.25203527799999997</v>
      </c>
      <c r="G538">
        <v>105.3452178</v>
      </c>
      <c r="H538">
        <v>509.63121039999999</v>
      </c>
      <c r="I538">
        <v>10.4556252</v>
      </c>
      <c r="J538">
        <v>22.63411619</v>
      </c>
      <c r="K538">
        <v>237.26300000000001</v>
      </c>
      <c r="L538">
        <v>208.011</v>
      </c>
      <c r="M538">
        <v>2.4400010889999999</v>
      </c>
      <c r="N538">
        <v>84.913897890000001</v>
      </c>
      <c r="O538">
        <v>0.11418247300000001</v>
      </c>
      <c r="P538">
        <v>1048.23</v>
      </c>
      <c r="Q538">
        <v>945.88800000000003</v>
      </c>
      <c r="R538">
        <v>138.8401667</v>
      </c>
      <c r="S538">
        <v>2.282991328</v>
      </c>
      <c r="T538">
        <v>0.58099999999999996</v>
      </c>
      <c r="U538">
        <v>3.69</v>
      </c>
      <c r="V538" s="1" t="str">
        <f>IF(Energy_data_1990___2020[[#This Row],[CO2 emissions from fuel combustion (MtCO2)]]&gt;Energy_data_1990___2020[[#Totals],[CO2 emissions from fuel combustion (MtCO2)]],"Above Average","")</f>
        <v>Above Average</v>
      </c>
      <c r="W538" s="1">
        <f>SUM(Energy_data_1990___2020[[#This Row],[Coal and lignite production (Mt)]]-Energy_data_1990___2020[[#This Row],[Coal and lignite domestic consumption (Mt)]])</f>
        <v>-135.1501667</v>
      </c>
    </row>
    <row r="539" spans="1:23">
      <c r="A539" t="s">
        <v>46</v>
      </c>
      <c r="B539">
        <v>2000</v>
      </c>
      <c r="C539" t="s">
        <v>28</v>
      </c>
      <c r="D539">
        <v>1138.4933739999999</v>
      </c>
      <c r="E539">
        <v>2.1898744200000002</v>
      </c>
      <c r="F539">
        <v>0.24818005300000001</v>
      </c>
      <c r="G539">
        <v>106.6006781</v>
      </c>
      <c r="H539">
        <v>519.88979970000003</v>
      </c>
      <c r="I539">
        <v>10.344666119999999</v>
      </c>
      <c r="J539">
        <v>23.29024085</v>
      </c>
      <c r="K539">
        <v>232.55199999999999</v>
      </c>
      <c r="L539">
        <v>206.56100000000001</v>
      </c>
      <c r="M539">
        <v>2.6360017249999999</v>
      </c>
      <c r="N539">
        <v>87.573104639999997</v>
      </c>
      <c r="O539">
        <v>0.11333072399999999</v>
      </c>
      <c r="P539">
        <v>1067.816</v>
      </c>
      <c r="Q539">
        <v>986.45399999999995</v>
      </c>
      <c r="R539">
        <v>148.52530049999999</v>
      </c>
      <c r="S539">
        <v>2.2301595029999999</v>
      </c>
      <c r="T539">
        <v>0.59799999999999998</v>
      </c>
      <c r="U539">
        <v>2.964</v>
      </c>
      <c r="V539" s="1" t="str">
        <f>IF(Energy_data_1990___2020[[#This Row],[CO2 emissions from fuel combustion (MtCO2)]]&gt;Energy_data_1990___2020[[#Totals],[CO2 emissions from fuel combustion (MtCO2)]],"Above Average","")</f>
        <v>Above Average</v>
      </c>
      <c r="W539" s="1">
        <f>SUM(Energy_data_1990___2020[[#This Row],[Coal and lignite production (Mt)]]-Energy_data_1990___2020[[#This Row],[Coal and lignite domestic consumption (Mt)]])</f>
        <v>-145.56130049999999</v>
      </c>
    </row>
    <row r="540" spans="1:23">
      <c r="A540" t="s">
        <v>46</v>
      </c>
      <c r="B540">
        <v>2001</v>
      </c>
      <c r="C540" t="s">
        <v>28</v>
      </c>
      <c r="D540">
        <v>1125.0185200000001</v>
      </c>
      <c r="E540">
        <v>2.1999623700000002</v>
      </c>
      <c r="F540">
        <v>0.244250195</v>
      </c>
      <c r="G540">
        <v>105.20597650000001</v>
      </c>
      <c r="H540">
        <v>511.38080159999998</v>
      </c>
      <c r="I540">
        <v>10.234691</v>
      </c>
      <c r="J540">
        <v>23.208490810000001</v>
      </c>
      <c r="K540">
        <v>226.59299999999999</v>
      </c>
      <c r="L540">
        <v>200.92099999999999</v>
      </c>
      <c r="M540">
        <v>2.6030016929999999</v>
      </c>
      <c r="N540">
        <v>87.234936970000007</v>
      </c>
      <c r="O540">
        <v>0.111024715</v>
      </c>
      <c r="P540">
        <v>1050.232</v>
      </c>
      <c r="Q540">
        <v>970.01199999999994</v>
      </c>
      <c r="R540">
        <v>152.6015453</v>
      </c>
      <c r="S540">
        <v>2.320344457</v>
      </c>
      <c r="T540">
        <v>0.57199999999999995</v>
      </c>
      <c r="U540">
        <v>2.8220000000000001</v>
      </c>
      <c r="V540" s="1" t="str">
        <f>IF(Energy_data_1990___2020[[#This Row],[CO2 emissions from fuel combustion (MtCO2)]]&gt;Energy_data_1990___2020[[#Totals],[CO2 emissions from fuel combustion (MtCO2)]],"Above Average","")</f>
        <v>Above Average</v>
      </c>
      <c r="W540" s="1">
        <f>SUM(Energy_data_1990___2020[[#This Row],[Coal and lignite production (Mt)]]-Energy_data_1990___2020[[#This Row],[Coal and lignite domestic consumption (Mt)]])</f>
        <v>-149.7795453</v>
      </c>
    </row>
    <row r="541" spans="1:23">
      <c r="A541" t="s">
        <v>46</v>
      </c>
      <c r="B541">
        <v>2002</v>
      </c>
      <c r="C541" t="s">
        <v>28</v>
      </c>
      <c r="D541">
        <v>1166.0222470000001</v>
      </c>
      <c r="E541">
        <v>2.273383736</v>
      </c>
      <c r="F541">
        <v>0.25285407100000001</v>
      </c>
      <c r="G541">
        <v>99.791746110000005</v>
      </c>
      <c r="H541">
        <v>512.90164040000002</v>
      </c>
      <c r="I541">
        <v>9.9192464880000006</v>
      </c>
      <c r="J541">
        <v>23.22189045</v>
      </c>
      <c r="K541">
        <v>229.46</v>
      </c>
      <c r="L541">
        <v>202.155</v>
      </c>
      <c r="M541">
        <v>2.8076721999999998</v>
      </c>
      <c r="N541">
        <v>89.455938840000002</v>
      </c>
      <c r="O541">
        <v>0.111223665</v>
      </c>
      <c r="P541">
        <v>1068.0650000000001</v>
      </c>
      <c r="Q541">
        <v>987.65899999999999</v>
      </c>
      <c r="R541">
        <v>159.8891222</v>
      </c>
      <c r="S541">
        <v>2.3056649170000001</v>
      </c>
      <c r="T541">
        <v>0.58199999999999996</v>
      </c>
      <c r="U541">
        <v>1.2849999999999999</v>
      </c>
      <c r="V541" s="1" t="str">
        <f>IF(Energy_data_1990___2020[[#This Row],[CO2 emissions from fuel combustion (MtCO2)]]&gt;Energy_data_1990___2020[[#Totals],[CO2 emissions from fuel combustion (MtCO2)]],"Above Average","")</f>
        <v>Above Average</v>
      </c>
      <c r="W541" s="1">
        <f>SUM(Energy_data_1990___2020[[#This Row],[Coal and lignite production (Mt)]]-Energy_data_1990___2020[[#This Row],[Coal and lignite domestic consumption (Mt)]])</f>
        <v>-158.60412220000001</v>
      </c>
    </row>
    <row r="542" spans="1:23">
      <c r="A542" t="s">
        <v>46</v>
      </c>
      <c r="B542">
        <v>2003</v>
      </c>
      <c r="C542" t="s">
        <v>28</v>
      </c>
      <c r="D542">
        <v>1176.4272000000001</v>
      </c>
      <c r="E542">
        <v>2.309054267</v>
      </c>
      <c r="F542">
        <v>0.25127043900000001</v>
      </c>
      <c r="G542">
        <v>87.10661399</v>
      </c>
      <c r="H542">
        <v>509.48443120000002</v>
      </c>
      <c r="I542">
        <v>11.29007277</v>
      </c>
      <c r="J542">
        <v>23.266958450000001</v>
      </c>
      <c r="K542">
        <v>227.047</v>
      </c>
      <c r="L542">
        <v>201.80500000000001</v>
      </c>
      <c r="M542">
        <v>2.9689966320000001</v>
      </c>
      <c r="N542">
        <v>92.415064409999999</v>
      </c>
      <c r="O542">
        <v>0.108819633</v>
      </c>
      <c r="P542">
        <v>1058.886</v>
      </c>
      <c r="Q542">
        <v>981.74599999999998</v>
      </c>
      <c r="R542">
        <v>166.5850882</v>
      </c>
      <c r="S542">
        <v>2.4792092819999998</v>
      </c>
      <c r="T542">
        <v>0.64200000000000002</v>
      </c>
      <c r="U542">
        <v>1.355</v>
      </c>
      <c r="V542" s="1" t="str">
        <f>IF(Energy_data_1990___2020[[#This Row],[CO2 emissions from fuel combustion (MtCO2)]]&gt;Energy_data_1990___2020[[#Totals],[CO2 emissions from fuel combustion (MtCO2)]],"Above Average","")</f>
        <v>Above Average</v>
      </c>
      <c r="W542" s="1">
        <f>SUM(Energy_data_1990___2020[[#This Row],[Coal and lignite production (Mt)]]-Energy_data_1990___2020[[#This Row],[Coal and lignite domestic consumption (Mt)]])</f>
        <v>-165.23008820000001</v>
      </c>
    </row>
    <row r="543" spans="1:23">
      <c r="A543" t="s">
        <v>46</v>
      </c>
      <c r="B543">
        <v>2004</v>
      </c>
      <c r="C543" t="s">
        <v>28</v>
      </c>
      <c r="D543">
        <v>1172.7407370000001</v>
      </c>
      <c r="E543">
        <v>2.229731771</v>
      </c>
      <c r="F543">
        <v>0.24507981000000001</v>
      </c>
      <c r="G543">
        <v>98.431245939999997</v>
      </c>
      <c r="H543">
        <v>525.95597029999999</v>
      </c>
      <c r="I543">
        <v>10.98875758</v>
      </c>
      <c r="J543">
        <v>23.751545320000002</v>
      </c>
      <c r="K543">
        <v>225.18799999999999</v>
      </c>
      <c r="L543">
        <v>198.82</v>
      </c>
      <c r="M543">
        <v>3.1200003980000002</v>
      </c>
      <c r="N543">
        <v>91.95195846</v>
      </c>
      <c r="O543">
        <v>0.10991448099999999</v>
      </c>
      <c r="P543">
        <v>1088.4670000000001</v>
      </c>
      <c r="Q543">
        <v>1015.505</v>
      </c>
      <c r="R543">
        <v>170.41566090000001</v>
      </c>
      <c r="S543">
        <v>2.4025533160000001</v>
      </c>
      <c r="T543">
        <v>0.66300000000000003</v>
      </c>
      <c r="U543">
        <v>1.272</v>
      </c>
      <c r="V543" s="1" t="str">
        <f>IF(Energy_data_1990___2020[[#This Row],[CO2 emissions from fuel combustion (MtCO2)]]&gt;Energy_data_1990___2020[[#Totals],[CO2 emissions from fuel combustion (MtCO2)]],"Above Average","")</f>
        <v>Above Average</v>
      </c>
      <c r="W543" s="1">
        <f>SUM(Energy_data_1990___2020[[#This Row],[Coal and lignite production (Mt)]]-Energy_data_1990___2020[[#This Row],[Coal and lignite domestic consumption (Mt)]])</f>
        <v>-169.14366090000001</v>
      </c>
    </row>
    <row r="544" spans="1:23">
      <c r="A544" t="s">
        <v>46</v>
      </c>
      <c r="B544">
        <v>2005</v>
      </c>
      <c r="C544" t="s">
        <v>28</v>
      </c>
      <c r="D544">
        <v>1173.2383709999999</v>
      </c>
      <c r="E544">
        <v>2.2388829989999999</v>
      </c>
      <c r="F544">
        <v>0.24117388000000001</v>
      </c>
      <c r="G544">
        <v>103.9692348</v>
      </c>
      <c r="H544">
        <v>524.02844279999999</v>
      </c>
      <c r="I544">
        <v>9.6552980500000007</v>
      </c>
      <c r="J544">
        <v>24.34752817</v>
      </c>
      <c r="K544">
        <v>222.20599999999999</v>
      </c>
      <c r="L544">
        <v>204.54900000000001</v>
      </c>
      <c r="M544">
        <v>3.3120016140000001</v>
      </c>
      <c r="N544">
        <v>91.295071140000005</v>
      </c>
      <c r="O544">
        <v>0.107720627</v>
      </c>
      <c r="P544">
        <v>1108.8420000000001</v>
      </c>
      <c r="Q544">
        <v>1039.7260000000001</v>
      </c>
      <c r="R544">
        <v>176.97865440000001</v>
      </c>
      <c r="S544">
        <v>2.444532224</v>
      </c>
      <c r="T544">
        <v>0.70299999999999996</v>
      </c>
      <c r="U544">
        <v>1.2490000000000001</v>
      </c>
      <c r="V544" s="1" t="str">
        <f>IF(Energy_data_1990___2020[[#This Row],[CO2 emissions from fuel combustion (MtCO2)]]&gt;Energy_data_1990___2020[[#Totals],[CO2 emissions from fuel combustion (MtCO2)]],"Above Average","")</f>
        <v>Above Average</v>
      </c>
      <c r="W544" s="1">
        <f>SUM(Energy_data_1990___2020[[#This Row],[Coal and lignite production (Mt)]]-Energy_data_1990___2020[[#This Row],[Coal and lignite domestic consumption (Mt)]])</f>
        <v>-175.72965440000002</v>
      </c>
    </row>
    <row r="545" spans="1:23">
      <c r="A545" t="s">
        <v>46</v>
      </c>
      <c r="B545">
        <v>2006</v>
      </c>
      <c r="C545" t="s">
        <v>28</v>
      </c>
      <c r="D545">
        <v>1145.7885409999999</v>
      </c>
      <c r="E545">
        <v>2.1875696050000002</v>
      </c>
      <c r="F545">
        <v>0.23223349200000001</v>
      </c>
      <c r="G545">
        <v>105.17737409999999</v>
      </c>
      <c r="H545">
        <v>523.77238150000005</v>
      </c>
      <c r="I545">
        <v>10.663186809999999</v>
      </c>
      <c r="J545">
        <v>24.574962029999998</v>
      </c>
      <c r="K545">
        <v>213.03800000000001</v>
      </c>
      <c r="L545">
        <v>195.90600000000001</v>
      </c>
      <c r="M545">
        <v>3.5949999030000002</v>
      </c>
      <c r="N545">
        <v>100.2811312</v>
      </c>
      <c r="O545">
        <v>0.106160504</v>
      </c>
      <c r="P545">
        <v>1112.6880000000001</v>
      </c>
      <c r="Q545">
        <v>1043.895</v>
      </c>
      <c r="R545">
        <v>175.12127480000001</v>
      </c>
      <c r="S545">
        <v>2.5373689659999998</v>
      </c>
      <c r="T545">
        <v>0.69299999999999995</v>
      </c>
      <c r="U545">
        <v>1.351</v>
      </c>
      <c r="V545" s="1" t="str">
        <f>IF(Energy_data_1990___2020[[#This Row],[CO2 emissions from fuel combustion (MtCO2)]]&gt;Energy_data_1990___2020[[#Totals],[CO2 emissions from fuel combustion (MtCO2)]],"Above Average","")</f>
        <v>Above Average</v>
      </c>
      <c r="W545" s="1">
        <f>SUM(Energy_data_1990___2020[[#This Row],[Coal and lignite production (Mt)]]-Energy_data_1990___2020[[#This Row],[Coal and lignite domestic consumption (Mt)]])</f>
        <v>-173.77027480000001</v>
      </c>
    </row>
    <row r="546" spans="1:23">
      <c r="A546" t="s">
        <v>46</v>
      </c>
      <c r="B546">
        <v>2007</v>
      </c>
      <c r="C546" t="s">
        <v>28</v>
      </c>
      <c r="D546">
        <v>1178.7052759999999</v>
      </c>
      <c r="E546">
        <v>2.2732240909999999</v>
      </c>
      <c r="F546">
        <v>0.235017578</v>
      </c>
      <c r="G546">
        <v>94.683599619999995</v>
      </c>
      <c r="H546">
        <v>518.51697339999998</v>
      </c>
      <c r="I546">
        <v>9.3494332960000008</v>
      </c>
      <c r="J546">
        <v>25.461390730000002</v>
      </c>
      <c r="K546">
        <v>209.44200000000001</v>
      </c>
      <c r="L546">
        <v>198.14699999999999</v>
      </c>
      <c r="M546">
        <v>3.93400331</v>
      </c>
      <c r="N546">
        <v>108.9548946</v>
      </c>
      <c r="O546">
        <v>0.103385134</v>
      </c>
      <c r="P546">
        <v>1141.866</v>
      </c>
      <c r="Q546">
        <v>1076.8409999999999</v>
      </c>
      <c r="R546">
        <v>182.66472859999999</v>
      </c>
      <c r="S546">
        <v>2.5399652850000001</v>
      </c>
      <c r="T546">
        <v>0.747</v>
      </c>
      <c r="U546">
        <v>1.28</v>
      </c>
      <c r="V546" s="1" t="str">
        <f>IF(Energy_data_1990___2020[[#This Row],[CO2 emissions from fuel combustion (MtCO2)]]&gt;Energy_data_1990___2020[[#Totals],[CO2 emissions from fuel combustion (MtCO2)]],"Above Average","")</f>
        <v>Above Average</v>
      </c>
      <c r="W546" s="1">
        <f>SUM(Energy_data_1990___2020[[#This Row],[Coal and lignite production (Mt)]]-Energy_data_1990___2020[[#This Row],[Coal and lignite domestic consumption (Mt)]])</f>
        <v>-181.38472859999999</v>
      </c>
    </row>
    <row r="547" spans="1:23">
      <c r="A547" t="s">
        <v>46</v>
      </c>
      <c r="B547">
        <v>2008</v>
      </c>
      <c r="C547" t="s">
        <v>28</v>
      </c>
      <c r="D547">
        <v>1115.5862159999999</v>
      </c>
      <c r="E547">
        <v>2.2309155679999999</v>
      </c>
      <c r="F547">
        <v>0.22489179100000001</v>
      </c>
      <c r="G547">
        <v>92.946589779999996</v>
      </c>
      <c r="H547">
        <v>500.05756910000002</v>
      </c>
      <c r="I547">
        <v>9.5399135590000004</v>
      </c>
      <c r="J547">
        <v>26.306110570000001</v>
      </c>
      <c r="K547">
        <v>191.8</v>
      </c>
      <c r="L547">
        <v>189.417</v>
      </c>
      <c r="M547">
        <v>3.9090014609999999</v>
      </c>
      <c r="N547">
        <v>106.7320769</v>
      </c>
      <c r="O547">
        <v>0.10080694900000001</v>
      </c>
      <c r="P547">
        <v>1108.27</v>
      </c>
      <c r="Q547">
        <v>1037.451</v>
      </c>
      <c r="R547">
        <v>176.21350960000001</v>
      </c>
      <c r="S547">
        <v>2.4570727350000001</v>
      </c>
      <c r="T547">
        <v>0.74299999999999999</v>
      </c>
      <c r="U547">
        <v>1.29</v>
      </c>
      <c r="V547" s="1" t="str">
        <f>IF(Energy_data_1990___2020[[#This Row],[CO2 emissions from fuel combustion (MtCO2)]]&gt;Energy_data_1990___2020[[#Totals],[CO2 emissions from fuel combustion (MtCO2)]],"Above Average","")</f>
        <v>Above Average</v>
      </c>
      <c r="W547" s="1">
        <f>SUM(Energy_data_1990___2020[[#This Row],[Coal and lignite production (Mt)]]-Energy_data_1990___2020[[#This Row],[Coal and lignite domestic consumption (Mt)]])</f>
        <v>-174.92350960000002</v>
      </c>
    </row>
    <row r="548" spans="1:23">
      <c r="A548" t="s">
        <v>46</v>
      </c>
      <c r="B548">
        <v>2009</v>
      </c>
      <c r="C548" t="s">
        <v>28</v>
      </c>
      <c r="D548">
        <v>1064.2131199999999</v>
      </c>
      <c r="E548">
        <v>2.2304470529999998</v>
      </c>
      <c r="F548">
        <v>0.22682101599999999</v>
      </c>
      <c r="G548">
        <v>98.731013379999993</v>
      </c>
      <c r="H548">
        <v>477.1299631</v>
      </c>
      <c r="I548">
        <v>9.7421700050000002</v>
      </c>
      <c r="J548">
        <v>26.062073699999999</v>
      </c>
      <c r="K548">
        <v>185.83099999999999</v>
      </c>
      <c r="L548">
        <v>179.03700000000001</v>
      </c>
      <c r="M548">
        <v>3.7509970990000001</v>
      </c>
      <c r="N548">
        <v>105.5260408</v>
      </c>
      <c r="O548">
        <v>0.10169307299999999</v>
      </c>
      <c r="P548">
        <v>1090.4860000000001</v>
      </c>
      <c r="Q548">
        <v>1004.155</v>
      </c>
      <c r="R548">
        <v>169.52430469999999</v>
      </c>
      <c r="S548">
        <v>2.6318540540000002</v>
      </c>
      <c r="T548">
        <v>0.69899999999999995</v>
      </c>
      <c r="U548">
        <v>1.206</v>
      </c>
      <c r="V548" s="1" t="str">
        <f>IF(Energy_data_1990___2020[[#This Row],[CO2 emissions from fuel combustion (MtCO2)]]&gt;Energy_data_1990___2020[[#Totals],[CO2 emissions from fuel combustion (MtCO2)]],"Above Average","")</f>
        <v>Above Average</v>
      </c>
      <c r="W548" s="1">
        <f>SUM(Energy_data_1990___2020[[#This Row],[Coal and lignite production (Mt)]]-Energy_data_1990___2020[[#This Row],[Coal and lignite domestic consumption (Mt)]])</f>
        <v>-168.3183047</v>
      </c>
    </row>
    <row r="549" spans="1:23">
      <c r="A549" t="s">
        <v>46</v>
      </c>
      <c r="B549">
        <v>2010</v>
      </c>
      <c r="C549" t="s">
        <v>28</v>
      </c>
      <c r="D549">
        <v>1115.186072</v>
      </c>
      <c r="E549">
        <v>2.216245969</v>
      </c>
      <c r="F549">
        <v>0.22812282</v>
      </c>
      <c r="G549">
        <v>103.3383821</v>
      </c>
      <c r="H549">
        <v>503.18696030000001</v>
      </c>
      <c r="I549">
        <v>10.15117444</v>
      </c>
      <c r="J549">
        <v>26.526898119999998</v>
      </c>
      <c r="K549">
        <v>185.80699999999999</v>
      </c>
      <c r="L549">
        <v>178.07</v>
      </c>
      <c r="M549">
        <v>3.5260003680000001</v>
      </c>
      <c r="N549">
        <v>111.2890129</v>
      </c>
      <c r="O549">
        <v>0.10293208600000001</v>
      </c>
      <c r="P549">
        <v>1170.8989999999999</v>
      </c>
      <c r="Q549">
        <v>1051.271</v>
      </c>
      <c r="R549">
        <v>184.29783979999999</v>
      </c>
      <c r="S549">
        <v>2.651381545</v>
      </c>
      <c r="T549">
        <v>0.65</v>
      </c>
      <c r="U549">
        <v>1.145</v>
      </c>
      <c r="V549" s="1" t="str">
        <f>IF(Energy_data_1990___2020[[#This Row],[CO2 emissions from fuel combustion (MtCO2)]]&gt;Energy_data_1990___2020[[#Totals],[CO2 emissions from fuel combustion (MtCO2)]],"Above Average","")</f>
        <v>Above Average</v>
      </c>
      <c r="W549" s="1">
        <f>SUM(Energy_data_1990___2020[[#This Row],[Coal and lignite production (Mt)]]-Energy_data_1990___2020[[#This Row],[Coal and lignite domestic consumption (Mt)]])</f>
        <v>-183.15283979999998</v>
      </c>
    </row>
    <row r="550" spans="1:23">
      <c r="A550" t="s">
        <v>46</v>
      </c>
      <c r="B550">
        <v>2011</v>
      </c>
      <c r="C550" t="s">
        <v>28</v>
      </c>
      <c r="D550">
        <v>1170.885982</v>
      </c>
      <c r="E550">
        <v>2.5141664349999999</v>
      </c>
      <c r="F550">
        <v>0.239793584</v>
      </c>
      <c r="G550">
        <v>55.397761580000001</v>
      </c>
      <c r="H550">
        <v>465.7153821</v>
      </c>
      <c r="I550">
        <v>10.94294404</v>
      </c>
      <c r="J550">
        <v>26.102457009999998</v>
      </c>
      <c r="K550">
        <v>187.92099999999999</v>
      </c>
      <c r="L550">
        <v>169.41499999999999</v>
      </c>
      <c r="M550">
        <v>3.5170013980000001</v>
      </c>
      <c r="N550">
        <v>129.70985930000001</v>
      </c>
      <c r="O550">
        <v>9.5376973000000004E-2</v>
      </c>
      <c r="P550">
        <v>1110.7339999999999</v>
      </c>
      <c r="Q550">
        <v>1011.722</v>
      </c>
      <c r="R550">
        <v>178.92129420000001</v>
      </c>
      <c r="S550">
        <v>2.9873939209999998</v>
      </c>
      <c r="T550">
        <v>0.629</v>
      </c>
      <c r="U550">
        <v>1.1950000000000001</v>
      </c>
      <c r="V550" s="1" t="str">
        <f>IF(Energy_data_1990___2020[[#This Row],[CO2 emissions from fuel combustion (MtCO2)]]&gt;Energy_data_1990___2020[[#Totals],[CO2 emissions from fuel combustion (MtCO2)]],"Above Average","")</f>
        <v>Above Average</v>
      </c>
      <c r="W550" s="1">
        <f>SUM(Energy_data_1990___2020[[#This Row],[Coal and lignite production (Mt)]]-Energy_data_1990___2020[[#This Row],[Coal and lignite domestic consumption (Mt)]])</f>
        <v>-177.72629420000001</v>
      </c>
    </row>
    <row r="551" spans="1:23">
      <c r="A551" t="s">
        <v>46</v>
      </c>
      <c r="B551">
        <v>2012</v>
      </c>
      <c r="C551" t="s">
        <v>28</v>
      </c>
      <c r="D551">
        <v>1211.005339</v>
      </c>
      <c r="E551">
        <v>2.6568207209999999</v>
      </c>
      <c r="F551">
        <v>0.24435654700000001</v>
      </c>
      <c r="G551">
        <v>32.335935620000001</v>
      </c>
      <c r="H551">
        <v>455.80995719999999</v>
      </c>
      <c r="I551">
        <v>10.530616699999999</v>
      </c>
      <c r="J551">
        <v>26.1836229</v>
      </c>
      <c r="K551">
        <v>189.827</v>
      </c>
      <c r="L551">
        <v>168.97499999999999</v>
      </c>
      <c r="M551">
        <v>3.1770018680000001</v>
      </c>
      <c r="N551">
        <v>134.66197149999999</v>
      </c>
      <c r="O551">
        <v>9.1973291999999998E-2</v>
      </c>
      <c r="P551">
        <v>1098.9100000000001</v>
      </c>
      <c r="Q551">
        <v>1006.624</v>
      </c>
      <c r="R551">
        <v>187.2876239</v>
      </c>
      <c r="S551">
        <v>3.1796962440000001</v>
      </c>
      <c r="T551">
        <v>0.58199999999999996</v>
      </c>
      <c r="U551">
        <v>1.2470000000000001</v>
      </c>
      <c r="V551" s="1" t="str">
        <f>IF(Energy_data_1990___2020[[#This Row],[CO2 emissions from fuel combustion (MtCO2)]]&gt;Energy_data_1990___2020[[#Totals],[CO2 emissions from fuel combustion (MtCO2)]],"Above Average","")</f>
        <v>Above Average</v>
      </c>
      <c r="W551" s="1">
        <f>SUM(Energy_data_1990___2020[[#This Row],[Coal and lignite production (Mt)]]-Energy_data_1990___2020[[#This Row],[Coal and lignite domestic consumption (Mt)]])</f>
        <v>-186.04062389999999</v>
      </c>
    </row>
    <row r="552" spans="1:23">
      <c r="A552" t="s">
        <v>46</v>
      </c>
      <c r="B552">
        <v>2013</v>
      </c>
      <c r="C552" t="s">
        <v>28</v>
      </c>
      <c r="D552">
        <v>1214.8427650000001</v>
      </c>
      <c r="E552">
        <v>2.6611150330000002</v>
      </c>
      <c r="F552">
        <v>0.24032374400000001</v>
      </c>
      <c r="G552">
        <v>31.74966277</v>
      </c>
      <c r="H552">
        <v>456.51644140000002</v>
      </c>
      <c r="I552">
        <v>11.31430621</v>
      </c>
      <c r="J552">
        <v>26.004455759999999</v>
      </c>
      <c r="K552">
        <v>185.893</v>
      </c>
      <c r="L552">
        <v>171.20400000000001</v>
      </c>
      <c r="M552">
        <v>2.9399979379999999</v>
      </c>
      <c r="N552">
        <v>118.3511429</v>
      </c>
      <c r="O552">
        <v>9.0309416000000003E-2</v>
      </c>
      <c r="P552">
        <v>1104.248</v>
      </c>
      <c r="Q552">
        <v>1005.2329999999999</v>
      </c>
      <c r="R552">
        <v>198.71682770000001</v>
      </c>
      <c r="S552">
        <v>3.8416189119999999</v>
      </c>
      <c r="T552">
        <v>0.51500000000000001</v>
      </c>
      <c r="U552">
        <v>1.2509999999999999</v>
      </c>
      <c r="V552" s="1" t="str">
        <f>IF(Energy_data_1990___2020[[#This Row],[CO2 emissions from fuel combustion (MtCO2)]]&gt;Energy_data_1990___2020[[#Totals],[CO2 emissions from fuel combustion (MtCO2)]],"Above Average","")</f>
        <v>Above Average</v>
      </c>
      <c r="W552" s="1">
        <f>SUM(Energy_data_1990___2020[[#This Row],[Coal and lignite production (Mt)]]-Energy_data_1990___2020[[#This Row],[Coal and lignite domestic consumption (Mt)]])</f>
        <v>-197.46582770000001</v>
      </c>
    </row>
    <row r="553" spans="1:23">
      <c r="A553" t="s">
        <v>46</v>
      </c>
      <c r="B553">
        <v>2014</v>
      </c>
      <c r="C553" t="s">
        <v>28</v>
      </c>
      <c r="D553">
        <v>1173.765611</v>
      </c>
      <c r="E553">
        <v>2.6581870890000001</v>
      </c>
      <c r="F553">
        <v>0.23133089900000001</v>
      </c>
      <c r="G553">
        <v>29.989633560000001</v>
      </c>
      <c r="H553">
        <v>441.56621469999999</v>
      </c>
      <c r="I553">
        <v>12.829219739999999</v>
      </c>
      <c r="J553">
        <v>26.320173610000001</v>
      </c>
      <c r="K553">
        <v>175.49199999999999</v>
      </c>
      <c r="L553">
        <v>161.58000000000001</v>
      </c>
      <c r="M553">
        <v>2.8590015590000002</v>
      </c>
      <c r="N553">
        <v>119.277901</v>
      </c>
      <c r="O553">
        <v>8.7025815000000006E-2</v>
      </c>
      <c r="P553">
        <v>1076.067</v>
      </c>
      <c r="Q553">
        <v>988.673</v>
      </c>
      <c r="R553">
        <v>196.91039660000001</v>
      </c>
      <c r="S553">
        <v>4.8217257849999999</v>
      </c>
      <c r="T553">
        <v>0.48499999999999999</v>
      </c>
      <c r="U553">
        <v>1.3180000000000001</v>
      </c>
      <c r="V553" s="1" t="str">
        <f>IF(Energy_data_1990___2020[[#This Row],[CO2 emissions from fuel combustion (MtCO2)]]&gt;Energy_data_1990___2020[[#Totals],[CO2 emissions from fuel combustion (MtCO2)]],"Above Average","")</f>
        <v>Above Average</v>
      </c>
      <c r="W553" s="1">
        <f>SUM(Energy_data_1990___2020[[#This Row],[Coal and lignite production (Mt)]]-Energy_data_1990___2020[[#This Row],[Coal and lignite domestic consumption (Mt)]])</f>
        <v>-195.5923966</v>
      </c>
    </row>
    <row r="554" spans="1:23">
      <c r="A554" t="s">
        <v>46</v>
      </c>
      <c r="B554">
        <v>2015</v>
      </c>
      <c r="C554" t="s">
        <v>28</v>
      </c>
      <c r="D554">
        <v>1138.1738700000001</v>
      </c>
      <c r="E554">
        <v>2.6208459610000001</v>
      </c>
      <c r="F554">
        <v>0.221606253</v>
      </c>
      <c r="G554">
        <v>33.811311519999997</v>
      </c>
      <c r="H554">
        <v>434.27728569999999</v>
      </c>
      <c r="I554">
        <v>14.7340205</v>
      </c>
      <c r="J554">
        <v>26.019230319999998</v>
      </c>
      <c r="K554">
        <v>171.64099999999999</v>
      </c>
      <c r="L554">
        <v>162.375</v>
      </c>
      <c r="M554">
        <v>2.8270027089999998</v>
      </c>
      <c r="N554">
        <v>113.5810659</v>
      </c>
      <c r="O554">
        <v>8.4555237000000005E-2</v>
      </c>
      <c r="P554">
        <v>1058.7470000000001</v>
      </c>
      <c r="Q554">
        <v>964.66099999999994</v>
      </c>
      <c r="R554">
        <v>194.72890659999999</v>
      </c>
      <c r="S554">
        <v>6.0132401790000003</v>
      </c>
      <c r="T554">
        <v>0.44700000000000001</v>
      </c>
      <c r="U554">
        <v>1.2649999999999999</v>
      </c>
      <c r="V554" s="1" t="str">
        <f>IF(Energy_data_1990___2020[[#This Row],[CO2 emissions from fuel combustion (MtCO2)]]&gt;Energy_data_1990___2020[[#Totals],[CO2 emissions from fuel combustion (MtCO2)]],"Above Average","")</f>
        <v>Above Average</v>
      </c>
      <c r="W554" s="1">
        <f>SUM(Energy_data_1990___2020[[#This Row],[Coal and lignite production (Mt)]]-Energy_data_1990___2020[[#This Row],[Coal and lignite domestic consumption (Mt)]])</f>
        <v>-193.4639066</v>
      </c>
    </row>
    <row r="555" spans="1:23">
      <c r="A555" t="s">
        <v>46</v>
      </c>
      <c r="B555">
        <v>2016</v>
      </c>
      <c r="C555" t="s">
        <v>28</v>
      </c>
      <c r="D555">
        <v>1128.2097209999999</v>
      </c>
      <c r="E555">
        <v>2.6294325889999999</v>
      </c>
      <c r="F555">
        <v>0.218336328</v>
      </c>
      <c r="G555">
        <v>36.7730563</v>
      </c>
      <c r="H555">
        <v>429.0696504</v>
      </c>
      <c r="I555">
        <v>14.78333997</v>
      </c>
      <c r="J555">
        <v>26.391932560000001</v>
      </c>
      <c r="K555">
        <v>167.67</v>
      </c>
      <c r="L555">
        <v>162.94999999999999</v>
      </c>
      <c r="M555">
        <v>2.9119970560000001</v>
      </c>
      <c r="N555">
        <v>115.792039</v>
      </c>
      <c r="O555">
        <v>8.3035529999999996E-2</v>
      </c>
      <c r="P555">
        <v>1061.8710000000001</v>
      </c>
      <c r="Q555">
        <v>965.08500000000004</v>
      </c>
      <c r="R555">
        <v>192.96161789999999</v>
      </c>
      <c r="S555">
        <v>7.0617805740000001</v>
      </c>
      <c r="T555">
        <v>0.42299999999999999</v>
      </c>
      <c r="U555">
        <v>1.288</v>
      </c>
      <c r="V555" s="1" t="str">
        <f>IF(Energy_data_1990___2020[[#This Row],[CO2 emissions from fuel combustion (MtCO2)]]&gt;Energy_data_1990___2020[[#Totals],[CO2 emissions from fuel combustion (MtCO2)]],"Above Average","")</f>
        <v>Above Average</v>
      </c>
      <c r="W555" s="1">
        <f>SUM(Energy_data_1990___2020[[#This Row],[Coal and lignite production (Mt)]]-Energy_data_1990___2020[[#This Row],[Coal and lignite domestic consumption (Mt)]])</f>
        <v>-191.67361789999998</v>
      </c>
    </row>
    <row r="556" spans="1:23">
      <c r="A556" t="s">
        <v>46</v>
      </c>
      <c r="B556">
        <v>2017</v>
      </c>
      <c r="C556" t="s">
        <v>28</v>
      </c>
      <c r="D556">
        <v>1110.352355</v>
      </c>
      <c r="E556">
        <v>2.5603781859999999</v>
      </c>
      <c r="F556">
        <v>0.21081439099999999</v>
      </c>
      <c r="G556">
        <v>42.922166099999998</v>
      </c>
      <c r="H556">
        <v>433.66732359999997</v>
      </c>
      <c r="I556">
        <v>16.49819814</v>
      </c>
      <c r="J556">
        <v>26.5877461</v>
      </c>
      <c r="K556">
        <v>165.33071699999999</v>
      </c>
      <c r="L556">
        <v>157.41915900000001</v>
      </c>
      <c r="M556">
        <v>2.931693503</v>
      </c>
      <c r="N556">
        <v>113.2320812</v>
      </c>
      <c r="O556">
        <v>8.2337207999999995E-2</v>
      </c>
      <c r="P556">
        <v>1071.2016880000001</v>
      </c>
      <c r="Q556">
        <v>980.18619000000001</v>
      </c>
      <c r="R556">
        <v>193.8804514</v>
      </c>
      <c r="S556">
        <v>7.9071954379999996</v>
      </c>
      <c r="T556">
        <v>0.42017599999999999</v>
      </c>
      <c r="U556">
        <v>1.3278970000000001</v>
      </c>
      <c r="V556" s="1" t="str">
        <f>IF(Energy_data_1990___2020[[#This Row],[CO2 emissions from fuel combustion (MtCO2)]]&gt;Energy_data_1990___2020[[#Totals],[CO2 emissions from fuel combustion (MtCO2)]],"Above Average","")</f>
        <v>Above Average</v>
      </c>
      <c r="W556" s="1">
        <f>SUM(Energy_data_1990___2020[[#This Row],[Coal and lignite production (Mt)]]-Energy_data_1990___2020[[#This Row],[Coal and lignite domestic consumption (Mt)]])</f>
        <v>-192.55255439999999</v>
      </c>
    </row>
    <row r="557" spans="1:23">
      <c r="A557" t="s">
        <v>46</v>
      </c>
      <c r="B557">
        <v>2018</v>
      </c>
      <c r="C557" t="s">
        <v>28</v>
      </c>
      <c r="D557">
        <v>1066.5448799999999</v>
      </c>
      <c r="E557">
        <v>2.493982956</v>
      </c>
      <c r="F557">
        <v>0.20091287999999999</v>
      </c>
      <c r="G557">
        <v>51.973658309999998</v>
      </c>
      <c r="H557">
        <v>427.64722110000002</v>
      </c>
      <c r="I557">
        <v>17.422956469999999</v>
      </c>
      <c r="J557">
        <v>26.90188328</v>
      </c>
      <c r="K557">
        <v>156.59493699999999</v>
      </c>
      <c r="L557">
        <v>151.120228</v>
      </c>
      <c r="M557">
        <v>2.479809919</v>
      </c>
      <c r="N557">
        <v>108.21136319999999</v>
      </c>
      <c r="O557">
        <v>8.0559042999999997E-2</v>
      </c>
      <c r="P557">
        <v>1057.7532940000001</v>
      </c>
      <c r="Q557">
        <v>960.89432499999998</v>
      </c>
      <c r="R557">
        <v>188.46673379999999</v>
      </c>
      <c r="S557">
        <v>8.6731961529999992</v>
      </c>
      <c r="T557">
        <v>0.38195499999999999</v>
      </c>
      <c r="U557">
        <v>1.3278970000000001</v>
      </c>
      <c r="V557" s="1" t="str">
        <f>IF(Energy_data_1990___2020[[#This Row],[CO2 emissions from fuel combustion (MtCO2)]]&gt;Energy_data_1990___2020[[#Totals],[CO2 emissions from fuel combustion (MtCO2)]],"Above Average","")</f>
        <v>Above Average</v>
      </c>
      <c r="W557" s="1">
        <f>SUM(Energy_data_1990___2020[[#This Row],[Coal and lignite production (Mt)]]-Energy_data_1990___2020[[#This Row],[Coal and lignite domestic consumption (Mt)]])</f>
        <v>-187.13883679999998</v>
      </c>
    </row>
    <row r="558" spans="1:23">
      <c r="A558" t="s">
        <v>46</v>
      </c>
      <c r="B558">
        <v>2019</v>
      </c>
      <c r="C558" t="s">
        <v>28</v>
      </c>
      <c r="D558">
        <v>1044.3778520000001</v>
      </c>
      <c r="E558">
        <v>2.5081894689999999</v>
      </c>
      <c r="F558">
        <v>0.19542580700000001</v>
      </c>
      <c r="G558">
        <v>53.190415430000002</v>
      </c>
      <c r="H558">
        <v>416.38714490000001</v>
      </c>
      <c r="I558">
        <v>18.323905320000001</v>
      </c>
      <c r="J558">
        <v>26.426479579999999</v>
      </c>
      <c r="K558">
        <v>152.13129860000001</v>
      </c>
      <c r="L558">
        <v>151.4338554</v>
      </c>
      <c r="M558">
        <v>2.282876216</v>
      </c>
      <c r="N558">
        <v>103.05440520000001</v>
      </c>
      <c r="O558">
        <v>7.7915089000000007E-2</v>
      </c>
      <c r="P558">
        <v>1015.01851</v>
      </c>
      <c r="Q558">
        <v>934.06030250000003</v>
      </c>
      <c r="R558">
        <v>185.94174799999999</v>
      </c>
      <c r="S558">
        <v>9.7914812700000002</v>
      </c>
      <c r="T558">
        <v>0.400382654</v>
      </c>
      <c r="U558">
        <v>0.981672663</v>
      </c>
      <c r="V558" s="1" t="str">
        <f>IF(Energy_data_1990___2020[[#This Row],[CO2 emissions from fuel combustion (MtCO2)]]&gt;Energy_data_1990___2020[[#Totals],[CO2 emissions from fuel combustion (MtCO2)]],"Above Average","")</f>
        <v>Above Average</v>
      </c>
      <c r="W558" s="1">
        <f>SUM(Energy_data_1990___2020[[#This Row],[Coal and lignite production (Mt)]]-Energy_data_1990___2020[[#This Row],[Coal and lignite domestic consumption (Mt)]])</f>
        <v>-184.96007533699998</v>
      </c>
    </row>
    <row r="559" spans="1:23">
      <c r="A559" t="s">
        <v>46</v>
      </c>
      <c r="B559">
        <v>2020</v>
      </c>
      <c r="C559" t="s">
        <v>28</v>
      </c>
      <c r="D559">
        <v>979.37743820000003</v>
      </c>
      <c r="E559">
        <v>2.5351463839999999</v>
      </c>
      <c r="F559">
        <v>0.192502958</v>
      </c>
      <c r="G559">
        <v>50.183068640000002</v>
      </c>
      <c r="H559">
        <v>386.31987659999999</v>
      </c>
      <c r="I559">
        <v>20.226474710000002</v>
      </c>
      <c r="J559">
        <v>27.767892310000001</v>
      </c>
      <c r="K559">
        <v>139.43964080000001</v>
      </c>
      <c r="L559">
        <v>126.20457620000001</v>
      </c>
      <c r="M559">
        <v>2.0107967580000001</v>
      </c>
      <c r="N559">
        <v>99.862714949999997</v>
      </c>
      <c r="O559">
        <v>7.5933665999999997E-2</v>
      </c>
      <c r="P559">
        <v>1011.455287</v>
      </c>
      <c r="Q559">
        <v>905.41593980000005</v>
      </c>
      <c r="R559">
        <v>171.00082979999999</v>
      </c>
      <c r="S559">
        <v>10.69373875</v>
      </c>
      <c r="T559">
        <v>0.39200644699999998</v>
      </c>
      <c r="U559">
        <v>0.94367243099999998</v>
      </c>
      <c r="V559" s="1" t="str">
        <f>IF(Energy_data_1990___2020[[#This Row],[CO2 emissions from fuel combustion (MtCO2)]]&gt;Energy_data_1990___2020[[#Totals],[CO2 emissions from fuel combustion (MtCO2)]],"Above Average","")</f>
        <v>Above Average</v>
      </c>
      <c r="W559" s="1">
        <f>SUM(Energy_data_1990___2020[[#This Row],[Coal and lignite production (Mt)]]-Energy_data_1990___2020[[#This Row],[Coal and lignite domestic consumption (Mt)]])</f>
        <v>-170.05715736899998</v>
      </c>
    </row>
    <row r="560" spans="1:23">
      <c r="A560" t="s">
        <v>47</v>
      </c>
      <c r="B560">
        <v>1990</v>
      </c>
      <c r="C560" t="s">
        <v>28</v>
      </c>
      <c r="D560">
        <v>236.2823415</v>
      </c>
      <c r="E560">
        <v>3.2168030540000001</v>
      </c>
      <c r="F560">
        <v>1.0265632929999999</v>
      </c>
      <c r="G560">
        <v>90.977383259999996</v>
      </c>
      <c r="H560">
        <v>73.452535800000007</v>
      </c>
      <c r="I560">
        <v>8.4299431210000009</v>
      </c>
      <c r="J560">
        <v>13.92138958</v>
      </c>
      <c r="K560">
        <v>19.167000000000002</v>
      </c>
      <c r="L560">
        <v>18.303000000000001</v>
      </c>
      <c r="M560">
        <v>7.1140053050000001</v>
      </c>
      <c r="N560">
        <v>13.18298532</v>
      </c>
      <c r="O560">
        <v>0.31912531700000002</v>
      </c>
      <c r="P560">
        <v>87.379000000000005</v>
      </c>
      <c r="Q560">
        <v>96.534999999999997</v>
      </c>
      <c r="R560">
        <v>90.361000000000004</v>
      </c>
      <c r="S560">
        <v>0</v>
      </c>
      <c r="T560">
        <v>25.82</v>
      </c>
      <c r="U560">
        <v>131.44300000000001</v>
      </c>
      <c r="V560" s="1" t="str">
        <f>IF(Energy_data_1990___2020[[#This Row],[CO2 emissions from fuel combustion (MtCO2)]]&gt;Energy_data_1990___2020[[#Totals],[CO2 emissions from fuel combustion (MtCO2)]],"Above Average","")</f>
        <v/>
      </c>
      <c r="W560" s="1">
        <f>SUM(Energy_data_1990___2020[[#This Row],[Coal and lignite production (Mt)]]-Energy_data_1990___2020[[#This Row],[Coal and lignite domestic consumption (Mt)]])</f>
        <v>41.082000000000008</v>
      </c>
    </row>
    <row r="561" spans="1:23">
      <c r="A561" t="s">
        <v>47</v>
      </c>
      <c r="B561">
        <v>1991</v>
      </c>
      <c r="C561" t="s">
        <v>28</v>
      </c>
      <c r="D561">
        <v>243.08318919999999</v>
      </c>
      <c r="E561">
        <v>3.243307331</v>
      </c>
      <c r="F561">
        <v>1.1866410940000001</v>
      </c>
      <c r="G561">
        <v>91.872940589999999</v>
      </c>
      <c r="H561">
        <v>74.949168970000002</v>
      </c>
      <c r="I561">
        <v>8.3736509120000004</v>
      </c>
      <c r="J561">
        <v>12.75894295</v>
      </c>
      <c r="K561">
        <v>22.437999999999999</v>
      </c>
      <c r="L561">
        <v>18.277999999999999</v>
      </c>
      <c r="M561">
        <v>7.8849923479999999</v>
      </c>
      <c r="N561">
        <v>12.55001247</v>
      </c>
      <c r="O561">
        <v>0.36587377399999998</v>
      </c>
      <c r="P561">
        <v>85.983999999999995</v>
      </c>
      <c r="Q561">
        <v>92.811000000000007</v>
      </c>
      <c r="R561">
        <v>89.87</v>
      </c>
      <c r="S561">
        <v>0</v>
      </c>
      <c r="T561">
        <v>26.591000000000001</v>
      </c>
      <c r="U561">
        <v>130.38200000000001</v>
      </c>
      <c r="V561" s="1" t="str">
        <f>IF(Energy_data_1990___2020[[#This Row],[CO2 emissions from fuel combustion (MtCO2)]]&gt;Energy_data_1990___2020[[#Totals],[CO2 emissions from fuel combustion (MtCO2)]],"Above Average","")</f>
        <v/>
      </c>
      <c r="W561" s="1">
        <f>SUM(Energy_data_1990___2020[[#This Row],[Coal and lignite production (Mt)]]-Energy_data_1990___2020[[#This Row],[Coal and lignite domestic consumption (Mt)]])</f>
        <v>40.512</v>
      </c>
    </row>
    <row r="562" spans="1:23">
      <c r="A562" t="s">
        <v>47</v>
      </c>
      <c r="B562">
        <v>1992</v>
      </c>
      <c r="C562" t="s">
        <v>28</v>
      </c>
      <c r="D562">
        <v>249.14830029999999</v>
      </c>
      <c r="E562">
        <v>3.1598421019999998</v>
      </c>
      <c r="F562">
        <v>1.284317524</v>
      </c>
      <c r="G562">
        <v>89.518086530000005</v>
      </c>
      <c r="H562">
        <v>78.848338699999999</v>
      </c>
      <c r="I562">
        <v>8.3021970710000002</v>
      </c>
      <c r="J562">
        <v>11.510723690000001</v>
      </c>
      <c r="K562">
        <v>21.058</v>
      </c>
      <c r="L562">
        <v>17.658999999999999</v>
      </c>
      <c r="M562">
        <v>8.1129973470000003</v>
      </c>
      <c r="N562">
        <v>18.424986740000001</v>
      </c>
      <c r="O562">
        <v>0.406449905</v>
      </c>
      <c r="P562">
        <v>82.700999999999993</v>
      </c>
      <c r="Q562">
        <v>88.022999999999996</v>
      </c>
      <c r="R562">
        <v>90.808999999999997</v>
      </c>
      <c r="S562">
        <v>0</v>
      </c>
      <c r="T562">
        <v>25.847999999999999</v>
      </c>
      <c r="U562">
        <v>126.536</v>
      </c>
      <c r="V562" s="1" t="str">
        <f>IF(Energy_data_1990___2020[[#This Row],[CO2 emissions from fuel combustion (MtCO2)]]&gt;Energy_data_1990___2020[[#Totals],[CO2 emissions from fuel combustion (MtCO2)]],"Above Average","")</f>
        <v/>
      </c>
      <c r="W562" s="1">
        <f>SUM(Energy_data_1990___2020[[#This Row],[Coal and lignite production (Mt)]]-Energy_data_1990___2020[[#This Row],[Coal and lignite domestic consumption (Mt)]])</f>
        <v>35.727000000000004</v>
      </c>
    </row>
    <row r="563" spans="1:23">
      <c r="A563" t="s">
        <v>47</v>
      </c>
      <c r="B563">
        <v>1993</v>
      </c>
      <c r="C563" t="s">
        <v>28</v>
      </c>
      <c r="D563">
        <v>212.46175339999999</v>
      </c>
      <c r="E563">
        <v>3.2374386909999999</v>
      </c>
      <c r="F563">
        <v>1.206172416</v>
      </c>
      <c r="G563">
        <v>78.893268640000002</v>
      </c>
      <c r="H563">
        <v>65.626494809999997</v>
      </c>
      <c r="I563">
        <v>9.8509891019999998</v>
      </c>
      <c r="J563">
        <v>11.16851063</v>
      </c>
      <c r="K563">
        <v>16.529</v>
      </c>
      <c r="L563">
        <v>14.933</v>
      </c>
      <c r="M563">
        <v>6.6849955310000002</v>
      </c>
      <c r="N563">
        <v>13.00700265</v>
      </c>
      <c r="O563">
        <v>0.37256996399999998</v>
      </c>
      <c r="P563">
        <v>77.444000000000003</v>
      </c>
      <c r="Q563">
        <v>71.099999999999994</v>
      </c>
      <c r="R563">
        <v>83.019000000000005</v>
      </c>
      <c r="S563">
        <v>0</v>
      </c>
      <c r="T563">
        <v>22.975000000000001</v>
      </c>
      <c r="U563">
        <v>111.88</v>
      </c>
      <c r="V563" s="1" t="str">
        <f>IF(Energy_data_1990___2020[[#This Row],[CO2 emissions from fuel combustion (MtCO2)]]&gt;Energy_data_1990___2020[[#Totals],[CO2 emissions from fuel combustion (MtCO2)]],"Above Average","")</f>
        <v/>
      </c>
      <c r="W563" s="1">
        <f>SUM(Energy_data_1990___2020[[#This Row],[Coal and lignite production (Mt)]]-Energy_data_1990___2020[[#This Row],[Coal and lignite domestic consumption (Mt)]])</f>
        <v>28.86099999999999</v>
      </c>
    </row>
    <row r="564" spans="1:23">
      <c r="A564" t="s">
        <v>47</v>
      </c>
      <c r="B564">
        <v>1994</v>
      </c>
      <c r="C564" t="s">
        <v>28</v>
      </c>
      <c r="D564">
        <v>192.19978839999999</v>
      </c>
      <c r="E564">
        <v>3.3058302620000002</v>
      </c>
      <c r="F564">
        <v>1.2484469810000001</v>
      </c>
      <c r="G564">
        <v>71.196920719999994</v>
      </c>
      <c r="H564">
        <v>58.139642119999998</v>
      </c>
      <c r="I564">
        <v>13.824419779999999</v>
      </c>
      <c r="J564">
        <v>11.777285750000001</v>
      </c>
      <c r="K564">
        <v>12.055</v>
      </c>
      <c r="L564">
        <v>11.795</v>
      </c>
      <c r="M564">
        <v>4.4879987059999999</v>
      </c>
      <c r="N564">
        <v>10.02501326</v>
      </c>
      <c r="O564">
        <v>0.37765005499999998</v>
      </c>
      <c r="P564">
        <v>66.397000000000006</v>
      </c>
      <c r="Q564">
        <v>61.398000000000003</v>
      </c>
      <c r="R564">
        <v>79.565031149999996</v>
      </c>
      <c r="S564">
        <v>0</v>
      </c>
      <c r="T564">
        <v>20.279</v>
      </c>
      <c r="U564">
        <v>104.625</v>
      </c>
      <c r="V564" s="1" t="str">
        <f>IF(Energy_data_1990___2020[[#This Row],[CO2 emissions from fuel combustion (MtCO2)]]&gt;Energy_data_1990___2020[[#Totals],[CO2 emissions from fuel combustion (MtCO2)]],"Above Average","")</f>
        <v/>
      </c>
      <c r="W564" s="1">
        <f>SUM(Energy_data_1990___2020[[#This Row],[Coal and lignite production (Mt)]]-Energy_data_1990___2020[[#This Row],[Coal and lignite domestic consumption (Mt)]])</f>
        <v>25.059968850000004</v>
      </c>
    </row>
    <row r="565" spans="1:23">
      <c r="A565" t="s">
        <v>47</v>
      </c>
      <c r="B565">
        <v>1995</v>
      </c>
      <c r="C565" t="s">
        <v>28</v>
      </c>
      <c r="D565">
        <v>167.5855305</v>
      </c>
      <c r="E565">
        <v>3.2076390539999999</v>
      </c>
      <c r="F565">
        <v>1.1857988800000001</v>
      </c>
      <c r="G565">
        <v>63.850937119999998</v>
      </c>
      <c r="H565">
        <v>52.245756989999997</v>
      </c>
      <c r="I565">
        <v>12.497562289999999</v>
      </c>
      <c r="J565">
        <v>10.9160564</v>
      </c>
      <c r="K565">
        <v>10.677</v>
      </c>
      <c r="L565">
        <v>10.753</v>
      </c>
      <c r="M565">
        <v>5.9159946950000002</v>
      </c>
      <c r="N565">
        <v>12.47599469</v>
      </c>
      <c r="O565">
        <v>0.369679649</v>
      </c>
      <c r="P565">
        <v>66.661000000000001</v>
      </c>
      <c r="Q565">
        <v>54.845999999999997</v>
      </c>
      <c r="R565">
        <v>65.644999999999996</v>
      </c>
      <c r="S565">
        <v>0</v>
      </c>
      <c r="T565">
        <v>20.640999999999998</v>
      </c>
      <c r="U565">
        <v>84.494</v>
      </c>
      <c r="V565" s="1" t="str">
        <f>IF(Energy_data_1990___2020[[#This Row],[CO2 emissions from fuel combustion (MtCO2)]]&gt;Energy_data_1990___2020[[#Totals],[CO2 emissions from fuel combustion (MtCO2)]],"Above Average","")</f>
        <v/>
      </c>
      <c r="W565" s="1">
        <f>SUM(Energy_data_1990___2020[[#This Row],[Coal and lignite production (Mt)]]-Energy_data_1990___2020[[#This Row],[Coal and lignite domestic consumption (Mt)]])</f>
        <v>18.849000000000004</v>
      </c>
    </row>
    <row r="566" spans="1:23">
      <c r="A566" t="s">
        <v>47</v>
      </c>
      <c r="B566">
        <v>1996</v>
      </c>
      <c r="C566" t="s">
        <v>28</v>
      </c>
      <c r="D566">
        <v>146.1789101</v>
      </c>
      <c r="E566">
        <v>3.2230672490000001</v>
      </c>
      <c r="F566">
        <v>1.029184353</v>
      </c>
      <c r="G566">
        <v>63.710438930000002</v>
      </c>
      <c r="H566">
        <v>45.35397459</v>
      </c>
      <c r="I566">
        <v>12.41742606</v>
      </c>
      <c r="J566">
        <v>11.21760918</v>
      </c>
      <c r="K566">
        <v>9.4489999999999998</v>
      </c>
      <c r="L566">
        <v>11.018000000000001</v>
      </c>
      <c r="M566">
        <v>6.5240053050000002</v>
      </c>
      <c r="N566">
        <v>9.6770026530000006</v>
      </c>
      <c r="O566">
        <v>0.3193183</v>
      </c>
      <c r="P566">
        <v>59.037999999999997</v>
      </c>
      <c r="Q566">
        <v>48.625</v>
      </c>
      <c r="R566">
        <v>58.718155770000003</v>
      </c>
      <c r="S566">
        <v>0</v>
      </c>
      <c r="T566">
        <v>22.96</v>
      </c>
      <c r="U566">
        <v>77.977999999999994</v>
      </c>
      <c r="V566" s="1" t="str">
        <f>IF(Energy_data_1990___2020[[#This Row],[CO2 emissions from fuel combustion (MtCO2)]]&gt;Energy_data_1990___2020[[#Totals],[CO2 emissions from fuel combustion (MtCO2)]],"Above Average","")</f>
        <v/>
      </c>
      <c r="W566" s="1">
        <f>SUM(Energy_data_1990___2020[[#This Row],[Coal and lignite production (Mt)]]-Energy_data_1990___2020[[#This Row],[Coal and lignite domestic consumption (Mt)]])</f>
        <v>19.259844229999992</v>
      </c>
    </row>
    <row r="567" spans="1:23">
      <c r="A567" t="s">
        <v>47</v>
      </c>
      <c r="B567">
        <v>1997</v>
      </c>
      <c r="C567" t="s">
        <v>28</v>
      </c>
      <c r="D567">
        <v>123.2115094</v>
      </c>
      <c r="E567">
        <v>3.1194685600000001</v>
      </c>
      <c r="F567">
        <v>0.85297986699999995</v>
      </c>
      <c r="G567">
        <v>65.554734690000004</v>
      </c>
      <c r="H567">
        <v>39.497596170000001</v>
      </c>
      <c r="I567">
        <v>12.498076920000001</v>
      </c>
      <c r="J567">
        <v>11.08455384</v>
      </c>
      <c r="K567">
        <v>8.1950000000000003</v>
      </c>
      <c r="L567">
        <v>9.4719999999999995</v>
      </c>
      <c r="M567">
        <v>8.1140053049999992</v>
      </c>
      <c r="N567">
        <v>8.6858885939999997</v>
      </c>
      <c r="O567">
        <v>0.273437559</v>
      </c>
      <c r="P567">
        <v>52</v>
      </c>
      <c r="Q567">
        <v>41.473999999999997</v>
      </c>
      <c r="R567">
        <v>49.199155769999997</v>
      </c>
      <c r="S567">
        <v>0</v>
      </c>
      <c r="T567">
        <v>25.777999999999999</v>
      </c>
      <c r="U567">
        <v>72.647000000000006</v>
      </c>
      <c r="V567" s="1" t="str">
        <f>IF(Energy_data_1990___2020[[#This Row],[CO2 emissions from fuel combustion (MtCO2)]]&gt;Energy_data_1990___2020[[#Totals],[CO2 emissions from fuel combustion (MtCO2)]],"Above Average","")</f>
        <v/>
      </c>
      <c r="W567" s="1">
        <f>SUM(Energy_data_1990___2020[[#This Row],[Coal and lignite production (Mt)]]-Energy_data_1990___2020[[#This Row],[Coal and lignite domestic consumption (Mt)]])</f>
        <v>23.447844230000008</v>
      </c>
    </row>
    <row r="568" spans="1:23">
      <c r="A568" t="s">
        <v>47</v>
      </c>
      <c r="B568">
        <v>1998</v>
      </c>
      <c r="C568" t="s">
        <v>28</v>
      </c>
      <c r="D568">
        <v>125.7620326</v>
      </c>
      <c r="E568">
        <v>3.1968052120000001</v>
      </c>
      <c r="F568">
        <v>0.88749934900000005</v>
      </c>
      <c r="G568">
        <v>64.811426170000004</v>
      </c>
      <c r="H568">
        <v>39.339911030000003</v>
      </c>
      <c r="I568">
        <v>12.495676059999999</v>
      </c>
      <c r="J568">
        <v>10.084705639999999</v>
      </c>
      <c r="K568">
        <v>8.9269999999999996</v>
      </c>
      <c r="L568">
        <v>8.8070000000000004</v>
      </c>
      <c r="M568">
        <v>7.9479895279999999</v>
      </c>
      <c r="N568">
        <v>8.6939961009999998</v>
      </c>
      <c r="O568">
        <v>0.27762071500000002</v>
      </c>
      <c r="P568">
        <v>49.145000000000003</v>
      </c>
      <c r="Q568">
        <v>38.46</v>
      </c>
      <c r="R568">
        <v>49.3</v>
      </c>
      <c r="S568">
        <v>0</v>
      </c>
      <c r="T568">
        <v>25.945</v>
      </c>
      <c r="U568">
        <v>70.825000000000003</v>
      </c>
      <c r="V568" s="1" t="str">
        <f>IF(Energy_data_1990___2020[[#This Row],[CO2 emissions from fuel combustion (MtCO2)]]&gt;Energy_data_1990___2020[[#Totals],[CO2 emissions from fuel combustion (MtCO2)]],"Above Average","")</f>
        <v/>
      </c>
      <c r="W568" s="1">
        <f>SUM(Energy_data_1990___2020[[#This Row],[Coal and lignite production (Mt)]]-Energy_data_1990___2020[[#This Row],[Coal and lignite domestic consumption (Mt)]])</f>
        <v>21.525000000000006</v>
      </c>
    </row>
    <row r="569" spans="1:23">
      <c r="A569" t="s">
        <v>47</v>
      </c>
      <c r="B569">
        <v>1999</v>
      </c>
      <c r="C569" t="s">
        <v>28</v>
      </c>
      <c r="D569">
        <v>113.03286559999999</v>
      </c>
      <c r="E569">
        <v>3.146535176</v>
      </c>
      <c r="F569">
        <v>0.77669907800000004</v>
      </c>
      <c r="G569">
        <v>66.123641919999997</v>
      </c>
      <c r="H569">
        <v>35.922962640000001</v>
      </c>
      <c r="I569">
        <v>12.91001726</v>
      </c>
      <c r="J569">
        <v>11.34601408</v>
      </c>
      <c r="K569">
        <v>6.8650000000000002</v>
      </c>
      <c r="L569">
        <v>6.7089999999999996</v>
      </c>
      <c r="M569">
        <v>9.9460089699999994</v>
      </c>
      <c r="N569">
        <v>8.6232589599999994</v>
      </c>
      <c r="O569">
        <v>0.246842649</v>
      </c>
      <c r="P569">
        <v>47.497999999999998</v>
      </c>
      <c r="Q569">
        <v>38.161999999999999</v>
      </c>
      <c r="R569">
        <v>46.256999999999998</v>
      </c>
      <c r="S569">
        <v>0</v>
      </c>
      <c r="T569">
        <v>30.13</v>
      </c>
      <c r="U569">
        <v>59.793999999999997</v>
      </c>
      <c r="V569" s="1" t="str">
        <f>IF(Energy_data_1990___2020[[#This Row],[CO2 emissions from fuel combustion (MtCO2)]]&gt;Energy_data_1990___2020[[#Totals],[CO2 emissions from fuel combustion (MtCO2)]],"Above Average","")</f>
        <v/>
      </c>
      <c r="W569" s="1">
        <f>SUM(Energy_data_1990___2020[[#This Row],[Coal and lignite production (Mt)]]-Energy_data_1990___2020[[#This Row],[Coal and lignite domestic consumption (Mt)]])</f>
        <v>13.536999999999999</v>
      </c>
    </row>
    <row r="570" spans="1:23">
      <c r="A570" t="s">
        <v>47</v>
      </c>
      <c r="B570">
        <v>2000</v>
      </c>
      <c r="C570" t="s">
        <v>28</v>
      </c>
      <c r="D570">
        <v>121.8210205</v>
      </c>
      <c r="E570">
        <v>3.4142112689999999</v>
      </c>
      <c r="F570">
        <v>0.76237376800000001</v>
      </c>
      <c r="G570">
        <v>78.576186620000001</v>
      </c>
      <c r="H570">
        <v>35.68057477</v>
      </c>
      <c r="I570">
        <v>14.673447120000001</v>
      </c>
      <c r="J570">
        <v>12.920449530000001</v>
      </c>
      <c r="K570">
        <v>7.6139999999999999</v>
      </c>
      <c r="L570">
        <v>6.2690000000000001</v>
      </c>
      <c r="M570">
        <v>9.0860103470000002</v>
      </c>
      <c r="N570">
        <v>7.8359979500000003</v>
      </c>
      <c r="O570">
        <v>0.223294257</v>
      </c>
      <c r="P570">
        <v>51.323999999999998</v>
      </c>
      <c r="Q570">
        <v>38.539000000000001</v>
      </c>
      <c r="R570">
        <v>49.786999999999999</v>
      </c>
      <c r="S570">
        <v>0</v>
      </c>
      <c r="T570">
        <v>35.280999999999999</v>
      </c>
      <c r="U570">
        <v>77.444000000000003</v>
      </c>
      <c r="V570" s="1" t="str">
        <f>IF(Energy_data_1990___2020[[#This Row],[CO2 emissions from fuel combustion (MtCO2)]]&gt;Energy_data_1990___2020[[#Totals],[CO2 emissions from fuel combustion (MtCO2)]],"Above Average","")</f>
        <v/>
      </c>
      <c r="W570" s="1">
        <f>SUM(Energy_data_1990___2020[[#This Row],[Coal and lignite production (Mt)]]-Energy_data_1990___2020[[#This Row],[Coal and lignite domestic consumption (Mt)]])</f>
        <v>27.657000000000004</v>
      </c>
    </row>
    <row r="571" spans="1:23">
      <c r="A571" t="s">
        <v>47</v>
      </c>
      <c r="B571">
        <v>2001</v>
      </c>
      <c r="C571" t="s">
        <v>28</v>
      </c>
      <c r="D571">
        <v>113.1062728</v>
      </c>
      <c r="E571">
        <v>3.274875137</v>
      </c>
      <c r="F571">
        <v>0.62364370199999997</v>
      </c>
      <c r="G571">
        <v>84.000168400000007</v>
      </c>
      <c r="H571">
        <v>34.53758328</v>
      </c>
      <c r="I571">
        <v>14.212849780000001</v>
      </c>
      <c r="J571">
        <v>15.13599013</v>
      </c>
      <c r="K571">
        <v>7.2960000000000003</v>
      </c>
      <c r="L571">
        <v>8.1519999999999992</v>
      </c>
      <c r="M571">
        <v>8.2789970660000005</v>
      </c>
      <c r="N571">
        <v>6.0070053889999997</v>
      </c>
      <c r="O571">
        <v>0.190432818</v>
      </c>
      <c r="P571">
        <v>56.856999999999999</v>
      </c>
      <c r="Q571">
        <v>42.628999999999998</v>
      </c>
      <c r="R571">
        <v>47.963000000000001</v>
      </c>
      <c r="S571">
        <v>0</v>
      </c>
      <c r="T571">
        <v>40.554000000000002</v>
      </c>
      <c r="U571">
        <v>79.076999999999998</v>
      </c>
      <c r="V571" s="1" t="str">
        <f>IF(Energy_data_1990___2020[[#This Row],[CO2 emissions from fuel combustion (MtCO2)]]&gt;Energy_data_1990___2020[[#Totals],[CO2 emissions from fuel combustion (MtCO2)]],"Above Average","")</f>
        <v/>
      </c>
      <c r="W571" s="1">
        <f>SUM(Energy_data_1990___2020[[#This Row],[Coal and lignite production (Mt)]]-Energy_data_1990___2020[[#This Row],[Coal and lignite domestic consumption (Mt)]])</f>
        <v>31.113999999999997</v>
      </c>
    </row>
    <row r="572" spans="1:23">
      <c r="A572" t="s">
        <v>47</v>
      </c>
      <c r="B572">
        <v>2002</v>
      </c>
      <c r="C572" t="s">
        <v>28</v>
      </c>
      <c r="D572">
        <v>125.8212826</v>
      </c>
      <c r="E572">
        <v>3.1663684070000002</v>
      </c>
      <c r="F572">
        <v>0.63183200100000003</v>
      </c>
      <c r="G572">
        <v>91.263186559999994</v>
      </c>
      <c r="H572">
        <v>39.736779319999997</v>
      </c>
      <c r="I572">
        <v>15.23773611</v>
      </c>
      <c r="J572">
        <v>15.62267619</v>
      </c>
      <c r="K572">
        <v>7.8520000000000003</v>
      </c>
      <c r="L572">
        <v>8.5419999999999998</v>
      </c>
      <c r="M572">
        <v>10.66000436</v>
      </c>
      <c r="N572">
        <v>8.3289905530000006</v>
      </c>
      <c r="O572">
        <v>0.199544689</v>
      </c>
      <c r="P572">
        <v>58.341999999999999</v>
      </c>
      <c r="Q572">
        <v>43.22</v>
      </c>
      <c r="R572">
        <v>52.31</v>
      </c>
      <c r="S572">
        <v>0</v>
      </c>
      <c r="T572">
        <v>47.857999999999997</v>
      </c>
      <c r="U572">
        <v>73.995999999999995</v>
      </c>
      <c r="V572" s="1" t="str">
        <f>IF(Energy_data_1990___2020[[#This Row],[CO2 emissions from fuel combustion (MtCO2)]]&gt;Energy_data_1990___2020[[#Totals],[CO2 emissions from fuel combustion (MtCO2)]],"Above Average","")</f>
        <v/>
      </c>
      <c r="W572" s="1">
        <f>SUM(Energy_data_1990___2020[[#This Row],[Coal and lignite production (Mt)]]-Energy_data_1990___2020[[#This Row],[Coal and lignite domestic consumption (Mt)]])</f>
        <v>21.685999999999993</v>
      </c>
    </row>
    <row r="573" spans="1:23">
      <c r="A573" t="s">
        <v>47</v>
      </c>
      <c r="B573">
        <v>2003</v>
      </c>
      <c r="C573" t="s">
        <v>28</v>
      </c>
      <c r="D573">
        <v>145.07262040000001</v>
      </c>
      <c r="E573">
        <v>3.3654967650000001</v>
      </c>
      <c r="F573">
        <v>0.66651941400000003</v>
      </c>
      <c r="G573">
        <v>101.98604020000001</v>
      </c>
      <c r="H573">
        <v>43.105856449999997</v>
      </c>
      <c r="I573">
        <v>13.50483826</v>
      </c>
      <c r="J573">
        <v>14.00674643</v>
      </c>
      <c r="K573">
        <v>8.2759999999999998</v>
      </c>
      <c r="L573">
        <v>9.3640000000000008</v>
      </c>
      <c r="M573">
        <v>12.5399937</v>
      </c>
      <c r="N573">
        <v>10.1690021</v>
      </c>
      <c r="O573">
        <v>0.198044883</v>
      </c>
      <c r="P573">
        <v>63.866</v>
      </c>
      <c r="Q573">
        <v>45.932000000000002</v>
      </c>
      <c r="R573">
        <v>60.503999999999998</v>
      </c>
      <c r="S573">
        <v>0</v>
      </c>
      <c r="T573">
        <v>52.093000000000004</v>
      </c>
      <c r="U573">
        <v>85.111999999999995</v>
      </c>
      <c r="V573" s="1" t="str">
        <f>IF(Energy_data_1990___2020[[#This Row],[CO2 emissions from fuel combustion (MtCO2)]]&gt;Energy_data_1990___2020[[#Totals],[CO2 emissions from fuel combustion (MtCO2)]],"Above Average","")</f>
        <v/>
      </c>
      <c r="W573" s="1">
        <f>SUM(Energy_data_1990___2020[[#This Row],[Coal and lignite production (Mt)]]-Energy_data_1990___2020[[#This Row],[Coal and lignite domestic consumption (Mt)]])</f>
        <v>24.607999999999997</v>
      </c>
    </row>
    <row r="574" spans="1:23">
      <c r="A574" t="s">
        <v>47</v>
      </c>
      <c r="B574">
        <v>2004</v>
      </c>
      <c r="C574" t="s">
        <v>28</v>
      </c>
      <c r="D574">
        <v>150.17438110000001</v>
      </c>
      <c r="E574">
        <v>2.956520104</v>
      </c>
      <c r="F574">
        <v>0.62952451099999995</v>
      </c>
      <c r="G574">
        <v>114.7011001</v>
      </c>
      <c r="H574">
        <v>50.79430404</v>
      </c>
      <c r="I574">
        <v>12.03525282</v>
      </c>
      <c r="J574">
        <v>14.018223150000001</v>
      </c>
      <c r="K574">
        <v>8.35</v>
      </c>
      <c r="L574">
        <v>9.6020000000000003</v>
      </c>
      <c r="M574">
        <v>16.698995790000001</v>
      </c>
      <c r="N574">
        <v>11.604998999999999</v>
      </c>
      <c r="O574">
        <v>0.21292752600000001</v>
      </c>
      <c r="P574">
        <v>66.944999999999993</v>
      </c>
      <c r="Q574">
        <v>47.359000000000002</v>
      </c>
      <c r="R574">
        <v>62.774000000000001</v>
      </c>
      <c r="S574">
        <v>0</v>
      </c>
      <c r="T574">
        <v>60.231999999999999</v>
      </c>
      <c r="U574">
        <v>87.01</v>
      </c>
      <c r="V574" s="1" t="str">
        <f>IF(Energy_data_1990___2020[[#This Row],[CO2 emissions from fuel combustion (MtCO2)]]&gt;Energy_data_1990___2020[[#Totals],[CO2 emissions from fuel combustion (MtCO2)]],"Above Average","")</f>
        <v/>
      </c>
      <c r="W574" s="1">
        <f>SUM(Energy_data_1990___2020[[#This Row],[Coal and lignite production (Mt)]]-Energy_data_1990___2020[[#This Row],[Coal and lignite domestic consumption (Mt)]])</f>
        <v>24.236000000000004</v>
      </c>
    </row>
    <row r="575" spans="1:23">
      <c r="A575" t="s">
        <v>47</v>
      </c>
      <c r="B575">
        <v>2005</v>
      </c>
      <c r="C575" t="s">
        <v>28</v>
      </c>
      <c r="D575">
        <v>160.9619941</v>
      </c>
      <c r="E575">
        <v>3.1632422149999999</v>
      </c>
      <c r="F575">
        <v>0.61508269699999996</v>
      </c>
      <c r="G575">
        <v>118.64944300000001</v>
      </c>
      <c r="H575">
        <v>50.885130879999998</v>
      </c>
      <c r="I575">
        <v>11.578993909999999</v>
      </c>
      <c r="J575">
        <v>12.928963919999999</v>
      </c>
      <c r="K575">
        <v>8.9179999999999993</v>
      </c>
      <c r="L575">
        <v>11.662000000000001</v>
      </c>
      <c r="M575">
        <v>18.868011070000001</v>
      </c>
      <c r="N575">
        <v>14.852994300000001</v>
      </c>
      <c r="O575">
        <v>0.194446917</v>
      </c>
      <c r="P575">
        <v>67.846999999999994</v>
      </c>
      <c r="Q575">
        <v>49.043805599999999</v>
      </c>
      <c r="R575">
        <v>64.724999999999994</v>
      </c>
      <c r="S575">
        <v>0</v>
      </c>
      <c r="T575">
        <v>62.238</v>
      </c>
      <c r="U575">
        <v>87.197000000000003</v>
      </c>
      <c r="V575" s="1" t="str">
        <f>IF(Energy_data_1990___2020[[#This Row],[CO2 emissions from fuel combustion (MtCO2)]]&gt;Energy_data_1990___2020[[#Totals],[CO2 emissions from fuel combustion (MtCO2)]],"Above Average","")</f>
        <v/>
      </c>
      <c r="W575" s="1">
        <f>SUM(Energy_data_1990___2020[[#This Row],[Coal and lignite production (Mt)]]-Energy_data_1990___2020[[#This Row],[Coal and lignite domestic consumption (Mt)]])</f>
        <v>22.472000000000008</v>
      </c>
    </row>
    <row r="576" spans="1:23">
      <c r="A576" t="s">
        <v>47</v>
      </c>
      <c r="B576">
        <v>2006</v>
      </c>
      <c r="C576" t="s">
        <v>28</v>
      </c>
      <c r="D576">
        <v>181.729275</v>
      </c>
      <c r="E576">
        <v>2.9984448320000001</v>
      </c>
      <c r="F576">
        <v>0.62731755199999994</v>
      </c>
      <c r="G576">
        <v>127.8694002</v>
      </c>
      <c r="H576">
        <v>60.607843449999997</v>
      </c>
      <c r="I576">
        <v>10.84053198</v>
      </c>
      <c r="J576">
        <v>13.930785739999999</v>
      </c>
      <c r="K576">
        <v>9.5289999999999999</v>
      </c>
      <c r="L576">
        <v>11.852</v>
      </c>
      <c r="M576">
        <v>19.933017469999999</v>
      </c>
      <c r="N576">
        <v>17.861998109999998</v>
      </c>
      <c r="O576">
        <v>0.20921430499999999</v>
      </c>
      <c r="P576">
        <v>71.656999999999996</v>
      </c>
      <c r="Q576">
        <v>52.782128</v>
      </c>
      <c r="R576">
        <v>69.489000000000004</v>
      </c>
      <c r="S576">
        <v>0</v>
      </c>
      <c r="T576">
        <v>66.290999999999997</v>
      </c>
      <c r="U576">
        <v>96.665000000000006</v>
      </c>
      <c r="V576" s="1" t="str">
        <f>IF(Energy_data_1990___2020[[#This Row],[CO2 emissions from fuel combustion (MtCO2)]]&gt;Energy_data_1990___2020[[#Totals],[CO2 emissions from fuel combustion (MtCO2)]],"Above Average","")</f>
        <v/>
      </c>
      <c r="W576" s="1">
        <f>SUM(Energy_data_1990___2020[[#This Row],[Coal and lignite production (Mt)]]-Energy_data_1990___2020[[#This Row],[Coal and lignite domestic consumption (Mt)]])</f>
        <v>27.176000000000002</v>
      </c>
    </row>
    <row r="577" spans="1:23">
      <c r="A577" t="s">
        <v>47</v>
      </c>
      <c r="B577">
        <v>2007</v>
      </c>
      <c r="C577" t="s">
        <v>28</v>
      </c>
      <c r="D577">
        <v>193.35638370000001</v>
      </c>
      <c r="E577">
        <v>2.9257361140000002</v>
      </c>
      <c r="F577">
        <v>0.61290502300000005</v>
      </c>
      <c r="G577">
        <v>132.20553229999999</v>
      </c>
      <c r="H577">
        <v>66.088114630000007</v>
      </c>
      <c r="I577">
        <v>10.66738035</v>
      </c>
      <c r="J577">
        <v>12.03150319</v>
      </c>
      <c r="K577">
        <v>10.095000000000001</v>
      </c>
      <c r="L577">
        <v>11.955</v>
      </c>
      <c r="M577">
        <v>22.33601968</v>
      </c>
      <c r="N577">
        <v>20.154985329999999</v>
      </c>
      <c r="O577">
        <v>0.20948745799999999</v>
      </c>
      <c r="P577">
        <v>76.597999999999999</v>
      </c>
      <c r="Q577">
        <v>56.305790399999999</v>
      </c>
      <c r="R577">
        <v>73.628</v>
      </c>
      <c r="S577">
        <v>0</v>
      </c>
      <c r="T577">
        <v>67.965999999999994</v>
      </c>
      <c r="U577">
        <v>97.828000000000003</v>
      </c>
      <c r="V577" s="1" t="str">
        <f>IF(Energy_data_1990___2020[[#This Row],[CO2 emissions from fuel combustion (MtCO2)]]&gt;Energy_data_1990___2020[[#Totals],[CO2 emissions from fuel combustion (MtCO2)]],"Above Average","")</f>
        <v/>
      </c>
      <c r="W577" s="1">
        <f>SUM(Energy_data_1990___2020[[#This Row],[Coal and lignite production (Mt)]]-Energy_data_1990___2020[[#This Row],[Coal and lignite domestic consumption (Mt)]])</f>
        <v>24.200000000000003</v>
      </c>
    </row>
    <row r="578" spans="1:23">
      <c r="A578" t="s">
        <v>47</v>
      </c>
      <c r="B578">
        <v>2008</v>
      </c>
      <c r="C578" t="s">
        <v>28</v>
      </c>
      <c r="D578">
        <v>225.1931956</v>
      </c>
      <c r="E578">
        <v>3.224593139</v>
      </c>
      <c r="F578">
        <v>0.69101839399999998</v>
      </c>
      <c r="G578">
        <v>144.4236683</v>
      </c>
      <c r="H578">
        <v>69.836157880000002</v>
      </c>
      <c r="I578">
        <v>9.2870392269999993</v>
      </c>
      <c r="J578">
        <v>11.06029689</v>
      </c>
      <c r="K578">
        <v>10.701000000000001</v>
      </c>
      <c r="L578">
        <v>12.454000000000001</v>
      </c>
      <c r="M578">
        <v>24.681994889999999</v>
      </c>
      <c r="N578">
        <v>23.11301375</v>
      </c>
      <c r="O578">
        <v>0.21429630499999999</v>
      </c>
      <c r="P578">
        <v>80.326999999999998</v>
      </c>
      <c r="Q578">
        <v>59.568040000000003</v>
      </c>
      <c r="R578">
        <v>85.406999999999996</v>
      </c>
      <c r="S578">
        <v>0</v>
      </c>
      <c r="T578">
        <v>71.564999999999998</v>
      </c>
      <c r="U578">
        <v>111.072</v>
      </c>
      <c r="V578" s="1" t="str">
        <f>IF(Energy_data_1990___2020[[#This Row],[CO2 emissions from fuel combustion (MtCO2)]]&gt;Energy_data_1990___2020[[#Totals],[CO2 emissions from fuel combustion (MtCO2)]],"Above Average","")</f>
        <v/>
      </c>
      <c r="W578" s="1">
        <f>SUM(Energy_data_1990___2020[[#This Row],[Coal and lignite production (Mt)]]-Energy_data_1990___2020[[#This Row],[Coal and lignite domestic consumption (Mt)]])</f>
        <v>25.665000000000006</v>
      </c>
    </row>
    <row r="579" spans="1:23">
      <c r="A579" t="s">
        <v>47</v>
      </c>
      <c r="B579">
        <v>2009</v>
      </c>
      <c r="C579" t="s">
        <v>28</v>
      </c>
      <c r="D579">
        <v>199.2651305</v>
      </c>
      <c r="E579">
        <v>3.1418330170000002</v>
      </c>
      <c r="F579">
        <v>0.60420614699999997</v>
      </c>
      <c r="G579">
        <v>148.01458389999999</v>
      </c>
      <c r="H579">
        <v>63.423208510000002</v>
      </c>
      <c r="I579">
        <v>8.739677296</v>
      </c>
      <c r="J579">
        <v>13.206104959999999</v>
      </c>
      <c r="K579">
        <v>8.8409999999999993</v>
      </c>
      <c r="L579">
        <v>12.818</v>
      </c>
      <c r="M579">
        <v>27.199974260000001</v>
      </c>
      <c r="N579">
        <v>22.150997440000001</v>
      </c>
      <c r="O579">
        <v>0.192310076</v>
      </c>
      <c r="P579">
        <v>78.709999999999994</v>
      </c>
      <c r="Q579">
        <v>59.221200000000003</v>
      </c>
      <c r="R579">
        <v>76.900000000000006</v>
      </c>
      <c r="S579">
        <v>0</v>
      </c>
      <c r="T579">
        <v>77.522000000000006</v>
      </c>
      <c r="U579">
        <v>100.854</v>
      </c>
      <c r="V579" s="1" t="str">
        <f>IF(Energy_data_1990___2020[[#This Row],[CO2 emissions from fuel combustion (MtCO2)]]&gt;Energy_data_1990___2020[[#Totals],[CO2 emissions from fuel combustion (MtCO2)]],"Above Average","")</f>
        <v/>
      </c>
      <c r="W579" s="1">
        <f>SUM(Energy_data_1990___2020[[#This Row],[Coal and lignite production (Mt)]]-Energy_data_1990___2020[[#This Row],[Coal and lignite domestic consumption (Mt)]])</f>
        <v>23.953999999999994</v>
      </c>
    </row>
    <row r="580" spans="1:23">
      <c r="A580" t="s">
        <v>47</v>
      </c>
      <c r="B580">
        <v>2010</v>
      </c>
      <c r="C580" t="s">
        <v>28</v>
      </c>
      <c r="D580">
        <v>217.1546893</v>
      </c>
      <c r="E580">
        <v>3.1426213980000002</v>
      </c>
      <c r="F580">
        <v>0.61365365000000005</v>
      </c>
      <c r="G580">
        <v>156.85688999999999</v>
      </c>
      <c r="H580">
        <v>69.099857029999995</v>
      </c>
      <c r="I580">
        <v>9.7064588730000008</v>
      </c>
      <c r="J580">
        <v>13.234423850000001</v>
      </c>
      <c r="K580">
        <v>9.2729999999999997</v>
      </c>
      <c r="L580">
        <v>14.446999999999999</v>
      </c>
      <c r="M580">
        <v>28.330025190000001</v>
      </c>
      <c r="N580">
        <v>25.56698531</v>
      </c>
      <c r="O580">
        <v>0.19526808100000001</v>
      </c>
      <c r="P580">
        <v>82.646000000000001</v>
      </c>
      <c r="Q580">
        <v>64.612700000000004</v>
      </c>
      <c r="R580">
        <v>83.168000000000006</v>
      </c>
      <c r="S580">
        <v>0</v>
      </c>
      <c r="T580">
        <v>80.960999999999999</v>
      </c>
      <c r="U580">
        <v>110.929</v>
      </c>
      <c r="V580" s="1" t="str">
        <f>IF(Energy_data_1990___2020[[#This Row],[CO2 emissions from fuel combustion (MtCO2)]]&gt;Energy_data_1990___2020[[#Totals],[CO2 emissions from fuel combustion (MtCO2)]],"Above Average","")</f>
        <v/>
      </c>
      <c r="W580" s="1">
        <f>SUM(Energy_data_1990___2020[[#This Row],[Coal and lignite production (Mt)]]-Energy_data_1990___2020[[#This Row],[Coal and lignite domestic consumption (Mt)]])</f>
        <v>27.760999999999996</v>
      </c>
    </row>
    <row r="581" spans="1:23">
      <c r="A581" t="s">
        <v>47</v>
      </c>
      <c r="B581">
        <v>2011</v>
      </c>
      <c r="C581" t="s">
        <v>28</v>
      </c>
      <c r="D581">
        <v>231.7584056</v>
      </c>
      <c r="E581">
        <v>2.9996998079999999</v>
      </c>
      <c r="F581">
        <v>0.60979705500000003</v>
      </c>
      <c r="G581">
        <v>160.21726630000001</v>
      </c>
      <c r="H581">
        <v>77.260532870000006</v>
      </c>
      <c r="I581">
        <v>9.1042431799999992</v>
      </c>
      <c r="J581">
        <v>13.32600238</v>
      </c>
      <c r="K581">
        <v>10.093999999999999</v>
      </c>
      <c r="L581">
        <v>14.843999999999999</v>
      </c>
      <c r="M581">
        <v>28.530990899999999</v>
      </c>
      <c r="N581">
        <v>25.374974259999998</v>
      </c>
      <c r="O581">
        <v>0.20328602700000001</v>
      </c>
      <c r="P581">
        <v>86.585999999999999</v>
      </c>
      <c r="Q581">
        <v>71.258679999999998</v>
      </c>
      <c r="R581">
        <v>89.66</v>
      </c>
      <c r="S581">
        <v>0</v>
      </c>
      <c r="T581">
        <v>81.278000000000006</v>
      </c>
      <c r="U581">
        <v>116.45</v>
      </c>
      <c r="V581" s="1" t="str">
        <f>IF(Energy_data_1990___2020[[#This Row],[CO2 emissions from fuel combustion (MtCO2)]]&gt;Energy_data_1990___2020[[#Totals],[CO2 emissions from fuel combustion (MtCO2)]],"Above Average","")</f>
        <v/>
      </c>
      <c r="W581" s="1">
        <f>SUM(Energy_data_1990___2020[[#This Row],[Coal and lignite production (Mt)]]-Energy_data_1990___2020[[#This Row],[Coal and lignite domestic consumption (Mt)]])</f>
        <v>26.790000000000006</v>
      </c>
    </row>
    <row r="582" spans="1:23">
      <c r="A582" t="s">
        <v>47</v>
      </c>
      <c r="B582">
        <v>2012</v>
      </c>
      <c r="C582" t="s">
        <v>28</v>
      </c>
      <c r="D582">
        <v>234.17498430000001</v>
      </c>
      <c r="E582">
        <v>3.171971074</v>
      </c>
      <c r="F582">
        <v>0.58793463499999998</v>
      </c>
      <c r="G582">
        <v>164.59802429999999</v>
      </c>
      <c r="H582">
        <v>73.826330299999995</v>
      </c>
      <c r="I582">
        <v>8.2312507410000002</v>
      </c>
      <c r="J582">
        <v>14.313145280000001</v>
      </c>
      <c r="K582">
        <v>10.468</v>
      </c>
      <c r="L582">
        <v>14.840999999999999</v>
      </c>
      <c r="M582">
        <v>30.710022510000002</v>
      </c>
      <c r="N582">
        <v>25.17600328</v>
      </c>
      <c r="O582">
        <v>0.185353088</v>
      </c>
      <c r="P582">
        <v>92.816999999999993</v>
      </c>
      <c r="Q582">
        <v>73.488479999999996</v>
      </c>
      <c r="R582">
        <v>90.858999999999995</v>
      </c>
      <c r="S582">
        <v>3.2321670000000002E-3</v>
      </c>
      <c r="T582">
        <v>80.537000000000006</v>
      </c>
      <c r="U582">
        <v>120.527</v>
      </c>
      <c r="V582" s="1" t="str">
        <f>IF(Energy_data_1990___2020[[#This Row],[CO2 emissions from fuel combustion (MtCO2)]]&gt;Energy_data_1990___2020[[#Totals],[CO2 emissions from fuel combustion (MtCO2)]],"Above Average","")</f>
        <v/>
      </c>
      <c r="W582" s="1">
        <f>SUM(Energy_data_1990___2020[[#This Row],[Coal and lignite production (Mt)]]-Energy_data_1990___2020[[#This Row],[Coal and lignite domestic consumption (Mt)]])</f>
        <v>29.668000000000006</v>
      </c>
    </row>
    <row r="583" spans="1:23">
      <c r="A583" t="s">
        <v>47</v>
      </c>
      <c r="B583">
        <v>2013</v>
      </c>
      <c r="C583" t="s">
        <v>28</v>
      </c>
      <c r="D583">
        <v>251.16943570000001</v>
      </c>
      <c r="E583">
        <v>3.0814919330000001</v>
      </c>
      <c r="F583">
        <v>0.59490753600000001</v>
      </c>
      <c r="G583">
        <v>169.0354437</v>
      </c>
      <c r="H583">
        <v>81.509035620000006</v>
      </c>
      <c r="I583">
        <v>7.5044865889999999</v>
      </c>
      <c r="J583">
        <v>13.40229673</v>
      </c>
      <c r="K583">
        <v>10.961</v>
      </c>
      <c r="L583">
        <v>15.083</v>
      </c>
      <c r="M583">
        <v>32.95199444</v>
      </c>
      <c r="N583">
        <v>27.044011749999999</v>
      </c>
      <c r="O583">
        <v>0.193058281</v>
      </c>
      <c r="P583">
        <v>103.08499999999999</v>
      </c>
      <c r="Q583">
        <v>71.024039999999999</v>
      </c>
      <c r="R583">
        <v>90.373000000000005</v>
      </c>
      <c r="S583">
        <v>4.8503660000000001E-3</v>
      </c>
      <c r="T583">
        <v>83.108000000000004</v>
      </c>
      <c r="U583">
        <v>119.574</v>
      </c>
      <c r="V583" s="1" t="str">
        <f>IF(Energy_data_1990___2020[[#This Row],[CO2 emissions from fuel combustion (MtCO2)]]&gt;Energy_data_1990___2020[[#Totals],[CO2 emissions from fuel combustion (MtCO2)]],"Above Average","")</f>
        <v/>
      </c>
      <c r="W583" s="1">
        <f>SUM(Energy_data_1990___2020[[#This Row],[Coal and lignite production (Mt)]]-Energy_data_1990___2020[[#This Row],[Coal and lignite domestic consumption (Mt)]])</f>
        <v>29.200999999999993</v>
      </c>
    </row>
    <row r="584" spans="1:23">
      <c r="A584" t="s">
        <v>47</v>
      </c>
      <c r="B584">
        <v>2014</v>
      </c>
      <c r="C584" t="s">
        <v>28</v>
      </c>
      <c r="D584">
        <v>202.83597700000001</v>
      </c>
      <c r="E584">
        <v>3.101989401</v>
      </c>
      <c r="F584">
        <v>0.46106265800000001</v>
      </c>
      <c r="G584">
        <v>163.21807680000001</v>
      </c>
      <c r="H584">
        <v>65.388997439999997</v>
      </c>
      <c r="I584">
        <v>8.7859743370000007</v>
      </c>
      <c r="J584">
        <v>14.70331367</v>
      </c>
      <c r="K584">
        <v>10.605</v>
      </c>
      <c r="L584">
        <v>16.036000000000001</v>
      </c>
      <c r="M584">
        <v>33.596977940000002</v>
      </c>
      <c r="N584">
        <v>15.20193439</v>
      </c>
      <c r="O584">
        <v>0.148634505</v>
      </c>
      <c r="P584">
        <v>95.311000000000007</v>
      </c>
      <c r="Q584">
        <v>73.352981999999997</v>
      </c>
      <c r="R584">
        <v>84.108000000000004</v>
      </c>
      <c r="S584">
        <v>0.115411652</v>
      </c>
      <c r="T584">
        <v>82.259</v>
      </c>
      <c r="U584">
        <v>113.985</v>
      </c>
      <c r="V584" s="1" t="str">
        <f>IF(Energy_data_1990___2020[[#This Row],[CO2 emissions from fuel combustion (MtCO2)]]&gt;Energy_data_1990___2020[[#Totals],[CO2 emissions from fuel combustion (MtCO2)]],"Above Average","")</f>
        <v/>
      </c>
      <c r="W584" s="1">
        <f>SUM(Energy_data_1990___2020[[#This Row],[Coal and lignite production (Mt)]]-Energy_data_1990___2020[[#This Row],[Coal and lignite domestic consumption (Mt)]])</f>
        <v>29.876999999999995</v>
      </c>
    </row>
    <row r="585" spans="1:23">
      <c r="A585" t="s">
        <v>47</v>
      </c>
      <c r="B585">
        <v>2015</v>
      </c>
      <c r="C585" t="s">
        <v>28</v>
      </c>
      <c r="D585">
        <v>193.666844</v>
      </c>
      <c r="E585">
        <v>3.5084451030000001</v>
      </c>
      <c r="F585">
        <v>0.43500046799999997</v>
      </c>
      <c r="G585">
        <v>146.4974311</v>
      </c>
      <c r="H585">
        <v>55.200192209999997</v>
      </c>
      <c r="I585">
        <v>10.381482979999999</v>
      </c>
      <c r="J585">
        <v>15.29655998</v>
      </c>
      <c r="K585">
        <v>12.677</v>
      </c>
      <c r="L585">
        <v>14.609</v>
      </c>
      <c r="M585">
        <v>29.045020319999999</v>
      </c>
      <c r="N585">
        <v>14.769985180000001</v>
      </c>
      <c r="O585">
        <v>0.123986682</v>
      </c>
      <c r="P585">
        <v>91.721000000000004</v>
      </c>
      <c r="Q585">
        <v>74.246266739999996</v>
      </c>
      <c r="R585">
        <v>65.192999999999998</v>
      </c>
      <c r="S585">
        <v>0.27256571600000001</v>
      </c>
      <c r="T585">
        <v>80.697000000000003</v>
      </c>
      <c r="U585">
        <v>92.477000000000004</v>
      </c>
      <c r="V585" s="1" t="str">
        <f>IF(Energy_data_1990___2020[[#This Row],[CO2 emissions from fuel combustion (MtCO2)]]&gt;Energy_data_1990___2020[[#Totals],[CO2 emissions from fuel combustion (MtCO2)]],"Above Average","")</f>
        <v/>
      </c>
      <c r="W585" s="1">
        <f>SUM(Energy_data_1990___2020[[#This Row],[Coal and lignite production (Mt)]]-Energy_data_1990___2020[[#This Row],[Coal and lignite domestic consumption (Mt)]])</f>
        <v>27.284000000000006</v>
      </c>
    </row>
    <row r="586" spans="1:23">
      <c r="A586" t="s">
        <v>47</v>
      </c>
      <c r="B586">
        <v>2016</v>
      </c>
      <c r="C586" t="s">
        <v>28</v>
      </c>
      <c r="D586">
        <v>211.77104489999999</v>
      </c>
      <c r="E586">
        <v>3.2834896630000001</v>
      </c>
      <c r="F586">
        <v>0.47048943199999999</v>
      </c>
      <c r="G586">
        <v>150.86035899999999</v>
      </c>
      <c r="H586">
        <v>64.495724559999999</v>
      </c>
      <c r="I586">
        <v>12.7104146</v>
      </c>
      <c r="J586">
        <v>15.112219919999999</v>
      </c>
      <c r="K586">
        <v>13.249000000000001</v>
      </c>
      <c r="L586">
        <v>14.186999999999999</v>
      </c>
      <c r="M586">
        <v>31.104968070000002</v>
      </c>
      <c r="N586">
        <v>15.10005406</v>
      </c>
      <c r="O586">
        <v>0.14328945100000001</v>
      </c>
      <c r="P586">
        <v>94.694000000000003</v>
      </c>
      <c r="Q586">
        <v>74.582627079999995</v>
      </c>
      <c r="R586">
        <v>69.718999999999994</v>
      </c>
      <c r="S586">
        <v>0.43402961099999998</v>
      </c>
      <c r="T586">
        <v>79.299000000000007</v>
      </c>
      <c r="U586">
        <v>92.536000000000001</v>
      </c>
      <c r="V586" s="1" t="str">
        <f>IF(Energy_data_1990___2020[[#This Row],[CO2 emissions from fuel combustion (MtCO2)]]&gt;Energy_data_1990___2020[[#Totals],[CO2 emissions from fuel combustion (MtCO2)]],"Above Average","")</f>
        <v/>
      </c>
      <c r="W586" s="1">
        <f>SUM(Energy_data_1990___2020[[#This Row],[Coal and lignite production (Mt)]]-Energy_data_1990___2020[[#This Row],[Coal and lignite domestic consumption (Mt)]])</f>
        <v>22.817000000000007</v>
      </c>
    </row>
    <row r="587" spans="1:23">
      <c r="A587" t="s">
        <v>47</v>
      </c>
      <c r="B587">
        <v>2017</v>
      </c>
      <c r="C587" t="s">
        <v>28</v>
      </c>
      <c r="D587">
        <v>213.54199220000001</v>
      </c>
      <c r="E587">
        <v>3.2529043689999999</v>
      </c>
      <c r="F587">
        <v>0.45573864200000003</v>
      </c>
      <c r="G587">
        <v>168.06269320000001</v>
      </c>
      <c r="H587">
        <v>65.646563169999993</v>
      </c>
      <c r="I587">
        <v>11.349018510000001</v>
      </c>
      <c r="J587">
        <v>16.159049830000001</v>
      </c>
      <c r="K587">
        <v>12.516425</v>
      </c>
      <c r="L587">
        <v>14.8573</v>
      </c>
      <c r="M587">
        <v>35.560613740000001</v>
      </c>
      <c r="N587">
        <v>16.34976266</v>
      </c>
      <c r="O587">
        <v>0.14010207199999999</v>
      </c>
      <c r="P587">
        <v>103.196827</v>
      </c>
      <c r="Q587">
        <v>84.626617960000004</v>
      </c>
      <c r="R587">
        <v>76.473737999999997</v>
      </c>
      <c r="S587">
        <v>0.483953833</v>
      </c>
      <c r="T587">
        <v>87.583579999999998</v>
      </c>
      <c r="U587">
        <v>101.4072</v>
      </c>
      <c r="V587" s="1" t="str">
        <f>IF(Energy_data_1990___2020[[#This Row],[CO2 emissions from fuel combustion (MtCO2)]]&gt;Energy_data_1990___2020[[#Totals],[CO2 emissions from fuel combustion (MtCO2)]],"Above Average","")</f>
        <v/>
      </c>
      <c r="W587" s="1">
        <f>SUM(Energy_data_1990___2020[[#This Row],[Coal and lignite production (Mt)]]-Energy_data_1990___2020[[#This Row],[Coal and lignite domestic consumption (Mt)]])</f>
        <v>24.933462000000006</v>
      </c>
    </row>
    <row r="588" spans="1:23">
      <c r="A588" t="s">
        <v>47</v>
      </c>
      <c r="B588">
        <v>2018</v>
      </c>
      <c r="C588" t="s">
        <v>28</v>
      </c>
      <c r="D588">
        <v>208.2319506</v>
      </c>
      <c r="E588">
        <v>2.7478975960000001</v>
      </c>
      <c r="F588">
        <v>0.42690299500000001</v>
      </c>
      <c r="G588">
        <v>177.56325519999999</v>
      </c>
      <c r="H588">
        <v>75.778642869999999</v>
      </c>
      <c r="I588">
        <v>10.447242709999999</v>
      </c>
      <c r="J588">
        <v>16.702516809999999</v>
      </c>
      <c r="K588">
        <v>12.289515</v>
      </c>
      <c r="L588">
        <v>16.104800000000001</v>
      </c>
      <c r="M588">
        <v>38.737256709999997</v>
      </c>
      <c r="N588">
        <v>16.48310652</v>
      </c>
      <c r="O588">
        <v>0.15535622399999999</v>
      </c>
      <c r="P588">
        <v>107.604727</v>
      </c>
      <c r="Q588">
        <v>87.687670560000001</v>
      </c>
      <c r="R588">
        <v>76.860055000000003</v>
      </c>
      <c r="S588">
        <v>0.78534932800000001</v>
      </c>
      <c r="T588">
        <v>91.8523</v>
      </c>
      <c r="U588">
        <v>107.6465</v>
      </c>
      <c r="V588" s="1" t="str">
        <f>IF(Energy_data_1990___2020[[#This Row],[CO2 emissions from fuel combustion (MtCO2)]]&gt;Energy_data_1990___2020[[#Totals],[CO2 emissions from fuel combustion (MtCO2)]],"Above Average","")</f>
        <v/>
      </c>
      <c r="W588" s="1">
        <f>SUM(Energy_data_1990___2020[[#This Row],[Coal and lignite production (Mt)]]-Energy_data_1990___2020[[#This Row],[Coal and lignite domestic consumption (Mt)]])</f>
        <v>30.786445000000001</v>
      </c>
    </row>
    <row r="589" spans="1:23">
      <c r="A589" t="s">
        <v>47</v>
      </c>
      <c r="B589">
        <v>2019</v>
      </c>
      <c r="C589" t="s">
        <v>28</v>
      </c>
      <c r="D589">
        <v>207.4340789</v>
      </c>
      <c r="E589">
        <v>2.7024225639999999</v>
      </c>
      <c r="F589">
        <v>0.40695430900000001</v>
      </c>
      <c r="G589">
        <v>176.7612202</v>
      </c>
      <c r="H589">
        <v>76.758565329999996</v>
      </c>
      <c r="I589">
        <v>10.963060370000001</v>
      </c>
      <c r="J589">
        <v>17.2830786</v>
      </c>
      <c r="K589">
        <v>12.34788571</v>
      </c>
      <c r="L589">
        <v>16.829476660000001</v>
      </c>
      <c r="M589">
        <v>39.183800089999998</v>
      </c>
      <c r="N589">
        <v>17.88336391</v>
      </c>
      <c r="O589">
        <v>0.15058870299999999</v>
      </c>
      <c r="P589">
        <v>107.32934539999999</v>
      </c>
      <c r="Q589">
        <v>90.081195309999998</v>
      </c>
      <c r="R589">
        <v>74.788735819999999</v>
      </c>
      <c r="S589">
        <v>1.6506410460000001</v>
      </c>
      <c r="T589">
        <v>92.051538050000005</v>
      </c>
      <c r="U589">
        <v>104.3492868</v>
      </c>
      <c r="V589" s="1" t="str">
        <f>IF(Energy_data_1990___2020[[#This Row],[CO2 emissions from fuel combustion (MtCO2)]]&gt;Energy_data_1990___2020[[#Totals],[CO2 emissions from fuel combustion (MtCO2)]],"Above Average","")</f>
        <v/>
      </c>
      <c r="W589" s="1">
        <f>SUM(Energy_data_1990___2020[[#This Row],[Coal and lignite production (Mt)]]-Energy_data_1990___2020[[#This Row],[Coal and lignite domestic consumption (Mt)]])</f>
        <v>29.560550980000002</v>
      </c>
    </row>
    <row r="590" spans="1:23">
      <c r="A590" t="s">
        <v>47</v>
      </c>
      <c r="B590">
        <v>2020</v>
      </c>
      <c r="C590" t="s">
        <v>28</v>
      </c>
      <c r="D590">
        <v>206.2171836</v>
      </c>
      <c r="E590">
        <v>2.939759048</v>
      </c>
      <c r="F590">
        <v>0.41579336500000003</v>
      </c>
      <c r="G590">
        <v>169.47872190000001</v>
      </c>
      <c r="H590">
        <v>70.14764821</v>
      </c>
      <c r="I590">
        <v>11.6508568</v>
      </c>
      <c r="J590">
        <v>18.07790035</v>
      </c>
      <c r="K590">
        <v>12.19548571</v>
      </c>
      <c r="L590">
        <v>15.667013089999999</v>
      </c>
      <c r="M590">
        <v>36.737287270000003</v>
      </c>
      <c r="N590">
        <v>16.316300139999999</v>
      </c>
      <c r="O590">
        <v>0.141437906</v>
      </c>
      <c r="P590">
        <v>110.0469702</v>
      </c>
      <c r="Q590">
        <v>92.40221348</v>
      </c>
      <c r="R590">
        <v>76.143938349999999</v>
      </c>
      <c r="S590">
        <v>2.5455259689999998</v>
      </c>
      <c r="T590">
        <v>87.071196650000005</v>
      </c>
      <c r="U590">
        <v>103.78675269999999</v>
      </c>
      <c r="V590" s="1" t="str">
        <f>IF(Energy_data_1990___2020[[#This Row],[CO2 emissions from fuel combustion (MtCO2)]]&gt;Energy_data_1990___2020[[#Totals],[CO2 emissions from fuel combustion (MtCO2)]],"Above Average","")</f>
        <v/>
      </c>
      <c r="W590" s="1">
        <f>SUM(Energy_data_1990___2020[[#This Row],[Coal and lignite production (Mt)]]-Energy_data_1990___2020[[#This Row],[Coal and lignite domestic consumption (Mt)]])</f>
        <v>27.642814349999995</v>
      </c>
    </row>
    <row r="591" spans="1:23">
      <c r="A591" t="s">
        <v>48</v>
      </c>
      <c r="B591">
        <v>1990</v>
      </c>
      <c r="C591" t="s">
        <v>39</v>
      </c>
      <c r="D591">
        <v>27.836559749999999</v>
      </c>
      <c r="E591">
        <v>3.0800569609999999</v>
      </c>
      <c r="F591">
        <v>0.52351034100000005</v>
      </c>
      <c r="G591">
        <v>50.373796779999999</v>
      </c>
      <c r="H591">
        <v>9.0376769320000001</v>
      </c>
      <c r="I591">
        <v>0</v>
      </c>
      <c r="J591">
        <v>20.888641289999999</v>
      </c>
      <c r="K591">
        <v>3.8</v>
      </c>
      <c r="L591">
        <v>13.273999999999999</v>
      </c>
      <c r="M591">
        <v>4.0280029050000001</v>
      </c>
      <c r="N591">
        <v>6.0279931160000002</v>
      </c>
      <c r="O591">
        <v>0.169967747</v>
      </c>
      <c r="P591">
        <v>18.477</v>
      </c>
      <c r="Q591">
        <v>14.272</v>
      </c>
      <c r="S591">
        <v>0</v>
      </c>
      <c r="T591">
        <v>46.337000000000003</v>
      </c>
      <c r="V591" s="1" t="str">
        <f>IF(Energy_data_1990___2020[[#This Row],[CO2 emissions from fuel combustion (MtCO2)]]&gt;Energy_data_1990___2020[[#Totals],[CO2 emissions from fuel combustion (MtCO2)]],"Above Average","")</f>
        <v/>
      </c>
      <c r="W591" s="1">
        <f>SUM(Energy_data_1990___2020[[#This Row],[Coal and lignite production (Mt)]]-Energy_data_1990___2020[[#This Row],[Coal and lignite domestic consumption (Mt)]])</f>
        <v>0</v>
      </c>
    </row>
    <row r="592" spans="1:23">
      <c r="A592" t="s">
        <v>48</v>
      </c>
      <c r="B592">
        <v>1991</v>
      </c>
      <c r="C592" t="s">
        <v>39</v>
      </c>
      <c r="D592">
        <v>7.5977588210000002</v>
      </c>
      <c r="E592">
        <v>2.8969966469999999</v>
      </c>
      <c r="F592">
        <v>0.24221558700000001</v>
      </c>
      <c r="G592">
        <v>10.048077019999999</v>
      </c>
      <c r="H592">
        <v>2.622632936</v>
      </c>
      <c r="I592">
        <v>0</v>
      </c>
      <c r="J592">
        <v>32.28758302</v>
      </c>
      <c r="K592">
        <v>1.9490000000000001</v>
      </c>
      <c r="L592">
        <v>2.9</v>
      </c>
      <c r="M592">
        <v>0.83400033699999998</v>
      </c>
      <c r="N592">
        <v>0.83400033699999998</v>
      </c>
      <c r="O592">
        <v>8.3609205000000006E-2</v>
      </c>
      <c r="P592">
        <v>10.78</v>
      </c>
      <c r="Q592">
        <v>8.1159999999999997</v>
      </c>
      <c r="S592">
        <v>0</v>
      </c>
      <c r="T592">
        <v>9.2189999999999994</v>
      </c>
      <c r="V592" s="1" t="str">
        <f>IF(Energy_data_1990___2020[[#This Row],[CO2 emissions from fuel combustion (MtCO2)]]&gt;Energy_data_1990___2020[[#Totals],[CO2 emissions from fuel combustion (MtCO2)]],"Above Average","")</f>
        <v/>
      </c>
      <c r="W592" s="1">
        <f>SUM(Energy_data_1990___2020[[#This Row],[Coal and lignite production (Mt)]]-Energy_data_1990___2020[[#This Row],[Coal and lignite domestic consumption (Mt)]])</f>
        <v>0</v>
      </c>
    </row>
    <row r="593" spans="1:23">
      <c r="A593" t="s">
        <v>48</v>
      </c>
      <c r="B593">
        <v>1992</v>
      </c>
      <c r="C593" t="s">
        <v>39</v>
      </c>
      <c r="D593">
        <v>22.257547389999999</v>
      </c>
      <c r="E593">
        <v>2.5439748199999999</v>
      </c>
      <c r="F593">
        <v>0.38814707500000001</v>
      </c>
      <c r="G593">
        <v>59.748161320000001</v>
      </c>
      <c r="H593">
        <v>8.7491225210000003</v>
      </c>
      <c r="I593">
        <v>0</v>
      </c>
      <c r="J593">
        <v>18.930416279999999</v>
      </c>
      <c r="K593">
        <v>4.484</v>
      </c>
      <c r="L593">
        <v>17.155000000000001</v>
      </c>
      <c r="M593">
        <v>4.9080048420000004</v>
      </c>
      <c r="N593">
        <v>4.9080048420000004</v>
      </c>
      <c r="O593">
        <v>0.15257504599999999</v>
      </c>
      <c r="P593">
        <v>16.885000000000002</v>
      </c>
      <c r="Q593">
        <v>13.196</v>
      </c>
      <c r="S593">
        <v>0</v>
      </c>
      <c r="T593">
        <v>54.859000000000002</v>
      </c>
      <c r="V593" s="1" t="str">
        <f>IF(Energy_data_1990___2020[[#This Row],[CO2 emissions from fuel combustion (MtCO2)]]&gt;Energy_data_1990___2020[[#Totals],[CO2 emissions from fuel combustion (MtCO2)]],"Above Average","")</f>
        <v/>
      </c>
      <c r="W593" s="1">
        <f>SUM(Energy_data_1990___2020[[#This Row],[Coal and lignite production (Mt)]]-Energy_data_1990___2020[[#This Row],[Coal and lignite domestic consumption (Mt)]])</f>
        <v>0</v>
      </c>
    </row>
    <row r="594" spans="1:23">
      <c r="A594" t="s">
        <v>48</v>
      </c>
      <c r="B594">
        <v>1993</v>
      </c>
      <c r="C594" t="s">
        <v>39</v>
      </c>
      <c r="D594">
        <v>28.627365919999999</v>
      </c>
      <c r="E594">
        <v>2.3375473539999998</v>
      </c>
      <c r="F594">
        <v>0.37258597199999999</v>
      </c>
      <c r="G594">
        <v>106.5424769</v>
      </c>
      <c r="H594">
        <v>12.24675336</v>
      </c>
      <c r="I594">
        <v>0</v>
      </c>
      <c r="J594">
        <v>18.24390524</v>
      </c>
      <c r="K594">
        <v>4.3289999999999997</v>
      </c>
      <c r="L594">
        <v>23.745000000000001</v>
      </c>
      <c r="M594">
        <v>8.6960080000000008</v>
      </c>
      <c r="N594">
        <v>8.6960080000000008</v>
      </c>
      <c r="O594">
        <v>0.15939183900000001</v>
      </c>
      <c r="P594">
        <v>20.178000000000001</v>
      </c>
      <c r="Q594">
        <v>16.074000000000002</v>
      </c>
      <c r="S594">
        <v>0</v>
      </c>
      <c r="T594">
        <v>97.867999999999995</v>
      </c>
      <c r="V594" s="1" t="str">
        <f>IF(Energy_data_1990___2020[[#This Row],[CO2 emissions from fuel combustion (MtCO2)]]&gt;Energy_data_1990___2020[[#Totals],[CO2 emissions from fuel combustion (MtCO2)]],"Above Average","")</f>
        <v/>
      </c>
      <c r="W594" s="1">
        <f>SUM(Energy_data_1990___2020[[#This Row],[Coal and lignite production (Mt)]]-Energy_data_1990___2020[[#This Row],[Coal and lignite domestic consumption (Mt)]])</f>
        <v>0</v>
      </c>
    </row>
    <row r="595" spans="1:23">
      <c r="A595" t="s">
        <v>48</v>
      </c>
      <c r="B595">
        <v>1994</v>
      </c>
      <c r="C595" t="s">
        <v>39</v>
      </c>
      <c r="D595">
        <v>33.133819629999998</v>
      </c>
      <c r="E595">
        <v>2.3078478140000001</v>
      </c>
      <c r="F595">
        <v>0.39768797700000003</v>
      </c>
      <c r="G595">
        <v>113.8966903</v>
      </c>
      <c r="H595">
        <v>14.357021039999999</v>
      </c>
      <c r="I595">
        <v>0</v>
      </c>
      <c r="J595">
        <v>19.289163389999999</v>
      </c>
      <c r="K595">
        <v>5.4039999999999999</v>
      </c>
      <c r="L595">
        <v>38.957999999999998</v>
      </c>
      <c r="M595">
        <v>9.2779904999999996</v>
      </c>
      <c r="N595">
        <v>9.2779904999999996</v>
      </c>
      <c r="O595">
        <v>0.172319845</v>
      </c>
      <c r="P595">
        <v>22.802</v>
      </c>
      <c r="Q595">
        <v>17.600999999999999</v>
      </c>
      <c r="S595">
        <v>0</v>
      </c>
      <c r="T595">
        <v>104.63800000000001</v>
      </c>
      <c r="V595" s="1" t="str">
        <f>IF(Energy_data_1990___2020[[#This Row],[CO2 emissions from fuel combustion (MtCO2)]]&gt;Energy_data_1990___2020[[#Totals],[CO2 emissions from fuel combustion (MtCO2)]],"Above Average","")</f>
        <v/>
      </c>
      <c r="W595" s="1">
        <f>SUM(Energy_data_1990___2020[[#This Row],[Coal and lignite production (Mt)]]-Energy_data_1990___2020[[#This Row],[Coal and lignite domestic consumption (Mt)]])</f>
        <v>0</v>
      </c>
    </row>
    <row r="596" spans="1:23">
      <c r="A596" t="s">
        <v>48</v>
      </c>
      <c r="B596">
        <v>1995</v>
      </c>
      <c r="C596" t="s">
        <v>39</v>
      </c>
      <c r="D596">
        <v>33.06786795</v>
      </c>
      <c r="E596">
        <v>2.2474756899999999</v>
      </c>
      <c r="F596">
        <v>0.37850740100000002</v>
      </c>
      <c r="G596">
        <v>114.89239980000001</v>
      </c>
      <c r="H596">
        <v>14.713337320000001</v>
      </c>
      <c r="I596">
        <v>0</v>
      </c>
      <c r="J596">
        <v>18.07651869</v>
      </c>
      <c r="K596">
        <v>6.008</v>
      </c>
      <c r="L596">
        <v>42.566000000000003</v>
      </c>
      <c r="M596">
        <v>9.2780000000000005</v>
      </c>
      <c r="N596">
        <v>9.2780000000000005</v>
      </c>
      <c r="O596">
        <v>0.16841445799999999</v>
      </c>
      <c r="P596">
        <v>23.724</v>
      </c>
      <c r="Q596">
        <v>17.655999999999999</v>
      </c>
      <c r="S596">
        <v>0</v>
      </c>
      <c r="T596">
        <v>105.616</v>
      </c>
      <c r="V596" s="1" t="str">
        <f>IF(Energy_data_1990___2020[[#This Row],[CO2 emissions from fuel combustion (MtCO2)]]&gt;Energy_data_1990___2020[[#Totals],[CO2 emissions from fuel combustion (MtCO2)]],"Above Average","")</f>
        <v/>
      </c>
      <c r="W596" s="1">
        <f>SUM(Energy_data_1990___2020[[#This Row],[Coal and lignite production (Mt)]]-Energy_data_1990___2020[[#This Row],[Coal and lignite domestic consumption (Mt)]])</f>
        <v>0</v>
      </c>
    </row>
    <row r="597" spans="1:23">
      <c r="A597" t="s">
        <v>48</v>
      </c>
      <c r="B597">
        <v>1996</v>
      </c>
      <c r="C597" t="s">
        <v>39</v>
      </c>
      <c r="D597">
        <v>32.195440290000001</v>
      </c>
      <c r="E597">
        <v>2.2235659490000002</v>
      </c>
      <c r="F597">
        <v>0.36630465400000001</v>
      </c>
      <c r="G597">
        <v>115.2098263</v>
      </c>
      <c r="H597">
        <v>14.47919289</v>
      </c>
      <c r="I597">
        <v>0</v>
      </c>
      <c r="J597">
        <v>20.687197690000001</v>
      </c>
      <c r="K597">
        <v>5.6719999999999997</v>
      </c>
      <c r="L597">
        <v>41.05</v>
      </c>
      <c r="M597">
        <v>9.3019999999999996</v>
      </c>
      <c r="N597">
        <v>9.3019999999999996</v>
      </c>
      <c r="O597">
        <v>0.16473748099999999</v>
      </c>
      <c r="P597">
        <v>25.475000000000001</v>
      </c>
      <c r="Q597">
        <v>18.933</v>
      </c>
      <c r="S597">
        <v>0</v>
      </c>
      <c r="T597">
        <v>105.90900000000001</v>
      </c>
      <c r="V597" s="1" t="str">
        <f>IF(Energy_data_1990___2020[[#This Row],[CO2 emissions from fuel combustion (MtCO2)]]&gt;Energy_data_1990___2020[[#Totals],[CO2 emissions from fuel combustion (MtCO2)]],"Above Average","")</f>
        <v/>
      </c>
      <c r="W597" s="1">
        <f>SUM(Energy_data_1990___2020[[#This Row],[Coal and lignite production (Mt)]]-Energy_data_1990___2020[[#This Row],[Coal and lignite domestic consumption (Mt)]])</f>
        <v>0</v>
      </c>
    </row>
    <row r="598" spans="1:23">
      <c r="A598" t="s">
        <v>48</v>
      </c>
      <c r="B598">
        <v>1997</v>
      </c>
      <c r="C598" t="s">
        <v>39</v>
      </c>
      <c r="D598">
        <v>33.284774579999997</v>
      </c>
      <c r="E598">
        <v>2.2772816050000002</v>
      </c>
      <c r="F598">
        <v>0.36955821300000002</v>
      </c>
      <c r="G598">
        <v>115.136251</v>
      </c>
      <c r="H598">
        <v>14.6160117</v>
      </c>
      <c r="I598">
        <v>0</v>
      </c>
      <c r="J598">
        <v>21.941762149999999</v>
      </c>
      <c r="K598">
        <v>6.0330000000000004</v>
      </c>
      <c r="L598">
        <v>45.667999999999999</v>
      </c>
      <c r="M598">
        <v>9.27</v>
      </c>
      <c r="N598">
        <v>9.27</v>
      </c>
      <c r="O598">
        <v>0.16228041900000001</v>
      </c>
      <c r="P598">
        <v>26.724</v>
      </c>
      <c r="Q598">
        <v>19.920000000000002</v>
      </c>
      <c r="S598">
        <v>0</v>
      </c>
      <c r="T598">
        <v>105.86199999999999</v>
      </c>
      <c r="V598" s="1" t="str">
        <f>IF(Energy_data_1990___2020[[#This Row],[CO2 emissions from fuel combustion (MtCO2)]]&gt;Energy_data_1990___2020[[#Totals],[CO2 emissions from fuel combustion (MtCO2)]],"Above Average","")</f>
        <v/>
      </c>
      <c r="W598" s="1">
        <f>SUM(Energy_data_1990___2020[[#This Row],[Coal and lignite production (Mt)]]-Energy_data_1990___2020[[#This Row],[Coal and lignite domestic consumption (Mt)]])</f>
        <v>0</v>
      </c>
    </row>
    <row r="599" spans="1:23">
      <c r="A599" t="s">
        <v>48</v>
      </c>
      <c r="B599">
        <v>1998</v>
      </c>
      <c r="C599" t="s">
        <v>39</v>
      </c>
      <c r="D599">
        <v>39.29640689</v>
      </c>
      <c r="E599">
        <v>2.3584163409999999</v>
      </c>
      <c r="F599">
        <v>0.420891607</v>
      </c>
      <c r="G599">
        <v>117.4205475</v>
      </c>
      <c r="H599">
        <v>16.662200899999998</v>
      </c>
      <c r="I599">
        <v>0</v>
      </c>
      <c r="J599">
        <v>21.324354809999999</v>
      </c>
      <c r="K599">
        <v>7.3220000000000001</v>
      </c>
      <c r="L599">
        <v>44.356000000000002</v>
      </c>
      <c r="M599">
        <v>9.4909999999999997</v>
      </c>
      <c r="N599">
        <v>9.4909999999999997</v>
      </c>
      <c r="O599">
        <v>0.178463658</v>
      </c>
      <c r="P599">
        <v>29.984000000000002</v>
      </c>
      <c r="Q599">
        <v>22.454999999999998</v>
      </c>
      <c r="S599">
        <v>0</v>
      </c>
      <c r="T599">
        <v>107.93300000000001</v>
      </c>
      <c r="V599" s="1" t="str">
        <f>IF(Energy_data_1990___2020[[#This Row],[CO2 emissions from fuel combustion (MtCO2)]]&gt;Energy_data_1990___2020[[#Totals],[CO2 emissions from fuel combustion (MtCO2)]],"Above Average","")</f>
        <v/>
      </c>
      <c r="W599" s="1">
        <f>SUM(Energy_data_1990___2020[[#This Row],[Coal and lignite production (Mt)]]-Energy_data_1990___2020[[#This Row],[Coal and lignite domestic consumption (Mt)]])</f>
        <v>0</v>
      </c>
    </row>
    <row r="600" spans="1:23">
      <c r="A600" t="s">
        <v>48</v>
      </c>
      <c r="B600">
        <v>1999</v>
      </c>
      <c r="C600" t="s">
        <v>39</v>
      </c>
      <c r="D600">
        <v>43.256479429999999</v>
      </c>
      <c r="E600">
        <v>2.421754462</v>
      </c>
      <c r="F600">
        <v>0.47174630000000001</v>
      </c>
      <c r="G600">
        <v>107.6706226</v>
      </c>
      <c r="H600">
        <v>17.861628870000001</v>
      </c>
      <c r="I600">
        <v>0</v>
      </c>
      <c r="J600">
        <v>22.60076419</v>
      </c>
      <c r="K600">
        <v>8.4789999999999992</v>
      </c>
      <c r="L600">
        <v>46.93</v>
      </c>
      <c r="M600">
        <v>8.6880000000000006</v>
      </c>
      <c r="N600">
        <v>8.6880000000000006</v>
      </c>
      <c r="O600">
        <v>0.194795264</v>
      </c>
      <c r="P600">
        <v>31.576000000000001</v>
      </c>
      <c r="Q600">
        <v>23.489000000000001</v>
      </c>
      <c r="S600">
        <v>0</v>
      </c>
      <c r="T600">
        <v>98.981999999999999</v>
      </c>
      <c r="V600" s="1" t="str">
        <f>IF(Energy_data_1990___2020[[#This Row],[CO2 emissions from fuel combustion (MtCO2)]]&gt;Energy_data_1990___2020[[#Totals],[CO2 emissions from fuel combustion (MtCO2)]],"Above Average","")</f>
        <v/>
      </c>
      <c r="W600" s="1">
        <f>SUM(Energy_data_1990___2020[[#This Row],[Coal and lignite production (Mt)]]-Energy_data_1990___2020[[#This Row],[Coal and lignite domestic consumption (Mt)]])</f>
        <v>0</v>
      </c>
    </row>
    <row r="601" spans="1:23">
      <c r="A601" t="s">
        <v>48</v>
      </c>
      <c r="B601">
        <v>2000</v>
      </c>
      <c r="C601" t="s">
        <v>39</v>
      </c>
      <c r="D601">
        <v>46.557731359999998</v>
      </c>
      <c r="E601">
        <v>2.5088196859999998</v>
      </c>
      <c r="F601">
        <v>0.48498123500000001</v>
      </c>
      <c r="G601">
        <v>114.23074250000001</v>
      </c>
      <c r="H601">
        <v>18.557623580000001</v>
      </c>
      <c r="I601">
        <v>0</v>
      </c>
      <c r="J601">
        <v>21.141247190000001</v>
      </c>
      <c r="K601">
        <v>8.1479999999999997</v>
      </c>
      <c r="L601">
        <v>38.685000000000002</v>
      </c>
      <c r="M601">
        <v>9.6</v>
      </c>
      <c r="N601">
        <v>9.6</v>
      </c>
      <c r="O601">
        <v>0.19331051899999999</v>
      </c>
      <c r="P601">
        <v>32.323</v>
      </c>
      <c r="Q601">
        <v>23.907</v>
      </c>
      <c r="S601">
        <v>0</v>
      </c>
      <c r="T601">
        <v>104.706</v>
      </c>
      <c r="V601" s="1" t="str">
        <f>IF(Energy_data_1990___2020[[#This Row],[CO2 emissions from fuel combustion (MtCO2)]]&gt;Energy_data_1990___2020[[#Totals],[CO2 emissions from fuel combustion (MtCO2)]],"Above Average","")</f>
        <v/>
      </c>
      <c r="W601" s="1">
        <f>SUM(Energy_data_1990___2020[[#This Row],[Coal and lignite production (Mt)]]-Energy_data_1990___2020[[#This Row],[Coal and lignite domestic consumption (Mt)]])</f>
        <v>0</v>
      </c>
    </row>
    <row r="602" spans="1:23">
      <c r="A602" t="s">
        <v>48</v>
      </c>
      <c r="B602">
        <v>2001</v>
      </c>
      <c r="C602" t="s">
        <v>39</v>
      </c>
      <c r="D602">
        <v>50.479685379999999</v>
      </c>
      <c r="E602">
        <v>2.5493237720000002</v>
      </c>
      <c r="F602">
        <v>0.52471594300000002</v>
      </c>
      <c r="G602">
        <v>111.91583919999999</v>
      </c>
      <c r="H602">
        <v>19.80120608</v>
      </c>
      <c r="I602">
        <v>0</v>
      </c>
      <c r="J602">
        <v>22.425767140000001</v>
      </c>
      <c r="K602">
        <v>8.7050000000000001</v>
      </c>
      <c r="L602">
        <v>34.436</v>
      </c>
      <c r="M602">
        <v>9.5</v>
      </c>
      <c r="N602">
        <v>9.5</v>
      </c>
      <c r="O602">
        <v>0.20582554</v>
      </c>
      <c r="P602">
        <v>34.298999999999999</v>
      </c>
      <c r="Q602">
        <v>25.5</v>
      </c>
      <c r="S602">
        <v>0</v>
      </c>
      <c r="T602">
        <v>102.508</v>
      </c>
      <c r="V602" s="1" t="str">
        <f>IF(Energy_data_1990___2020[[#This Row],[CO2 emissions from fuel combustion (MtCO2)]]&gt;Energy_data_1990___2020[[#Totals],[CO2 emissions from fuel combustion (MtCO2)]],"Above Average","")</f>
        <v/>
      </c>
      <c r="W602" s="1">
        <f>SUM(Energy_data_1990___2020[[#This Row],[Coal and lignite production (Mt)]]-Energy_data_1990___2020[[#This Row],[Coal and lignite domestic consumption (Mt)]])</f>
        <v>0</v>
      </c>
    </row>
    <row r="603" spans="1:23">
      <c r="A603" t="s">
        <v>48</v>
      </c>
      <c r="B603">
        <v>2002</v>
      </c>
      <c r="C603" t="s">
        <v>39</v>
      </c>
      <c r="D603">
        <v>52.419896459999997</v>
      </c>
      <c r="E603">
        <v>2.620526189</v>
      </c>
      <c r="F603">
        <v>0.52893990700000004</v>
      </c>
      <c r="G603">
        <v>100.7424053</v>
      </c>
      <c r="H603">
        <v>20.003576639999999</v>
      </c>
      <c r="I603">
        <v>0</v>
      </c>
      <c r="J603">
        <v>23.501605219999998</v>
      </c>
      <c r="K603">
        <v>9.8989999999999991</v>
      </c>
      <c r="L603">
        <v>37.530999999999999</v>
      </c>
      <c r="M603">
        <v>8.7100000000000009</v>
      </c>
      <c r="N603">
        <v>8.7100000000000009</v>
      </c>
      <c r="O603">
        <v>0.20184492300000001</v>
      </c>
      <c r="P603">
        <v>36.362000000000002</v>
      </c>
      <c r="Q603">
        <v>27.053000000000001</v>
      </c>
      <c r="S603">
        <v>0</v>
      </c>
      <c r="T603">
        <v>92.146000000000001</v>
      </c>
      <c r="V603" s="1" t="str">
        <f>IF(Energy_data_1990___2020[[#This Row],[CO2 emissions from fuel combustion (MtCO2)]]&gt;Energy_data_1990___2020[[#Totals],[CO2 emissions from fuel combustion (MtCO2)]],"Above Average","")</f>
        <v/>
      </c>
      <c r="W603" s="1">
        <f>SUM(Energy_data_1990___2020[[#This Row],[Coal and lignite production (Mt)]]-Energy_data_1990___2020[[#This Row],[Coal and lignite domestic consumption (Mt)]])</f>
        <v>0</v>
      </c>
    </row>
    <row r="604" spans="1:23">
      <c r="A604" t="s">
        <v>48</v>
      </c>
      <c r="B604">
        <v>2003</v>
      </c>
      <c r="C604" t="s">
        <v>39</v>
      </c>
      <c r="D604">
        <v>54.387625450000002</v>
      </c>
      <c r="E604">
        <v>2.5371829830000001</v>
      </c>
      <c r="F604">
        <v>0.46775230200000001</v>
      </c>
      <c r="G604">
        <v>120.8948157</v>
      </c>
      <c r="H604">
        <v>21.436225060000002</v>
      </c>
      <c r="I604">
        <v>0</v>
      </c>
      <c r="J604">
        <v>19.312791539999999</v>
      </c>
      <c r="K604">
        <v>11.420999999999999</v>
      </c>
      <c r="L604">
        <v>43.747999999999998</v>
      </c>
      <c r="M604">
        <v>10</v>
      </c>
      <c r="N604">
        <v>10</v>
      </c>
      <c r="O604">
        <v>0.18435891500000001</v>
      </c>
      <c r="P604">
        <v>38.576999999999998</v>
      </c>
      <c r="Q604">
        <v>26.341000000000001</v>
      </c>
      <c r="S604">
        <v>0</v>
      </c>
      <c r="T604">
        <v>110.943</v>
      </c>
      <c r="V604" s="1" t="str">
        <f>IF(Energy_data_1990___2020[[#This Row],[CO2 emissions from fuel combustion (MtCO2)]]&gt;Energy_data_1990___2020[[#Totals],[CO2 emissions from fuel combustion (MtCO2)]],"Above Average","")</f>
        <v/>
      </c>
      <c r="W604" s="1">
        <f>SUM(Energy_data_1990___2020[[#This Row],[Coal and lignite production (Mt)]]-Energy_data_1990___2020[[#This Row],[Coal and lignite domestic consumption (Mt)]])</f>
        <v>0</v>
      </c>
    </row>
    <row r="605" spans="1:23">
      <c r="A605" t="s">
        <v>48</v>
      </c>
      <c r="B605">
        <v>2004</v>
      </c>
      <c r="C605" t="s">
        <v>39</v>
      </c>
      <c r="D605">
        <v>58.32738045</v>
      </c>
      <c r="E605">
        <v>2.4646636220000002</v>
      </c>
      <c r="F605">
        <v>0.45503827600000002</v>
      </c>
      <c r="G605">
        <v>131.47439130000001</v>
      </c>
      <c r="H605">
        <v>23.665452729999998</v>
      </c>
      <c r="I605">
        <v>0</v>
      </c>
      <c r="J605">
        <v>20.251198859999999</v>
      </c>
      <c r="K605">
        <v>12.048</v>
      </c>
      <c r="L605">
        <v>43.945999999999998</v>
      </c>
      <c r="M605">
        <v>10.9</v>
      </c>
      <c r="N605">
        <v>10.9</v>
      </c>
      <c r="O605">
        <v>0.18462490000000001</v>
      </c>
      <c r="P605">
        <v>41.256999999999998</v>
      </c>
      <c r="Q605">
        <v>28.303999999999998</v>
      </c>
      <c r="S605">
        <v>0</v>
      </c>
      <c r="T605">
        <v>120.63200000000001</v>
      </c>
      <c r="V605" s="1" t="str">
        <f>IF(Energy_data_1990___2020[[#This Row],[CO2 emissions from fuel combustion (MtCO2)]]&gt;Energy_data_1990___2020[[#Totals],[CO2 emissions from fuel combustion (MtCO2)]],"Above Average","")</f>
        <v/>
      </c>
      <c r="W605" s="1">
        <f>SUM(Energy_data_1990___2020[[#This Row],[Coal and lignite production (Mt)]]-Energy_data_1990___2020[[#This Row],[Coal and lignite domestic consumption (Mt)]])</f>
        <v>0</v>
      </c>
    </row>
    <row r="606" spans="1:23">
      <c r="A606" t="s">
        <v>48</v>
      </c>
      <c r="B606">
        <v>2005</v>
      </c>
      <c r="C606" t="s">
        <v>39</v>
      </c>
      <c r="D606">
        <v>66.212405950000004</v>
      </c>
      <c r="E606">
        <v>2.4630930389999999</v>
      </c>
      <c r="F606">
        <v>0.46700785299999997</v>
      </c>
      <c r="G606">
        <v>146.75522749999999</v>
      </c>
      <c r="H606">
        <v>26.881812790000001</v>
      </c>
      <c r="I606">
        <v>0</v>
      </c>
      <c r="J606">
        <v>19.244689099999999</v>
      </c>
      <c r="K606">
        <v>12.685</v>
      </c>
      <c r="L606">
        <v>44.911999999999999</v>
      </c>
      <c r="M606">
        <v>12.3</v>
      </c>
      <c r="N606">
        <v>12.3</v>
      </c>
      <c r="O606">
        <v>0.189602198</v>
      </c>
      <c r="P606">
        <v>43.734000000000002</v>
      </c>
      <c r="Q606">
        <v>31.545999999999999</v>
      </c>
      <c r="S606">
        <v>0</v>
      </c>
      <c r="T606">
        <v>134.547</v>
      </c>
      <c r="V606" s="1" t="str">
        <f>IF(Energy_data_1990___2020[[#This Row],[CO2 emissions from fuel combustion (MtCO2)]]&gt;Energy_data_1990___2020[[#Totals],[CO2 emissions from fuel combustion (MtCO2)]],"Above Average","")</f>
        <v/>
      </c>
      <c r="W606" s="1">
        <f>SUM(Energy_data_1990___2020[[#This Row],[Coal and lignite production (Mt)]]-Energy_data_1990___2020[[#This Row],[Coal and lignite domestic consumption (Mt)]])</f>
        <v>0</v>
      </c>
    </row>
    <row r="607" spans="1:23">
      <c r="A607" t="s">
        <v>48</v>
      </c>
      <c r="B607">
        <v>2006</v>
      </c>
      <c r="C607" t="s">
        <v>39</v>
      </c>
      <c r="D607">
        <v>68.000561730000001</v>
      </c>
      <c r="E607">
        <v>2.7514510379999999</v>
      </c>
      <c r="F607">
        <v>0.44609686599999998</v>
      </c>
      <c r="G607">
        <v>150.86812929999999</v>
      </c>
      <c r="H607">
        <v>24.714436410000001</v>
      </c>
      <c r="I607">
        <v>0</v>
      </c>
      <c r="J607">
        <v>21.812445960000002</v>
      </c>
      <c r="K607">
        <v>13.625999999999999</v>
      </c>
      <c r="L607">
        <v>46.945999999999998</v>
      </c>
      <c r="M607">
        <v>12.41</v>
      </c>
      <c r="N607">
        <v>12.41</v>
      </c>
      <c r="O607">
        <v>0.16213149399999999</v>
      </c>
      <c r="P607">
        <v>47.604999999999997</v>
      </c>
      <c r="Q607">
        <v>32.738</v>
      </c>
      <c r="S607">
        <v>0</v>
      </c>
      <c r="T607">
        <v>138.506</v>
      </c>
      <c r="V607" s="1" t="str">
        <f>IF(Energy_data_1990___2020[[#This Row],[CO2 emissions from fuel combustion (MtCO2)]]&gt;Energy_data_1990___2020[[#Totals],[CO2 emissions from fuel combustion (MtCO2)]],"Above Average","")</f>
        <v/>
      </c>
      <c r="W607" s="1">
        <f>SUM(Energy_data_1990___2020[[#This Row],[Coal and lignite production (Mt)]]-Energy_data_1990___2020[[#This Row],[Coal and lignite domestic consumption (Mt)]])</f>
        <v>0</v>
      </c>
    </row>
    <row r="608" spans="1:23">
      <c r="A608" t="s">
        <v>48</v>
      </c>
      <c r="B608">
        <v>2007</v>
      </c>
      <c r="C608" t="s">
        <v>39</v>
      </c>
      <c r="D608">
        <v>68.275414940000005</v>
      </c>
      <c r="E608">
        <v>2.782760643</v>
      </c>
      <c r="F608">
        <v>0.42258071400000002</v>
      </c>
      <c r="G608">
        <v>146.78913080000001</v>
      </c>
      <c r="H608">
        <v>24.535137479999999</v>
      </c>
      <c r="I608">
        <v>0</v>
      </c>
      <c r="J608">
        <v>23.121000080000002</v>
      </c>
      <c r="K608">
        <v>13.164999999999999</v>
      </c>
      <c r="L608">
        <v>47.636000000000003</v>
      </c>
      <c r="M608">
        <v>12.06</v>
      </c>
      <c r="N608">
        <v>12.06</v>
      </c>
      <c r="O608">
        <v>0.15185665200000001</v>
      </c>
      <c r="P608">
        <v>48.753999999999998</v>
      </c>
      <c r="Q608">
        <v>33.369999999999997</v>
      </c>
      <c r="S608">
        <v>0</v>
      </c>
      <c r="T608">
        <v>134.773</v>
      </c>
      <c r="V608" s="1" t="str">
        <f>IF(Energy_data_1990___2020[[#This Row],[CO2 emissions from fuel combustion (MtCO2)]]&gt;Energy_data_1990___2020[[#Totals],[CO2 emissions from fuel combustion (MtCO2)]],"Above Average","")</f>
        <v/>
      </c>
      <c r="W608" s="1">
        <f>SUM(Energy_data_1990___2020[[#This Row],[Coal and lignite production (Mt)]]-Energy_data_1990___2020[[#This Row],[Coal and lignite domestic consumption (Mt)]])</f>
        <v>0</v>
      </c>
    </row>
    <row r="609" spans="1:23">
      <c r="A609" t="s">
        <v>48</v>
      </c>
      <c r="B609">
        <v>2008</v>
      </c>
      <c r="C609" t="s">
        <v>39</v>
      </c>
      <c r="D609">
        <v>72.836033900000004</v>
      </c>
      <c r="E609">
        <v>2.57447442</v>
      </c>
      <c r="F609">
        <v>0.439899559</v>
      </c>
      <c r="G609">
        <v>153.05665669999999</v>
      </c>
      <c r="H609">
        <v>28.291612969999999</v>
      </c>
      <c r="I609">
        <v>0</v>
      </c>
      <c r="J609">
        <v>21.608200790000001</v>
      </c>
      <c r="K609">
        <v>15.897</v>
      </c>
      <c r="L609">
        <v>46.936999999999998</v>
      </c>
      <c r="M609">
        <v>12.7</v>
      </c>
      <c r="N609">
        <v>12.7</v>
      </c>
      <c r="O609">
        <v>0.17086965600000001</v>
      </c>
      <c r="P609">
        <v>51.749000000000002</v>
      </c>
      <c r="Q609">
        <v>35.226999999999997</v>
      </c>
      <c r="S609">
        <v>0</v>
      </c>
      <c r="T609">
        <v>140.42699999999999</v>
      </c>
      <c r="V609" s="1" t="str">
        <f>IF(Energy_data_1990___2020[[#This Row],[CO2 emissions from fuel combustion (MtCO2)]]&gt;Energy_data_1990___2020[[#Totals],[CO2 emissions from fuel combustion (MtCO2)]],"Above Average","")</f>
        <v/>
      </c>
      <c r="W609" s="1">
        <f>SUM(Energy_data_1990___2020[[#This Row],[Coal and lignite production (Mt)]]-Energy_data_1990___2020[[#This Row],[Coal and lignite domestic consumption (Mt)]])</f>
        <v>0</v>
      </c>
    </row>
    <row r="610" spans="1:23">
      <c r="A610" t="s">
        <v>48</v>
      </c>
      <c r="B610">
        <v>2009</v>
      </c>
      <c r="C610" t="s">
        <v>39</v>
      </c>
      <c r="D610">
        <v>75.435598380000002</v>
      </c>
      <c r="E610">
        <v>2.6237861219999998</v>
      </c>
      <c r="F610">
        <v>0.49029328500000002</v>
      </c>
      <c r="G610">
        <v>130.4369877</v>
      </c>
      <c r="H610">
        <v>28.75066597</v>
      </c>
      <c r="I610">
        <v>0</v>
      </c>
      <c r="J610">
        <v>20.413084919999999</v>
      </c>
      <c r="K610">
        <v>15.659000000000001</v>
      </c>
      <c r="L610">
        <v>44.731999999999999</v>
      </c>
      <c r="M610">
        <v>11.489000000000001</v>
      </c>
      <c r="N610">
        <v>12.379</v>
      </c>
      <c r="O610">
        <v>0.18686480599999999</v>
      </c>
      <c r="P610">
        <v>53.216000000000001</v>
      </c>
      <c r="Q610">
        <v>35.927</v>
      </c>
      <c r="S610">
        <v>0</v>
      </c>
      <c r="T610">
        <v>119.137</v>
      </c>
      <c r="V610" s="1" t="str">
        <f>IF(Energy_data_1990___2020[[#This Row],[CO2 emissions from fuel combustion (MtCO2)]]&gt;Energy_data_1990___2020[[#Totals],[CO2 emissions from fuel combustion (MtCO2)]],"Above Average","")</f>
        <v/>
      </c>
      <c r="W610" s="1">
        <f>SUM(Energy_data_1990___2020[[#This Row],[Coal and lignite production (Mt)]]-Energy_data_1990___2020[[#This Row],[Coal and lignite domestic consumption (Mt)]])</f>
        <v>0</v>
      </c>
    </row>
    <row r="611" spans="1:23">
      <c r="A611" t="s">
        <v>48</v>
      </c>
      <c r="B611">
        <v>2010</v>
      </c>
      <c r="C611" t="s">
        <v>39</v>
      </c>
      <c r="D611">
        <v>78.997723370000003</v>
      </c>
      <c r="E611">
        <v>2.7047555459999999</v>
      </c>
      <c r="F611">
        <v>0.52591236200000002</v>
      </c>
      <c r="G611">
        <v>134.55658589999999</v>
      </c>
      <c r="H611">
        <v>29.206973430000001</v>
      </c>
      <c r="I611">
        <v>0</v>
      </c>
      <c r="J611">
        <v>19.711239989999999</v>
      </c>
      <c r="K611">
        <v>16.253</v>
      </c>
      <c r="L611">
        <v>46.418999999999997</v>
      </c>
      <c r="M611">
        <v>11.733000000000001</v>
      </c>
      <c r="N611">
        <v>14.523</v>
      </c>
      <c r="O611">
        <v>0.19443988700000001</v>
      </c>
      <c r="P611">
        <v>57.082000000000001</v>
      </c>
      <c r="Q611">
        <v>38.417999999999999</v>
      </c>
      <c r="S611">
        <v>0</v>
      </c>
      <c r="T611">
        <v>122.99299999999999</v>
      </c>
      <c r="V611" s="1" t="str">
        <f>IF(Energy_data_1990___2020[[#This Row],[CO2 emissions from fuel combustion (MtCO2)]]&gt;Energy_data_1990___2020[[#Totals],[CO2 emissions from fuel combustion (MtCO2)]],"Above Average","")</f>
        <v/>
      </c>
      <c r="W611" s="1">
        <f>SUM(Energy_data_1990___2020[[#This Row],[Coal and lignite production (Mt)]]-Energy_data_1990___2020[[#This Row],[Coal and lignite domestic consumption (Mt)]])</f>
        <v>0</v>
      </c>
    </row>
    <row r="612" spans="1:23">
      <c r="A612" t="s">
        <v>48</v>
      </c>
      <c r="B612">
        <v>2011</v>
      </c>
      <c r="C612" t="s">
        <v>39</v>
      </c>
      <c r="D612">
        <v>81.81995938</v>
      </c>
      <c r="E612">
        <v>2.9420787750000001</v>
      </c>
      <c r="F612">
        <v>0.49686092599999998</v>
      </c>
      <c r="G612">
        <v>154.20380320000001</v>
      </c>
      <c r="H612">
        <v>27.810254459999999</v>
      </c>
      <c r="I612">
        <v>0</v>
      </c>
      <c r="J612">
        <v>19.119226040000001</v>
      </c>
      <c r="K612">
        <v>15.46</v>
      </c>
      <c r="L612">
        <v>46.219000000000001</v>
      </c>
      <c r="M612">
        <v>13.532999999999999</v>
      </c>
      <c r="N612">
        <v>16.992999999999999</v>
      </c>
      <c r="O612">
        <v>0.168880905</v>
      </c>
      <c r="P612">
        <v>57.488999999999997</v>
      </c>
      <c r="Q612">
        <v>38.802</v>
      </c>
      <c r="S612">
        <v>0</v>
      </c>
      <c r="T612">
        <v>140.88300000000001</v>
      </c>
      <c r="V612" s="1" t="str">
        <f>IF(Energy_data_1990___2020[[#This Row],[CO2 emissions from fuel combustion (MtCO2)]]&gt;Energy_data_1990___2020[[#Totals],[CO2 emissions from fuel combustion (MtCO2)]],"Above Average","")</f>
        <v/>
      </c>
      <c r="W612" s="1">
        <f>SUM(Energy_data_1990___2020[[#This Row],[Coal and lignite production (Mt)]]-Energy_data_1990___2020[[#This Row],[Coal and lignite domestic consumption (Mt)]])</f>
        <v>0</v>
      </c>
    </row>
    <row r="613" spans="1:23">
      <c r="A613" t="s">
        <v>48</v>
      </c>
      <c r="B613">
        <v>2012</v>
      </c>
      <c r="C613" t="s">
        <v>39</v>
      </c>
      <c r="D613">
        <v>84.663478179999998</v>
      </c>
      <c r="E613">
        <v>2.9110126439999999</v>
      </c>
      <c r="F613">
        <v>0.48217755800000001</v>
      </c>
      <c r="G613">
        <v>173.1110118</v>
      </c>
      <c r="H613">
        <v>29.083857940000001</v>
      </c>
      <c r="I613">
        <v>0</v>
      </c>
      <c r="J613">
        <v>19.31729245</v>
      </c>
      <c r="K613">
        <v>16.561</v>
      </c>
      <c r="L613">
        <v>47.673999999999999</v>
      </c>
      <c r="M613">
        <v>15.515000000000001</v>
      </c>
      <c r="N613">
        <v>18.164999999999999</v>
      </c>
      <c r="O613">
        <v>0.165639115</v>
      </c>
      <c r="P613">
        <v>61.119</v>
      </c>
      <c r="Q613">
        <v>41.685000000000002</v>
      </c>
      <c r="S613">
        <v>0</v>
      </c>
      <c r="T613">
        <v>157.898</v>
      </c>
      <c r="V613" s="1" t="str">
        <f>IF(Energy_data_1990___2020[[#This Row],[CO2 emissions from fuel combustion (MtCO2)]]&gt;Energy_data_1990___2020[[#Totals],[CO2 emissions from fuel combustion (MtCO2)]],"Above Average","")</f>
        <v/>
      </c>
      <c r="W613" s="1">
        <f>SUM(Energy_data_1990___2020[[#This Row],[Coal and lignite production (Mt)]]-Energy_data_1990___2020[[#This Row],[Coal and lignite domestic consumption (Mt)]])</f>
        <v>0</v>
      </c>
    </row>
    <row r="614" spans="1:23">
      <c r="A614" t="s">
        <v>48</v>
      </c>
      <c r="B614">
        <v>2013</v>
      </c>
      <c r="C614" t="s">
        <v>39</v>
      </c>
      <c r="D614">
        <v>85.450234409999993</v>
      </c>
      <c r="E614">
        <v>2.878378691</v>
      </c>
      <c r="F614">
        <v>0.48112994199999998</v>
      </c>
      <c r="G614">
        <v>170.34054269999999</v>
      </c>
      <c r="H614">
        <v>29.686932670000001</v>
      </c>
      <c r="I614">
        <v>6.5593129999999998E-3</v>
      </c>
      <c r="J614">
        <v>19.993009149999999</v>
      </c>
      <c r="K614">
        <v>16.524000000000001</v>
      </c>
      <c r="L614">
        <v>45.869</v>
      </c>
      <c r="M614">
        <v>16.310995909999999</v>
      </c>
      <c r="N614">
        <v>18.491015879999999</v>
      </c>
      <c r="O614">
        <v>0.167153107</v>
      </c>
      <c r="P614">
        <v>60.981999999999999</v>
      </c>
      <c r="Q614">
        <v>41.56</v>
      </c>
      <c r="S614">
        <v>6.5593129999999998E-3</v>
      </c>
      <c r="T614">
        <v>154.53100000000001</v>
      </c>
      <c r="V614" s="1" t="str">
        <f>IF(Energy_data_1990___2020[[#This Row],[CO2 emissions from fuel combustion (MtCO2)]]&gt;Energy_data_1990___2020[[#Totals],[CO2 emissions from fuel combustion (MtCO2)]],"Above Average","")</f>
        <v/>
      </c>
      <c r="W614" s="1">
        <f>SUM(Energy_data_1990___2020[[#This Row],[Coal and lignite production (Mt)]]-Energy_data_1990___2020[[#This Row],[Coal and lignite domestic consumption (Mt)]])</f>
        <v>0</v>
      </c>
    </row>
    <row r="615" spans="1:23">
      <c r="A615" t="s">
        <v>48</v>
      </c>
      <c r="B615">
        <v>2014</v>
      </c>
      <c r="C615" t="s">
        <v>39</v>
      </c>
      <c r="D615">
        <v>83.591778390000002</v>
      </c>
      <c r="E615">
        <v>3.1165664190000002</v>
      </c>
      <c r="F615">
        <v>0.46831895400000001</v>
      </c>
      <c r="G615">
        <v>166.5736473</v>
      </c>
      <c r="H615">
        <v>26.821754179999999</v>
      </c>
      <c r="I615">
        <v>1.0746085000000001E-2</v>
      </c>
      <c r="J615">
        <v>22.320619570000002</v>
      </c>
      <c r="K615">
        <v>15.722</v>
      </c>
      <c r="L615">
        <v>46.106000000000002</v>
      </c>
      <c r="M615">
        <v>15.028987219999999</v>
      </c>
      <c r="N615">
        <v>18.338982519999998</v>
      </c>
      <c r="O615">
        <v>0.150267599</v>
      </c>
      <c r="P615">
        <v>65.14</v>
      </c>
      <c r="Q615">
        <v>44.145000000000003</v>
      </c>
      <c r="S615">
        <v>1.0746085000000001E-2</v>
      </c>
      <c r="T615">
        <v>151.85400000000001</v>
      </c>
      <c r="V615" s="1" t="str">
        <f>IF(Energy_data_1990___2020[[#This Row],[CO2 emissions from fuel combustion (MtCO2)]]&gt;Energy_data_1990___2020[[#Totals],[CO2 emissions from fuel combustion (MtCO2)]],"Above Average","")</f>
        <v/>
      </c>
      <c r="W615" s="1">
        <f>SUM(Energy_data_1990___2020[[#This Row],[Coal and lignite production (Mt)]]-Energy_data_1990___2020[[#This Row],[Coal and lignite domestic consumption (Mt)]])</f>
        <v>0</v>
      </c>
    </row>
    <row r="616" spans="1:23">
      <c r="A616" t="s">
        <v>48</v>
      </c>
      <c r="B616">
        <v>2015</v>
      </c>
      <c r="C616" t="s">
        <v>39</v>
      </c>
      <c r="D616">
        <v>87.885835049999997</v>
      </c>
      <c r="E616">
        <v>2.6630224419999999</v>
      </c>
      <c r="F616">
        <v>0.48947477299999997</v>
      </c>
      <c r="G616">
        <v>168.01172879999999</v>
      </c>
      <c r="H616">
        <v>33.002288550000003</v>
      </c>
      <c r="I616">
        <v>1.3179475E-2</v>
      </c>
      <c r="J616">
        <v>22.681514830000001</v>
      </c>
      <c r="K616">
        <v>16.853000000000002</v>
      </c>
      <c r="L616">
        <v>46.91</v>
      </c>
      <c r="M616">
        <v>16.908999999999999</v>
      </c>
      <c r="N616">
        <v>20.899000000000001</v>
      </c>
      <c r="O616">
        <v>0.18380422399999999</v>
      </c>
      <c r="P616">
        <v>68.287999999999997</v>
      </c>
      <c r="Q616">
        <v>48.063000000000002</v>
      </c>
      <c r="S616">
        <v>1.3179475E-2</v>
      </c>
      <c r="T616">
        <v>151.75700000000001</v>
      </c>
      <c r="V616" s="1" t="str">
        <f>IF(Energy_data_1990___2020[[#This Row],[CO2 emissions from fuel combustion (MtCO2)]]&gt;Energy_data_1990___2020[[#Totals],[CO2 emissions from fuel combustion (MtCO2)]],"Above Average","")</f>
        <v/>
      </c>
      <c r="W616" s="1">
        <f>SUM(Energy_data_1990___2020[[#This Row],[Coal and lignite production (Mt)]]-Energy_data_1990___2020[[#This Row],[Coal and lignite domestic consumption (Mt)]])</f>
        <v>0</v>
      </c>
    </row>
    <row r="617" spans="1:23">
      <c r="A617" t="s">
        <v>48</v>
      </c>
      <c r="B617">
        <v>2016</v>
      </c>
      <c r="C617" t="s">
        <v>39</v>
      </c>
      <c r="D617">
        <v>89.775580300000001</v>
      </c>
      <c r="E617">
        <v>2.4838257690000001</v>
      </c>
      <c r="F617">
        <v>0.485784938</v>
      </c>
      <c r="G617">
        <v>174.3871886</v>
      </c>
      <c r="H617">
        <v>36.144073159999998</v>
      </c>
      <c r="I617">
        <v>7.5622458000000004E-2</v>
      </c>
      <c r="J617">
        <v>22.96782919</v>
      </c>
      <c r="K617">
        <v>16.747</v>
      </c>
      <c r="L617">
        <v>43.715000000000003</v>
      </c>
      <c r="M617">
        <v>17.291</v>
      </c>
      <c r="N617">
        <v>22.251000000000001</v>
      </c>
      <c r="O617">
        <v>0.195579313</v>
      </c>
      <c r="P617">
        <v>70.084999999999994</v>
      </c>
      <c r="Q617">
        <v>50.051000000000002</v>
      </c>
      <c r="S617">
        <v>7.5622458000000004E-2</v>
      </c>
      <c r="T617">
        <v>157.71899999999999</v>
      </c>
      <c r="V617" s="1" t="str">
        <f>IF(Energy_data_1990___2020[[#This Row],[CO2 emissions from fuel combustion (MtCO2)]]&gt;Energy_data_1990___2020[[#Totals],[CO2 emissions from fuel combustion (MtCO2)]],"Above Average","")</f>
        <v/>
      </c>
      <c r="W617" s="1">
        <f>SUM(Energy_data_1990___2020[[#This Row],[Coal and lignite production (Mt)]]-Energy_data_1990___2020[[#This Row],[Coal and lignite domestic consumption (Mt)]])</f>
        <v>0</v>
      </c>
    </row>
    <row r="618" spans="1:23">
      <c r="A618" t="s">
        <v>48</v>
      </c>
      <c r="B618">
        <v>2017</v>
      </c>
      <c r="C618" t="s">
        <v>39</v>
      </c>
      <c r="D618">
        <v>89.668303760000001</v>
      </c>
      <c r="E618">
        <v>2.6014202389999999</v>
      </c>
      <c r="F618">
        <v>0.50919967499999996</v>
      </c>
      <c r="G618">
        <v>162.19801369999999</v>
      </c>
      <c r="H618">
        <v>34.468980600000002</v>
      </c>
      <c r="I618">
        <v>9.1792603E-2</v>
      </c>
      <c r="J618">
        <v>23.46050301</v>
      </c>
      <c r="K618">
        <v>15.710433</v>
      </c>
      <c r="L618">
        <v>38.838675000000002</v>
      </c>
      <c r="M618">
        <v>17.101726580000001</v>
      </c>
      <c r="N618">
        <v>22.631726579999999</v>
      </c>
      <c r="O618">
        <v>0.195739107</v>
      </c>
      <c r="P618">
        <v>72.787999999999997</v>
      </c>
      <c r="Q618">
        <v>53.030988999999998</v>
      </c>
      <c r="S618">
        <v>9.1792603E-2</v>
      </c>
      <c r="T618">
        <v>145.87117000000001</v>
      </c>
      <c r="V618" s="1" t="str">
        <f>IF(Energy_data_1990___2020[[#This Row],[CO2 emissions from fuel combustion (MtCO2)]]&gt;Energy_data_1990___2020[[#Totals],[CO2 emissions from fuel combustion (MtCO2)]],"Above Average","")</f>
        <v/>
      </c>
      <c r="W618" s="1">
        <f>SUM(Energy_data_1990___2020[[#This Row],[Coal and lignite production (Mt)]]-Energy_data_1990___2020[[#This Row],[Coal and lignite domestic consumption (Mt)]])</f>
        <v>0</v>
      </c>
    </row>
    <row r="619" spans="1:23">
      <c r="A619" t="s">
        <v>48</v>
      </c>
      <c r="B619">
        <v>2018</v>
      </c>
      <c r="C619" t="s">
        <v>39</v>
      </c>
      <c r="D619">
        <v>89.421648000000005</v>
      </c>
      <c r="E619">
        <v>2.629531466</v>
      </c>
      <c r="F619">
        <v>0.50154960199999998</v>
      </c>
      <c r="G619">
        <v>164.54960779999999</v>
      </c>
      <c r="H619">
        <v>34.006684900000003</v>
      </c>
      <c r="I619">
        <v>0.112925253</v>
      </c>
      <c r="J619">
        <v>24.34390423</v>
      </c>
      <c r="K619">
        <v>16.090185000000002</v>
      </c>
      <c r="L619">
        <v>39.299402000000001</v>
      </c>
      <c r="M619">
        <v>17.73778029</v>
      </c>
      <c r="N619">
        <v>22.71778029</v>
      </c>
      <c r="O619">
        <v>0.190737251</v>
      </c>
      <c r="P619">
        <v>74.102999999999994</v>
      </c>
      <c r="Q619">
        <v>54.086623000000003</v>
      </c>
      <c r="S619">
        <v>0.112925253</v>
      </c>
      <c r="T619">
        <v>147.672607</v>
      </c>
      <c r="V619" s="1" t="str">
        <f>IF(Energy_data_1990___2020[[#This Row],[CO2 emissions from fuel combustion (MtCO2)]]&gt;Energy_data_1990___2020[[#Totals],[CO2 emissions from fuel combustion (MtCO2)]],"Above Average","")</f>
        <v/>
      </c>
      <c r="W619" s="1">
        <f>SUM(Energy_data_1990___2020[[#This Row],[Coal and lignite production (Mt)]]-Energy_data_1990___2020[[#This Row],[Coal and lignite domestic consumption (Mt)]])</f>
        <v>0</v>
      </c>
    </row>
    <row r="620" spans="1:23">
      <c r="A620" t="s">
        <v>48</v>
      </c>
      <c r="B620">
        <v>2019</v>
      </c>
      <c r="C620" t="s">
        <v>39</v>
      </c>
      <c r="D620">
        <v>92.938136810000003</v>
      </c>
      <c r="E620">
        <v>2.5819582560000001</v>
      </c>
      <c r="F620">
        <v>0.51906173899999997</v>
      </c>
      <c r="G620">
        <v>162.7235125</v>
      </c>
      <c r="H620">
        <v>35.995212780000003</v>
      </c>
      <c r="I620">
        <v>0.21320384100000001</v>
      </c>
      <c r="J620">
        <v>23.67174473</v>
      </c>
      <c r="K620">
        <v>16.334279540000001</v>
      </c>
      <c r="L620">
        <v>36.089338130000002</v>
      </c>
      <c r="M620">
        <v>19.359521950000001</v>
      </c>
      <c r="N620">
        <v>24.574521950000001</v>
      </c>
      <c r="O620">
        <v>0.201034133</v>
      </c>
      <c r="P620">
        <v>75.070999999999998</v>
      </c>
      <c r="Q620">
        <v>54.793151090000002</v>
      </c>
      <c r="S620">
        <v>0.21320384100000001</v>
      </c>
      <c r="T620">
        <v>144.5523843</v>
      </c>
      <c r="V620" s="1" t="str">
        <f>IF(Energy_data_1990___2020[[#This Row],[CO2 emissions from fuel combustion (MtCO2)]]&gt;Energy_data_1990___2020[[#Totals],[CO2 emissions from fuel combustion (MtCO2)]],"Above Average","")</f>
        <v/>
      </c>
      <c r="W620" s="1">
        <f>SUM(Energy_data_1990___2020[[#This Row],[Coal and lignite production (Mt)]]-Energy_data_1990___2020[[#This Row],[Coal and lignite domestic consumption (Mt)]])</f>
        <v>0</v>
      </c>
    </row>
    <row r="621" spans="1:23">
      <c r="A621" t="s">
        <v>48</v>
      </c>
      <c r="B621">
        <v>2020</v>
      </c>
      <c r="C621" t="s">
        <v>39</v>
      </c>
      <c r="D621">
        <v>94.666803880000003</v>
      </c>
      <c r="E621">
        <v>2.5217432209999999</v>
      </c>
      <c r="F621">
        <v>0.57517311900000001</v>
      </c>
      <c r="G621">
        <v>151.14835059999999</v>
      </c>
      <c r="H621">
        <v>37.540223400000002</v>
      </c>
      <c r="I621">
        <v>0.271767392</v>
      </c>
      <c r="J621">
        <v>22.736388829999999</v>
      </c>
      <c r="K621">
        <v>15.382077089999999</v>
      </c>
      <c r="L621">
        <v>33.141479510000003</v>
      </c>
      <c r="M621">
        <v>21.290522859999999</v>
      </c>
      <c r="N621">
        <v>27.456434569999999</v>
      </c>
      <c r="O621">
        <v>0.22808552200000001</v>
      </c>
      <c r="P621">
        <v>74.575000000000003</v>
      </c>
      <c r="Q621">
        <v>54.364663550000003</v>
      </c>
      <c r="S621">
        <v>0.271767392</v>
      </c>
      <c r="T621">
        <v>131.59772699999999</v>
      </c>
      <c r="V621" s="1" t="str">
        <f>IF(Energy_data_1990___2020[[#This Row],[CO2 emissions from fuel combustion (MtCO2)]]&gt;Energy_data_1990___2020[[#Totals],[CO2 emissions from fuel combustion (MtCO2)]],"Above Average","")</f>
        <v/>
      </c>
      <c r="W621" s="1">
        <f>SUM(Energy_data_1990___2020[[#This Row],[Coal and lignite production (Mt)]]-Energy_data_1990___2020[[#This Row],[Coal and lignite domestic consumption (Mt)]])</f>
        <v>0</v>
      </c>
    </row>
    <row r="622" spans="1:23">
      <c r="A622" t="s">
        <v>49</v>
      </c>
      <c r="B622">
        <v>1990</v>
      </c>
      <c r="C622" t="s">
        <v>28</v>
      </c>
      <c r="D622">
        <v>50.738059790000001</v>
      </c>
      <c r="E622">
        <v>2.391922391</v>
      </c>
      <c r="F622">
        <v>0.27290635499999999</v>
      </c>
      <c r="G622">
        <v>47.749219109999999</v>
      </c>
      <c r="H622">
        <v>21.212251689999999</v>
      </c>
      <c r="I622">
        <v>17.33142162</v>
      </c>
      <c r="J622">
        <v>12.79793525</v>
      </c>
      <c r="K622">
        <v>12.077</v>
      </c>
      <c r="L622">
        <v>10.086</v>
      </c>
      <c r="M622">
        <v>18.356009069999999</v>
      </c>
      <c r="N622">
        <v>8.1840046270000002</v>
      </c>
      <c r="O622">
        <v>0.11409498799999999</v>
      </c>
      <c r="P622">
        <v>23.015999999999998</v>
      </c>
      <c r="Q622">
        <v>19.945</v>
      </c>
      <c r="R622">
        <v>2.1040000000000001</v>
      </c>
      <c r="S622">
        <v>0</v>
      </c>
      <c r="T622">
        <v>30.029</v>
      </c>
      <c r="U622">
        <v>0.111</v>
      </c>
      <c r="V622" s="1" t="str">
        <f>IF(Energy_data_1990___2020[[#This Row],[CO2 emissions from fuel combustion (MtCO2)]]&gt;Energy_data_1990___2020[[#Totals],[CO2 emissions from fuel combustion (MtCO2)]],"Above Average","")</f>
        <v/>
      </c>
      <c r="W622" s="1">
        <f>SUM(Energy_data_1990___2020[[#This Row],[Coal and lignite production (Mt)]]-Energy_data_1990___2020[[#This Row],[Coal and lignite domestic consumption (Mt)]])</f>
        <v>-1.9930000000000001</v>
      </c>
    </row>
    <row r="623" spans="1:23">
      <c r="A623" t="s">
        <v>49</v>
      </c>
      <c r="B623">
        <v>1991</v>
      </c>
      <c r="C623" t="s">
        <v>28</v>
      </c>
      <c r="D623">
        <v>61.257305420000002</v>
      </c>
      <c r="E623">
        <v>2.328974836</v>
      </c>
      <c r="F623">
        <v>0.30077606299999998</v>
      </c>
      <c r="G623">
        <v>51.967602739999997</v>
      </c>
      <c r="H623">
        <v>26.302261609999999</v>
      </c>
      <c r="I623">
        <v>16.601385960000002</v>
      </c>
      <c r="J623">
        <v>13.05886213</v>
      </c>
      <c r="K623">
        <v>12.958</v>
      </c>
      <c r="L623">
        <v>10.228</v>
      </c>
      <c r="M623">
        <v>21.79697672</v>
      </c>
      <c r="N623">
        <v>11.62299956</v>
      </c>
      <c r="O623">
        <v>0.12914526100000001</v>
      </c>
      <c r="P623">
        <v>26.552</v>
      </c>
      <c r="Q623">
        <v>22.388000000000002</v>
      </c>
      <c r="R623">
        <v>2.4780000000000002</v>
      </c>
      <c r="S623">
        <v>0</v>
      </c>
      <c r="T623">
        <v>31.219000000000001</v>
      </c>
      <c r="U623">
        <v>0.2</v>
      </c>
      <c r="V623" s="1" t="str">
        <f>IF(Energy_data_1990___2020[[#This Row],[CO2 emissions from fuel combustion (MtCO2)]]&gt;Energy_data_1990___2020[[#Totals],[CO2 emissions from fuel combustion (MtCO2)]],"Above Average","")</f>
        <v/>
      </c>
      <c r="W623" s="1">
        <f>SUM(Energy_data_1990___2020[[#This Row],[Coal and lignite production (Mt)]]-Energy_data_1990___2020[[#This Row],[Coal and lignite domestic consumption (Mt)]])</f>
        <v>-2.278</v>
      </c>
    </row>
    <row r="624" spans="1:23">
      <c r="A624" t="s">
        <v>49</v>
      </c>
      <c r="B624">
        <v>1992</v>
      </c>
      <c r="C624" t="s">
        <v>28</v>
      </c>
      <c r="D624">
        <v>64.389768529999998</v>
      </c>
      <c r="E624">
        <v>2.2153274920000001</v>
      </c>
      <c r="F624">
        <v>0.29035794799999998</v>
      </c>
      <c r="G624">
        <v>53.349421210000003</v>
      </c>
      <c r="H624">
        <v>29.065575519999999</v>
      </c>
      <c r="I624">
        <v>14.87431359</v>
      </c>
      <c r="J624">
        <v>13.610032159999999</v>
      </c>
      <c r="K624">
        <v>13.523</v>
      </c>
      <c r="L624">
        <v>9.5259999999999998</v>
      </c>
      <c r="M624">
        <v>22.592001880000002</v>
      </c>
      <c r="N624">
        <v>12.59700321</v>
      </c>
      <c r="O624">
        <v>0.13106773099999999</v>
      </c>
      <c r="P624">
        <v>29.318999999999999</v>
      </c>
      <c r="Q624">
        <v>25.795000000000002</v>
      </c>
      <c r="R624">
        <v>2.6019999999999999</v>
      </c>
      <c r="S624">
        <v>0</v>
      </c>
      <c r="T624">
        <v>31.978999999999999</v>
      </c>
      <c r="U624">
        <v>8.4000000000000005E-2</v>
      </c>
      <c r="V624" s="1" t="str">
        <f>IF(Energy_data_1990___2020[[#This Row],[CO2 emissions from fuel combustion (MtCO2)]]&gt;Energy_data_1990___2020[[#Totals],[CO2 emissions from fuel combustion (MtCO2)]],"Above Average","")</f>
        <v/>
      </c>
      <c r="W624" s="1">
        <f>SUM(Energy_data_1990___2020[[#This Row],[Coal and lignite production (Mt)]]-Energy_data_1990___2020[[#This Row],[Coal and lignite domestic consumption (Mt)]])</f>
        <v>-2.5179999999999998</v>
      </c>
    </row>
    <row r="625" spans="1:23">
      <c r="A625" t="s">
        <v>49</v>
      </c>
      <c r="B625">
        <v>1993</v>
      </c>
      <c r="C625" t="s">
        <v>28</v>
      </c>
      <c r="D625">
        <v>70.177340150000006</v>
      </c>
      <c r="E625">
        <v>2.2260322750000001</v>
      </c>
      <c r="F625">
        <v>0.28796257600000003</v>
      </c>
      <c r="G625">
        <v>55.44497415</v>
      </c>
      <c r="H625">
        <v>31.525751419999999</v>
      </c>
      <c r="I625">
        <v>14.027461929999999</v>
      </c>
      <c r="J625">
        <v>13.80218582</v>
      </c>
      <c r="K625">
        <v>14.643000000000001</v>
      </c>
      <c r="L625">
        <v>10.766999999999999</v>
      </c>
      <c r="M625">
        <v>24.586009659999998</v>
      </c>
      <c r="N625">
        <v>12.09499982</v>
      </c>
      <c r="O625">
        <v>0.12936136600000001</v>
      </c>
      <c r="P625">
        <v>34.738999999999997</v>
      </c>
      <c r="Q625">
        <v>28.494</v>
      </c>
      <c r="R625">
        <v>2.1749999999999998</v>
      </c>
      <c r="S625">
        <v>0</v>
      </c>
      <c r="T625">
        <v>31.654</v>
      </c>
      <c r="U625">
        <v>0.41899999999999998</v>
      </c>
      <c r="V625" s="1" t="str">
        <f>IF(Energy_data_1990___2020[[#This Row],[CO2 emissions from fuel combustion (MtCO2)]]&gt;Energy_data_1990___2020[[#Totals],[CO2 emissions from fuel combustion (MtCO2)]],"Above Average","")</f>
        <v/>
      </c>
      <c r="W625" s="1">
        <f>SUM(Energy_data_1990___2020[[#This Row],[Coal and lignite production (Mt)]]-Energy_data_1990___2020[[#This Row],[Coal and lignite domestic consumption (Mt)]])</f>
        <v>-1.7559999999999998</v>
      </c>
    </row>
    <row r="626" spans="1:23">
      <c r="A626" t="s">
        <v>49</v>
      </c>
      <c r="B626">
        <v>1994</v>
      </c>
      <c r="C626" t="s">
        <v>28</v>
      </c>
      <c r="D626">
        <v>75.333747869999996</v>
      </c>
      <c r="E626">
        <v>2.3862984539999998</v>
      </c>
      <c r="F626">
        <v>0.28304676299999998</v>
      </c>
      <c r="G626">
        <v>57.354935310000002</v>
      </c>
      <c r="H626">
        <v>31.569289980000001</v>
      </c>
      <c r="I626">
        <v>16.685421989999998</v>
      </c>
      <c r="J626">
        <v>15.258342300000001</v>
      </c>
      <c r="K626">
        <v>15.179</v>
      </c>
      <c r="L626">
        <v>14.404</v>
      </c>
      <c r="M626">
        <v>25.468984880000001</v>
      </c>
      <c r="N626">
        <v>14.771991870000001</v>
      </c>
      <c r="O626">
        <v>0.118613312</v>
      </c>
      <c r="P626">
        <v>39.1</v>
      </c>
      <c r="Q626">
        <v>34.097999999999999</v>
      </c>
      <c r="R626">
        <v>2.4159999999999999</v>
      </c>
      <c r="S626">
        <v>0</v>
      </c>
      <c r="T626">
        <v>32.793999999999997</v>
      </c>
      <c r="U626">
        <v>0.14099999999999999</v>
      </c>
      <c r="V626" s="1" t="str">
        <f>IF(Energy_data_1990___2020[[#This Row],[CO2 emissions from fuel combustion (MtCO2)]]&gt;Energy_data_1990___2020[[#Totals],[CO2 emissions from fuel combustion (MtCO2)]],"Above Average","")</f>
        <v/>
      </c>
      <c r="W626" s="1">
        <f>SUM(Energy_data_1990___2020[[#This Row],[Coal and lignite production (Mt)]]-Energy_data_1990___2020[[#This Row],[Coal and lignite domestic consumption (Mt)]])</f>
        <v>-2.2749999999999999</v>
      </c>
    </row>
    <row r="627" spans="1:23">
      <c r="A627" t="s">
        <v>49</v>
      </c>
      <c r="B627">
        <v>1995</v>
      </c>
      <c r="C627" t="s">
        <v>28</v>
      </c>
      <c r="D627">
        <v>82.462204779999993</v>
      </c>
      <c r="E627">
        <v>2.4049058250000002</v>
      </c>
      <c r="F627">
        <v>0.28210201899999998</v>
      </c>
      <c r="G627">
        <v>63.77743675</v>
      </c>
      <c r="H627">
        <v>34.289161720000003</v>
      </c>
      <c r="I627">
        <v>13.686155469999999</v>
      </c>
      <c r="J627">
        <v>15.38407832</v>
      </c>
      <c r="K627">
        <v>17.54</v>
      </c>
      <c r="L627">
        <v>18.074999999999999</v>
      </c>
      <c r="M627">
        <v>29.178998379999999</v>
      </c>
      <c r="N627">
        <v>14.478995749999999</v>
      </c>
      <c r="O627">
        <v>0.11730272999999999</v>
      </c>
      <c r="P627">
        <v>45.462000000000003</v>
      </c>
      <c r="Q627">
        <v>39.250999999999998</v>
      </c>
      <c r="R627">
        <v>2.6469999999999998</v>
      </c>
      <c r="S627">
        <v>0</v>
      </c>
      <c r="T627">
        <v>35.976999999999997</v>
      </c>
      <c r="U627">
        <v>0.13500000000000001</v>
      </c>
      <c r="V627" s="1" t="str">
        <f>IF(Energy_data_1990___2020[[#This Row],[CO2 emissions from fuel combustion (MtCO2)]]&gt;Energy_data_1990___2020[[#Totals],[CO2 emissions from fuel combustion (MtCO2)]],"Above Average","")</f>
        <v/>
      </c>
      <c r="W627" s="1">
        <f>SUM(Energy_data_1990___2020[[#This Row],[Coal and lignite production (Mt)]]-Energy_data_1990___2020[[#This Row],[Coal and lignite domestic consumption (Mt)]])</f>
        <v>-2.5119999999999996</v>
      </c>
    </row>
    <row r="628" spans="1:23">
      <c r="A628" t="s">
        <v>49</v>
      </c>
      <c r="B628">
        <v>1996</v>
      </c>
      <c r="C628" t="s">
        <v>28</v>
      </c>
      <c r="D628">
        <v>92.929349889999997</v>
      </c>
      <c r="E628">
        <v>2.446071157</v>
      </c>
      <c r="F628">
        <v>0.28900197100000002</v>
      </c>
      <c r="G628">
        <v>69.839393770000001</v>
      </c>
      <c r="H628">
        <v>37.991270049999997</v>
      </c>
      <c r="I628">
        <v>10.088299360000001</v>
      </c>
      <c r="J628">
        <v>15.864092579999999</v>
      </c>
      <c r="K628">
        <v>18.629000000000001</v>
      </c>
      <c r="L628">
        <v>19.192</v>
      </c>
      <c r="M628">
        <v>36.382995530000002</v>
      </c>
      <c r="N628">
        <v>16.519980029999999</v>
      </c>
      <c r="O628">
        <v>0.118149454</v>
      </c>
      <c r="P628">
        <v>51.415999999999997</v>
      </c>
      <c r="Q628">
        <v>43.927</v>
      </c>
      <c r="R628">
        <v>2.66</v>
      </c>
      <c r="S628">
        <v>0</v>
      </c>
      <c r="T628">
        <v>35.988</v>
      </c>
      <c r="U628">
        <v>0.24299999999999999</v>
      </c>
      <c r="V628" s="1" t="str">
        <f>IF(Energy_data_1990___2020[[#This Row],[CO2 emissions from fuel combustion (MtCO2)]]&gt;Energy_data_1990___2020[[#Totals],[CO2 emissions from fuel combustion (MtCO2)]],"Above Average","")</f>
        <v/>
      </c>
      <c r="W628" s="1">
        <f>SUM(Energy_data_1990___2020[[#This Row],[Coal and lignite production (Mt)]]-Energy_data_1990___2020[[#This Row],[Coal and lignite domestic consumption (Mt)]])</f>
        <v>-2.4170000000000003</v>
      </c>
    </row>
    <row r="629" spans="1:23">
      <c r="A629" t="s">
        <v>49</v>
      </c>
      <c r="B629">
        <v>1997</v>
      </c>
      <c r="C629" t="s">
        <v>28</v>
      </c>
      <c r="D629">
        <v>100.1575673</v>
      </c>
      <c r="E629">
        <v>2.2610982590000002</v>
      </c>
      <c r="F629">
        <v>0.290228404</v>
      </c>
      <c r="G629">
        <v>73.921977530000007</v>
      </c>
      <c r="H629">
        <v>44.295981789999999</v>
      </c>
      <c r="I629">
        <v>6.6910837379999997</v>
      </c>
      <c r="J629">
        <v>17.054972920000001</v>
      </c>
      <c r="K629">
        <v>19.853000000000002</v>
      </c>
      <c r="L629">
        <v>17.39</v>
      </c>
      <c r="M629">
        <v>41.430955500000003</v>
      </c>
      <c r="N629">
        <v>19.853015360000001</v>
      </c>
      <c r="O629">
        <v>0.12835727199999999</v>
      </c>
      <c r="P629">
        <v>57.883000000000003</v>
      </c>
      <c r="Q629">
        <v>50.985999999999997</v>
      </c>
      <c r="R629">
        <v>2.573</v>
      </c>
      <c r="S629">
        <v>0</v>
      </c>
      <c r="T629">
        <v>35.935000000000002</v>
      </c>
      <c r="U629">
        <v>0.24299999999999999</v>
      </c>
      <c r="V629" s="1" t="str">
        <f>IF(Energy_data_1990___2020[[#This Row],[CO2 emissions from fuel combustion (MtCO2)]]&gt;Energy_data_1990___2020[[#Totals],[CO2 emissions from fuel combustion (MtCO2)]],"Above Average","")</f>
        <v/>
      </c>
      <c r="W629" s="1">
        <f>SUM(Energy_data_1990___2020[[#This Row],[Coal and lignite production (Mt)]]-Energy_data_1990___2020[[#This Row],[Coal and lignite domestic consumption (Mt)]])</f>
        <v>-2.33</v>
      </c>
    </row>
    <row r="630" spans="1:23">
      <c r="A630" t="s">
        <v>49</v>
      </c>
      <c r="B630">
        <v>1998</v>
      </c>
      <c r="C630" t="s">
        <v>28</v>
      </c>
      <c r="D630">
        <v>100.2828968</v>
      </c>
      <c r="E630">
        <v>2.405219974</v>
      </c>
      <c r="F630">
        <v>0.31367631600000001</v>
      </c>
      <c r="G630">
        <v>74.496358240000006</v>
      </c>
      <c r="H630">
        <v>41.693856629999999</v>
      </c>
      <c r="I630">
        <v>7.9969033620000003</v>
      </c>
      <c r="J630">
        <v>18.350737859999999</v>
      </c>
      <c r="K630">
        <v>18.492999999999999</v>
      </c>
      <c r="L630">
        <v>17.797999999999998</v>
      </c>
      <c r="M630">
        <v>41.881006489999997</v>
      </c>
      <c r="N630">
        <v>19.50801796</v>
      </c>
      <c r="O630">
        <v>0.13041481399999999</v>
      </c>
      <c r="P630">
        <v>60.710999999999999</v>
      </c>
      <c r="Q630">
        <v>53.234999999999999</v>
      </c>
      <c r="R630">
        <v>2.746</v>
      </c>
      <c r="S630">
        <v>0</v>
      </c>
      <c r="T630">
        <v>35.975999999999999</v>
      </c>
      <c r="U630">
        <v>0.35</v>
      </c>
      <c r="V630" s="1" t="str">
        <f>IF(Energy_data_1990___2020[[#This Row],[CO2 emissions from fuel combustion (MtCO2)]]&gt;Energy_data_1990___2020[[#Totals],[CO2 emissions from fuel combustion (MtCO2)]],"Above Average","")</f>
        <v/>
      </c>
      <c r="W630" s="1">
        <f>SUM(Energy_data_1990___2020[[#This Row],[Coal and lignite production (Mt)]]-Energy_data_1990___2020[[#This Row],[Coal and lignite domestic consumption (Mt)]])</f>
        <v>-2.3959999999999999</v>
      </c>
    </row>
    <row r="631" spans="1:23">
      <c r="A631" t="s">
        <v>49</v>
      </c>
      <c r="B631">
        <v>1999</v>
      </c>
      <c r="C631" t="s">
        <v>28</v>
      </c>
      <c r="D631">
        <v>108.61625050000001</v>
      </c>
      <c r="E631">
        <v>2.5703156589999998</v>
      </c>
      <c r="F631">
        <v>0.32009607699999998</v>
      </c>
      <c r="G631">
        <v>72.989622609999998</v>
      </c>
      <c r="H631">
        <v>42.257942180000001</v>
      </c>
      <c r="I631">
        <v>11.53557249</v>
      </c>
      <c r="J631">
        <v>17.990090460000001</v>
      </c>
      <c r="K631">
        <v>18.763000000000002</v>
      </c>
      <c r="L631">
        <v>18.68</v>
      </c>
      <c r="M631">
        <v>43.424002080000001</v>
      </c>
      <c r="N631">
        <v>22.960019769999999</v>
      </c>
      <c r="O631">
        <v>0.124535707</v>
      </c>
      <c r="P631">
        <v>65.233000000000004</v>
      </c>
      <c r="Q631">
        <v>55.999000000000002</v>
      </c>
      <c r="R631">
        <v>3.077</v>
      </c>
      <c r="S631">
        <v>0</v>
      </c>
      <c r="T631">
        <v>33.076999999999998</v>
      </c>
      <c r="U631">
        <v>0.27600000000000002</v>
      </c>
      <c r="V631" s="1" t="str">
        <f>IF(Energy_data_1990___2020[[#This Row],[CO2 emissions from fuel combustion (MtCO2)]]&gt;Energy_data_1990___2020[[#Totals],[CO2 emissions from fuel combustion (MtCO2)]],"Above Average","")</f>
        <v/>
      </c>
      <c r="W631" s="1">
        <f>SUM(Energy_data_1990___2020[[#This Row],[Coal and lignite production (Mt)]]-Energy_data_1990___2020[[#This Row],[Coal and lignite domestic consumption (Mt)]])</f>
        <v>-2.8010000000000002</v>
      </c>
    </row>
    <row r="632" spans="1:23">
      <c r="A632" t="s">
        <v>49</v>
      </c>
      <c r="B632">
        <v>2000</v>
      </c>
      <c r="C632" t="s">
        <v>28</v>
      </c>
      <c r="D632">
        <v>117.99481369999999</v>
      </c>
      <c r="E632">
        <v>2.4346230050000002</v>
      </c>
      <c r="F632">
        <v>0.31943658200000002</v>
      </c>
      <c r="G632">
        <v>77.12533372</v>
      </c>
      <c r="H632">
        <v>48.465332619999998</v>
      </c>
      <c r="I632">
        <v>10.05847953</v>
      </c>
      <c r="J632">
        <v>18.076908979999999</v>
      </c>
      <c r="K632">
        <v>19.015000000000001</v>
      </c>
      <c r="L632">
        <v>21.814</v>
      </c>
      <c r="M632">
        <v>50.443982439999999</v>
      </c>
      <c r="N632">
        <v>27.27199766</v>
      </c>
      <c r="O632">
        <v>0.131205768</v>
      </c>
      <c r="P632">
        <v>69.254999999999995</v>
      </c>
      <c r="Q632">
        <v>61.204999999999998</v>
      </c>
      <c r="R632">
        <v>3.9430000000000001</v>
      </c>
      <c r="S632">
        <v>0</v>
      </c>
      <c r="T632">
        <v>31.318999999999999</v>
      </c>
      <c r="U632">
        <v>0.38400000000000001</v>
      </c>
      <c r="V632" s="1" t="str">
        <f>IF(Energy_data_1990___2020[[#This Row],[CO2 emissions from fuel combustion (MtCO2)]]&gt;Energy_data_1990___2020[[#Totals],[CO2 emissions from fuel combustion (MtCO2)]],"Above Average","")</f>
        <v/>
      </c>
      <c r="W632" s="1">
        <f>SUM(Energy_data_1990___2020[[#This Row],[Coal and lignite production (Mt)]]-Energy_data_1990___2020[[#This Row],[Coal and lignite domestic consumption (Mt)]])</f>
        <v>-3.5590000000000002</v>
      </c>
    </row>
    <row r="633" spans="1:23">
      <c r="A633" t="s">
        <v>49</v>
      </c>
      <c r="B633">
        <v>2001</v>
      </c>
      <c r="C633" t="s">
        <v>28</v>
      </c>
      <c r="D633">
        <v>123.6005141</v>
      </c>
      <c r="E633">
        <v>2.4342199469999999</v>
      </c>
      <c r="F633">
        <v>0.33288909799999999</v>
      </c>
      <c r="G633">
        <v>78.266718769999997</v>
      </c>
      <c r="H633">
        <v>50.776230890000001</v>
      </c>
      <c r="I633">
        <v>9.9290979690000007</v>
      </c>
      <c r="J633">
        <v>18.168275269999999</v>
      </c>
      <c r="K633">
        <v>19.821999999999999</v>
      </c>
      <c r="L633">
        <v>23.448</v>
      </c>
      <c r="M633">
        <v>49.091979180000003</v>
      </c>
      <c r="N633">
        <v>28.767994089999998</v>
      </c>
      <c r="O633">
        <v>0.13675391100000001</v>
      </c>
      <c r="P633">
        <v>71.084000000000003</v>
      </c>
      <c r="Q633">
        <v>65.055999999999997</v>
      </c>
      <c r="R633">
        <v>4.7640000000000002</v>
      </c>
      <c r="S633">
        <v>0</v>
      </c>
      <c r="T633">
        <v>33.447000000000003</v>
      </c>
      <c r="U633">
        <v>0.54600000000000004</v>
      </c>
      <c r="V633" s="1" t="str">
        <f>IF(Energy_data_1990___2020[[#This Row],[CO2 emissions from fuel combustion (MtCO2)]]&gt;Energy_data_1990___2020[[#Totals],[CO2 emissions from fuel combustion (MtCO2)]],"Above Average","")</f>
        <v/>
      </c>
      <c r="W633" s="1">
        <f>SUM(Energy_data_1990___2020[[#This Row],[Coal and lignite production (Mt)]]-Energy_data_1990___2020[[#This Row],[Coal and lignite domestic consumption (Mt)]])</f>
        <v>-4.218</v>
      </c>
    </row>
    <row r="634" spans="1:23">
      <c r="A634" t="s">
        <v>49</v>
      </c>
      <c r="B634">
        <v>2002</v>
      </c>
      <c r="C634" t="s">
        <v>28</v>
      </c>
      <c r="D634">
        <v>129.85106300000001</v>
      </c>
      <c r="E634">
        <v>2.4784020889999998</v>
      </c>
      <c r="F634">
        <v>0.33183434000000001</v>
      </c>
      <c r="G634">
        <v>81.369516919999995</v>
      </c>
      <c r="H634">
        <v>52.393057460000001</v>
      </c>
      <c r="I634">
        <v>7.1448773719999998</v>
      </c>
      <c r="J634">
        <v>18.222210260000001</v>
      </c>
      <c r="K634">
        <v>20.893000000000001</v>
      </c>
      <c r="L634">
        <v>22.335000000000001</v>
      </c>
      <c r="M634">
        <v>50.634049519999998</v>
      </c>
      <c r="N634">
        <v>28.70400897</v>
      </c>
      <c r="O634">
        <v>0.133890438</v>
      </c>
      <c r="P634">
        <v>74.248999999999995</v>
      </c>
      <c r="Q634">
        <v>68.876999999999995</v>
      </c>
      <c r="R634">
        <v>5.7709999999999999</v>
      </c>
      <c r="S634">
        <v>0</v>
      </c>
      <c r="T634">
        <v>35.479999999999997</v>
      </c>
      <c r="U634">
        <v>0.35299999999999998</v>
      </c>
      <c r="V634" s="1" t="str">
        <f>IF(Energy_data_1990___2020[[#This Row],[CO2 emissions from fuel combustion (MtCO2)]]&gt;Energy_data_1990___2020[[#Totals],[CO2 emissions from fuel combustion (MtCO2)]],"Above Average","")</f>
        <v/>
      </c>
      <c r="W634" s="1">
        <f>SUM(Energy_data_1990___2020[[#This Row],[Coal and lignite production (Mt)]]-Energy_data_1990___2020[[#This Row],[Coal and lignite domestic consumption (Mt)]])</f>
        <v>-5.4180000000000001</v>
      </c>
    </row>
    <row r="635" spans="1:23">
      <c r="A635" t="s">
        <v>49</v>
      </c>
      <c r="B635">
        <v>2003</v>
      </c>
      <c r="C635" t="s">
        <v>28</v>
      </c>
      <c r="D635">
        <v>135.8937645</v>
      </c>
      <c r="E635">
        <v>2.4228369249999999</v>
      </c>
      <c r="F635">
        <v>0.32827430499999999</v>
      </c>
      <c r="G635">
        <v>84.65217869</v>
      </c>
      <c r="H635">
        <v>56.088696300000002</v>
      </c>
      <c r="I635">
        <v>6.4433088229999997</v>
      </c>
      <c r="J635">
        <v>18.712672439999999</v>
      </c>
      <c r="K635">
        <v>20.111999999999998</v>
      </c>
      <c r="L635">
        <v>22.721</v>
      </c>
      <c r="M635">
        <v>52.993956599999997</v>
      </c>
      <c r="N635">
        <v>30.266987010000001</v>
      </c>
      <c r="O635">
        <v>0.13549170499999999</v>
      </c>
      <c r="P635">
        <v>78.468999999999994</v>
      </c>
      <c r="Q635">
        <v>73.42</v>
      </c>
      <c r="R635">
        <v>8.4329999999999998</v>
      </c>
      <c r="S635">
        <v>0</v>
      </c>
      <c r="T635">
        <v>36.938000000000002</v>
      </c>
      <c r="U635">
        <v>0.17499999999999999</v>
      </c>
      <c r="V635" s="1" t="str">
        <f>IF(Energy_data_1990___2020[[#This Row],[CO2 emissions from fuel combustion (MtCO2)]]&gt;Energy_data_1990___2020[[#Totals],[CO2 emissions from fuel combustion (MtCO2)]],"Above Average","")</f>
        <v/>
      </c>
      <c r="W635" s="1">
        <f>SUM(Energy_data_1990___2020[[#This Row],[Coal and lignite production (Mt)]]-Energy_data_1990___2020[[#This Row],[Coal and lignite domestic consumption (Mt)]])</f>
        <v>-8.2579999999999991</v>
      </c>
    </row>
    <row r="636" spans="1:23">
      <c r="A636" t="s">
        <v>49</v>
      </c>
      <c r="B636">
        <v>2004</v>
      </c>
      <c r="C636" t="s">
        <v>28</v>
      </c>
      <c r="D636">
        <v>149.4419542</v>
      </c>
      <c r="E636">
        <v>2.4735097349999999</v>
      </c>
      <c r="F636">
        <v>0.33806950800000002</v>
      </c>
      <c r="G636">
        <v>91.989844140000002</v>
      </c>
      <c r="H636">
        <v>60.416966250000002</v>
      </c>
      <c r="I636">
        <v>7.0864323560000004</v>
      </c>
      <c r="J636">
        <v>18.29699681</v>
      </c>
      <c r="K636">
        <v>21.449000000000002</v>
      </c>
      <c r="L636">
        <v>22.893999999999998</v>
      </c>
      <c r="M636">
        <v>60.457027259999997</v>
      </c>
      <c r="N636">
        <v>32.413010300000003</v>
      </c>
      <c r="O636">
        <v>0.136676037</v>
      </c>
      <c r="P636">
        <v>82.284000000000006</v>
      </c>
      <c r="Q636">
        <v>77.251999999999995</v>
      </c>
      <c r="R636">
        <v>10.518000000000001</v>
      </c>
      <c r="S636">
        <v>0</v>
      </c>
      <c r="T636">
        <v>37.737000000000002</v>
      </c>
      <c r="U636">
        <v>0.38900000000000001</v>
      </c>
      <c r="V636" s="1" t="str">
        <f>IF(Energy_data_1990___2020[[#This Row],[CO2 emissions from fuel combustion (MtCO2)]]&gt;Energy_data_1990___2020[[#Totals],[CO2 emissions from fuel combustion (MtCO2)]],"Above Average","")</f>
        <v/>
      </c>
      <c r="W636" s="1">
        <f>SUM(Energy_data_1990___2020[[#This Row],[Coal and lignite production (Mt)]]-Energy_data_1990___2020[[#This Row],[Coal and lignite domestic consumption (Mt)]])</f>
        <v>-10.129000000000001</v>
      </c>
    </row>
    <row r="637" spans="1:23">
      <c r="A637" t="s">
        <v>49</v>
      </c>
      <c r="B637">
        <v>2005</v>
      </c>
      <c r="C637" t="s">
        <v>28</v>
      </c>
      <c r="D637">
        <v>158.76113530000001</v>
      </c>
      <c r="E637">
        <v>2.4064361170000002</v>
      </c>
      <c r="F637">
        <v>0.34097045999999998</v>
      </c>
      <c r="G637">
        <v>95.823073390000005</v>
      </c>
      <c r="H637">
        <v>65.973550739999993</v>
      </c>
      <c r="I637">
        <v>6.28016402</v>
      </c>
      <c r="J637">
        <v>18.62176169</v>
      </c>
      <c r="K637">
        <v>21.495999999999999</v>
      </c>
      <c r="L637">
        <v>22.617000000000001</v>
      </c>
      <c r="M637">
        <v>65.628016000000002</v>
      </c>
      <c r="N637">
        <v>37.10398859</v>
      </c>
      <c r="O637">
        <v>0.14169105000000001</v>
      </c>
      <c r="P637">
        <v>82.673000000000002</v>
      </c>
      <c r="Q637">
        <v>80.754999999999995</v>
      </c>
      <c r="R637">
        <v>10.920999999999999</v>
      </c>
      <c r="S637">
        <v>1.4067859999999999E-3</v>
      </c>
      <c r="T637">
        <v>37.073</v>
      </c>
      <c r="U637">
        <v>0.78800000000000003</v>
      </c>
      <c r="V637" s="1" t="str">
        <f>IF(Energy_data_1990___2020[[#This Row],[CO2 emissions from fuel combustion (MtCO2)]]&gt;Energy_data_1990___2020[[#Totals],[CO2 emissions from fuel combustion (MtCO2)]],"Above Average","")</f>
        <v/>
      </c>
      <c r="W637" s="1">
        <f>SUM(Energy_data_1990___2020[[#This Row],[Coal and lignite production (Mt)]]-Energy_data_1990___2020[[#This Row],[Coal and lignite domestic consumption (Mt)]])</f>
        <v>-10.132999999999999</v>
      </c>
    </row>
    <row r="638" spans="1:23">
      <c r="A638" t="s">
        <v>49</v>
      </c>
      <c r="B638">
        <v>2006</v>
      </c>
      <c r="C638" t="s">
        <v>28</v>
      </c>
      <c r="D638">
        <v>165.68399260000001</v>
      </c>
      <c r="E638">
        <v>2.4979299300000002</v>
      </c>
      <c r="F638">
        <v>0.33701677299999999</v>
      </c>
      <c r="G638">
        <v>93.245656760000003</v>
      </c>
      <c r="H638">
        <v>66.328518919999993</v>
      </c>
      <c r="I638">
        <v>7.1724368250000001</v>
      </c>
      <c r="J638">
        <v>18.547854749999999</v>
      </c>
      <c r="K638">
        <v>21.637</v>
      </c>
      <c r="L638">
        <v>24.33</v>
      </c>
      <c r="M638">
        <v>64.695930880000006</v>
      </c>
      <c r="N638">
        <v>39.404949960000003</v>
      </c>
      <c r="O638">
        <v>0.13491842500000001</v>
      </c>
      <c r="P638">
        <v>89.83</v>
      </c>
      <c r="Q638">
        <v>84.572999999999993</v>
      </c>
      <c r="R638">
        <v>11.22</v>
      </c>
      <c r="S638">
        <v>1.346819E-3</v>
      </c>
      <c r="T638">
        <v>35.173000000000002</v>
      </c>
      <c r="U638">
        <v>0.90100000000000002</v>
      </c>
      <c r="V638" s="1" t="str">
        <f>IF(Energy_data_1990___2020[[#This Row],[CO2 emissions from fuel combustion (MtCO2)]]&gt;Energy_data_1990___2020[[#Totals],[CO2 emissions from fuel combustion (MtCO2)]],"Above Average","")</f>
        <v/>
      </c>
      <c r="W638" s="1">
        <f>SUM(Energy_data_1990___2020[[#This Row],[Coal and lignite production (Mt)]]-Energy_data_1990___2020[[#This Row],[Coal and lignite domestic consumption (Mt)]])</f>
        <v>-10.319000000000001</v>
      </c>
    </row>
    <row r="639" spans="1:23">
      <c r="A639" t="s">
        <v>49</v>
      </c>
      <c r="B639">
        <v>2007</v>
      </c>
      <c r="C639" t="s">
        <v>28</v>
      </c>
      <c r="D639">
        <v>184.24990819999999</v>
      </c>
      <c r="E639">
        <v>2.5410469089999999</v>
      </c>
      <c r="F639">
        <v>0.35257372100000001</v>
      </c>
      <c r="G639">
        <v>93.017486649999995</v>
      </c>
      <c r="H639">
        <v>72.509447780000002</v>
      </c>
      <c r="I639">
        <v>6.6563435740000001</v>
      </c>
      <c r="J639">
        <v>17.25871583</v>
      </c>
      <c r="K639">
        <v>25.19</v>
      </c>
      <c r="L639">
        <v>26.526</v>
      </c>
      <c r="M639">
        <v>64.361039419999997</v>
      </c>
      <c r="N639">
        <v>40.723019260000001</v>
      </c>
      <c r="O639">
        <v>0.13875136299999999</v>
      </c>
      <c r="P639">
        <v>97.516000000000005</v>
      </c>
      <c r="Q639">
        <v>89.358000000000004</v>
      </c>
      <c r="R639">
        <v>14.023</v>
      </c>
      <c r="S639">
        <v>1.2743889999999999E-3</v>
      </c>
      <c r="T639">
        <v>35.122</v>
      </c>
      <c r="U639">
        <v>1.075</v>
      </c>
      <c r="V639" s="1" t="str">
        <f>IF(Energy_data_1990___2020[[#This Row],[CO2 emissions from fuel combustion (MtCO2)]]&gt;Energy_data_1990___2020[[#Totals],[CO2 emissions from fuel combustion (MtCO2)]],"Above Average","")</f>
        <v/>
      </c>
      <c r="W639" s="1">
        <f>SUM(Energy_data_1990___2020[[#This Row],[Coal and lignite production (Mt)]]-Energy_data_1990___2020[[#This Row],[Coal and lignite domestic consumption (Mt)]])</f>
        <v>-12.948</v>
      </c>
    </row>
    <row r="640" spans="1:23">
      <c r="A640" t="s">
        <v>49</v>
      </c>
      <c r="B640">
        <v>2008</v>
      </c>
      <c r="C640" t="s">
        <v>28</v>
      </c>
      <c r="D640">
        <v>194.8861952</v>
      </c>
      <c r="E640">
        <v>2.571281113</v>
      </c>
      <c r="F640">
        <v>0.35573845799999998</v>
      </c>
      <c r="G640">
        <v>96.19565652</v>
      </c>
      <c r="H640">
        <v>75.79342226</v>
      </c>
      <c r="I640">
        <v>7.6287563519999999</v>
      </c>
      <c r="J640">
        <v>17.929932820000001</v>
      </c>
      <c r="K640">
        <v>24.451000000000001</v>
      </c>
      <c r="L640">
        <v>27.398</v>
      </c>
      <c r="M640">
        <v>67.652004649999995</v>
      </c>
      <c r="N640">
        <v>45.274018320000003</v>
      </c>
      <c r="O640">
        <v>0.13835066700000001</v>
      </c>
      <c r="P640">
        <v>97.801000000000002</v>
      </c>
      <c r="Q640">
        <v>92.881</v>
      </c>
      <c r="R640">
        <v>15.516999999999999</v>
      </c>
      <c r="S640">
        <v>1.215303E-3</v>
      </c>
      <c r="T640">
        <v>35.237000000000002</v>
      </c>
      <c r="U640">
        <v>1.254</v>
      </c>
      <c r="V640" s="1" t="str">
        <f>IF(Energy_data_1990___2020[[#This Row],[CO2 emissions from fuel combustion (MtCO2)]]&gt;Energy_data_1990___2020[[#Totals],[CO2 emissions from fuel combustion (MtCO2)]],"Above Average","")</f>
        <v/>
      </c>
      <c r="W640" s="1">
        <f>SUM(Energy_data_1990___2020[[#This Row],[Coal and lignite production (Mt)]]-Energy_data_1990___2020[[#This Row],[Coal and lignite domestic consumption (Mt)]])</f>
        <v>-14.263</v>
      </c>
    </row>
    <row r="641" spans="1:23">
      <c r="A641" t="s">
        <v>49</v>
      </c>
      <c r="B641">
        <v>2009</v>
      </c>
      <c r="C641" t="s">
        <v>28</v>
      </c>
      <c r="D641">
        <v>176.6580147</v>
      </c>
      <c r="E641">
        <v>2.4574544070000002</v>
      </c>
      <c r="F641">
        <v>0.32742098400000003</v>
      </c>
      <c r="G641">
        <v>89.640284199999996</v>
      </c>
      <c r="H641">
        <v>71.886588869999997</v>
      </c>
      <c r="I641">
        <v>7.0058532969999998</v>
      </c>
      <c r="J641">
        <v>20.720606849999999</v>
      </c>
      <c r="K641">
        <v>25.739000000000001</v>
      </c>
      <c r="L641">
        <v>25.696000000000002</v>
      </c>
      <c r="M641">
        <v>61.583003810000001</v>
      </c>
      <c r="N641">
        <v>37.719024689999998</v>
      </c>
      <c r="O641">
        <v>0.133235833</v>
      </c>
      <c r="P641">
        <v>116.003</v>
      </c>
      <c r="Q641">
        <v>102.92</v>
      </c>
      <c r="R641">
        <v>16.585999999999999</v>
      </c>
      <c r="S641">
        <v>1.209585E-3</v>
      </c>
      <c r="T641">
        <v>33.441000000000003</v>
      </c>
      <c r="U641">
        <v>2.1379999999999999</v>
      </c>
      <c r="V641" s="1" t="str">
        <f>IF(Energy_data_1990___2020[[#This Row],[CO2 emissions from fuel combustion (MtCO2)]]&gt;Energy_data_1990___2020[[#Totals],[CO2 emissions from fuel combustion (MtCO2)]],"Above Average","")</f>
        <v/>
      </c>
      <c r="W641" s="1">
        <f>SUM(Energy_data_1990___2020[[#This Row],[Coal and lignite production (Mt)]]-Energy_data_1990___2020[[#This Row],[Coal and lignite domestic consumption (Mt)]])</f>
        <v>-14.447999999999999</v>
      </c>
    </row>
    <row r="642" spans="1:23">
      <c r="A642" t="s">
        <v>49</v>
      </c>
      <c r="B642">
        <v>2010</v>
      </c>
      <c r="C642" t="s">
        <v>28</v>
      </c>
      <c r="D642">
        <v>193.74796449999999</v>
      </c>
      <c r="E642">
        <v>2.6403059280000001</v>
      </c>
      <c r="F642">
        <v>0.33427628500000001</v>
      </c>
      <c r="G642">
        <v>89.283921649999996</v>
      </c>
      <c r="H642">
        <v>73.380876990000004</v>
      </c>
      <c r="I642">
        <v>5.992659433</v>
      </c>
      <c r="J642">
        <v>22.838423980000002</v>
      </c>
      <c r="K642">
        <v>24.04</v>
      </c>
      <c r="L642">
        <v>23.187999999999999</v>
      </c>
      <c r="M642">
        <v>60.459047050000002</v>
      </c>
      <c r="N642">
        <v>36.761990179999998</v>
      </c>
      <c r="O642">
        <v>0.12660513400000001</v>
      </c>
      <c r="P642">
        <v>124.786</v>
      </c>
      <c r="Q642">
        <v>110.85299999999999</v>
      </c>
      <c r="R642">
        <v>23.440999999999999</v>
      </c>
      <c r="S642">
        <v>1.113214E-3</v>
      </c>
      <c r="T642">
        <v>34.073999999999998</v>
      </c>
      <c r="U642">
        <v>2.3969999999999998</v>
      </c>
      <c r="V642" s="1" t="str">
        <f>IF(Energy_data_1990___2020[[#This Row],[CO2 emissions from fuel combustion (MtCO2)]]&gt;Energy_data_1990___2020[[#Totals],[CO2 emissions from fuel combustion (MtCO2)]],"Above Average","")</f>
        <v/>
      </c>
      <c r="W642" s="1">
        <f>SUM(Energy_data_1990___2020[[#This Row],[Coal and lignite production (Mt)]]-Energy_data_1990___2020[[#This Row],[Coal and lignite domestic consumption (Mt)]])</f>
        <v>-21.044</v>
      </c>
    </row>
    <row r="643" spans="1:23">
      <c r="A643" t="s">
        <v>49</v>
      </c>
      <c r="B643">
        <v>2011</v>
      </c>
      <c r="C643" t="s">
        <v>28</v>
      </c>
      <c r="D643">
        <v>199.36003769999999</v>
      </c>
      <c r="E643">
        <v>2.6181583060000002</v>
      </c>
      <c r="F643">
        <v>0.32666549299999997</v>
      </c>
      <c r="G643">
        <v>87.398310839999994</v>
      </c>
      <c r="H643">
        <v>76.145142649999997</v>
      </c>
      <c r="I643">
        <v>6.7201410859999999</v>
      </c>
      <c r="J643">
        <v>21.99030509</v>
      </c>
      <c r="K643">
        <v>26.527999999999999</v>
      </c>
      <c r="L643">
        <v>25.626999999999999</v>
      </c>
      <c r="M643">
        <v>62.441991710000003</v>
      </c>
      <c r="N643">
        <v>37.267999869999997</v>
      </c>
      <c r="O643">
        <v>0.124769191</v>
      </c>
      <c r="P643">
        <v>129.28299999999999</v>
      </c>
      <c r="Q643">
        <v>111.852</v>
      </c>
      <c r="R643">
        <v>23.431999999999999</v>
      </c>
      <c r="S643">
        <v>1.0254730000000001E-3</v>
      </c>
      <c r="T643">
        <v>30.175999999999998</v>
      </c>
      <c r="U643">
        <v>2.9159999999999999</v>
      </c>
      <c r="V643" s="1" t="str">
        <f>IF(Energy_data_1990___2020[[#This Row],[CO2 emissions from fuel combustion (MtCO2)]]&gt;Energy_data_1990___2020[[#Totals],[CO2 emissions from fuel combustion (MtCO2)]],"Above Average","")</f>
        <v/>
      </c>
      <c r="W643" s="1">
        <f>SUM(Energy_data_1990___2020[[#This Row],[Coal and lignite production (Mt)]]-Energy_data_1990___2020[[#This Row],[Coal and lignite domestic consumption (Mt)]])</f>
        <v>-20.515999999999998</v>
      </c>
    </row>
    <row r="644" spans="1:23">
      <c r="A644" t="s">
        <v>49</v>
      </c>
      <c r="B644">
        <v>2012</v>
      </c>
      <c r="C644" t="s">
        <v>28</v>
      </c>
      <c r="D644">
        <v>202.5081175</v>
      </c>
      <c r="E644">
        <v>2.6144804399999999</v>
      </c>
      <c r="F644">
        <v>0.31460413100000001</v>
      </c>
      <c r="G644">
        <v>86.755717239999996</v>
      </c>
      <c r="H644">
        <v>77.456352109999997</v>
      </c>
      <c r="I644">
        <v>7.3834842719999996</v>
      </c>
      <c r="J644">
        <v>22.24996076</v>
      </c>
      <c r="K644">
        <v>24.832999999999998</v>
      </c>
      <c r="L644">
        <v>27.495000000000001</v>
      </c>
      <c r="M644">
        <v>60.994007519999997</v>
      </c>
      <c r="N644">
        <v>38.148953079999998</v>
      </c>
      <c r="O644">
        <v>0.120331415</v>
      </c>
      <c r="P644">
        <v>134.381</v>
      </c>
      <c r="Q644">
        <v>120.63800000000001</v>
      </c>
      <c r="R644">
        <v>25.193000000000001</v>
      </c>
      <c r="S644">
        <v>3.4975183E-2</v>
      </c>
      <c r="T644">
        <v>30.712</v>
      </c>
      <c r="U644">
        <v>2.95</v>
      </c>
      <c r="V644" s="1" t="str">
        <f>IF(Energy_data_1990___2020[[#This Row],[CO2 emissions from fuel combustion (MtCO2)]]&gt;Energy_data_1990___2020[[#Totals],[CO2 emissions from fuel combustion (MtCO2)]],"Above Average","")</f>
        <v/>
      </c>
      <c r="W644" s="1">
        <f>SUM(Energy_data_1990___2020[[#This Row],[Coal and lignite production (Mt)]]-Energy_data_1990___2020[[#This Row],[Coal and lignite domestic consumption (Mt)]])</f>
        <v>-22.243000000000002</v>
      </c>
    </row>
    <row r="645" spans="1:23">
      <c r="A645" t="s">
        <v>49</v>
      </c>
      <c r="B645">
        <v>2013</v>
      </c>
      <c r="C645" t="s">
        <v>28</v>
      </c>
      <c r="D645">
        <v>221.33945449999999</v>
      </c>
      <c r="E645">
        <v>2.5371253280000001</v>
      </c>
      <c r="F645">
        <v>0.328443127</v>
      </c>
      <c r="G645">
        <v>92.399410739999993</v>
      </c>
      <c r="H645">
        <v>87.240252600000005</v>
      </c>
      <c r="I645">
        <v>8.57764478</v>
      </c>
      <c r="J645">
        <v>20.727771659999998</v>
      </c>
      <c r="K645">
        <v>28.283999999999999</v>
      </c>
      <c r="L645">
        <v>25.33</v>
      </c>
      <c r="M645">
        <v>68.960070119999997</v>
      </c>
      <c r="N645">
        <v>45.00695563</v>
      </c>
      <c r="O645">
        <v>0.12945482999999999</v>
      </c>
      <c r="P645">
        <v>138.34800000000001</v>
      </c>
      <c r="Q645">
        <v>127.377</v>
      </c>
      <c r="R645">
        <v>23.9</v>
      </c>
      <c r="S645">
        <v>0.101916905</v>
      </c>
      <c r="T645">
        <v>29.338999999999999</v>
      </c>
      <c r="U645">
        <v>2.8940000000000001</v>
      </c>
      <c r="V645" s="1" t="str">
        <f>IF(Energy_data_1990___2020[[#This Row],[CO2 emissions from fuel combustion (MtCO2)]]&gt;Energy_data_1990___2020[[#Totals],[CO2 emissions from fuel combustion (MtCO2)]],"Above Average","")</f>
        <v/>
      </c>
      <c r="W645" s="1">
        <f>SUM(Energy_data_1990___2020[[#This Row],[Coal and lignite production (Mt)]]-Energy_data_1990___2020[[#This Row],[Coal and lignite domestic consumption (Mt)]])</f>
        <v>-21.006</v>
      </c>
    </row>
    <row r="646" spans="1:23">
      <c r="A646" t="s">
        <v>49</v>
      </c>
      <c r="B646">
        <v>2014</v>
      </c>
      <c r="C646" t="s">
        <v>28</v>
      </c>
      <c r="D646">
        <v>228.32684320000001</v>
      </c>
      <c r="E646">
        <v>2.5676647639999999</v>
      </c>
      <c r="F646">
        <v>0.31961334899999999</v>
      </c>
      <c r="G646">
        <v>93.961051370000007</v>
      </c>
      <c r="H646">
        <v>88.923930580000004</v>
      </c>
      <c r="I646">
        <v>9.7078029959999999</v>
      </c>
      <c r="J646">
        <v>21.245221910000001</v>
      </c>
      <c r="K646">
        <v>29.353999999999999</v>
      </c>
      <c r="L646">
        <v>24.07</v>
      </c>
      <c r="M646">
        <v>69.735915489999996</v>
      </c>
      <c r="N646">
        <v>45.357026390000001</v>
      </c>
      <c r="O646">
        <v>0.124476277</v>
      </c>
      <c r="P646">
        <v>147.46899999999999</v>
      </c>
      <c r="Q646">
        <v>128.41900000000001</v>
      </c>
      <c r="R646">
        <v>24.36</v>
      </c>
      <c r="S646">
        <v>0.153930657</v>
      </c>
      <c r="T646">
        <v>30.218</v>
      </c>
      <c r="U646">
        <v>2.6869999999999998</v>
      </c>
      <c r="V646" s="1" t="str">
        <f>IF(Energy_data_1990___2020[[#This Row],[CO2 emissions from fuel combustion (MtCO2)]]&gt;Energy_data_1990___2020[[#Totals],[CO2 emissions from fuel combustion (MtCO2)]],"Above Average","")</f>
        <v/>
      </c>
      <c r="W646" s="1">
        <f>SUM(Energy_data_1990___2020[[#This Row],[Coal and lignite production (Mt)]]-Energy_data_1990___2020[[#This Row],[Coal and lignite domestic consumption (Mt)]])</f>
        <v>-21.672999999999998</v>
      </c>
    </row>
    <row r="647" spans="1:23">
      <c r="A647" t="s">
        <v>49</v>
      </c>
      <c r="B647">
        <v>2015</v>
      </c>
      <c r="C647" t="s">
        <v>28</v>
      </c>
      <c r="D647">
        <v>228.23492730000001</v>
      </c>
      <c r="E647">
        <v>2.6844129739999998</v>
      </c>
      <c r="F647">
        <v>0.304006163</v>
      </c>
      <c r="G647">
        <v>95.696827990000003</v>
      </c>
      <c r="H647">
        <v>85.022285870000005</v>
      </c>
      <c r="I647">
        <v>9.9571684549999997</v>
      </c>
      <c r="J647">
        <v>22.49560365</v>
      </c>
      <c r="K647">
        <v>27.173999999999999</v>
      </c>
      <c r="L647">
        <v>24.795999999999999</v>
      </c>
      <c r="M647">
        <v>68.558969660000002</v>
      </c>
      <c r="N647">
        <v>44.435003270000003</v>
      </c>
      <c r="O647">
        <v>0.113248657</v>
      </c>
      <c r="P647">
        <v>150.12299999999999</v>
      </c>
      <c r="Q647">
        <v>132.55199999999999</v>
      </c>
      <c r="R647">
        <v>27.61</v>
      </c>
      <c r="S647">
        <v>0.18185088199999999</v>
      </c>
      <c r="T647">
        <v>32.890999999999998</v>
      </c>
      <c r="U647">
        <v>2.5590000000000002</v>
      </c>
      <c r="V647" s="1" t="str">
        <f>IF(Energy_data_1990___2020[[#This Row],[CO2 emissions from fuel combustion (MtCO2)]]&gt;Energy_data_1990___2020[[#Totals],[CO2 emissions from fuel combustion (MtCO2)]],"Above Average","")</f>
        <v/>
      </c>
      <c r="W647" s="1">
        <f>SUM(Energy_data_1990___2020[[#This Row],[Coal and lignite production (Mt)]]-Energy_data_1990___2020[[#This Row],[Coal and lignite domestic consumption (Mt)]])</f>
        <v>-25.050999999999998</v>
      </c>
    </row>
    <row r="648" spans="1:23">
      <c r="A648" t="s">
        <v>49</v>
      </c>
      <c r="B648">
        <v>2016</v>
      </c>
      <c r="C648" t="s">
        <v>28</v>
      </c>
      <c r="D648">
        <v>227.5047194</v>
      </c>
      <c r="E648">
        <v>2.574864034</v>
      </c>
      <c r="F648">
        <v>0.29012373699999999</v>
      </c>
      <c r="G648">
        <v>97.058415100000005</v>
      </c>
      <c r="H648">
        <v>88.356012730000003</v>
      </c>
      <c r="I648">
        <v>13.461636670000001</v>
      </c>
      <c r="J648">
        <v>22.46878787</v>
      </c>
      <c r="K648">
        <v>27.777999999999999</v>
      </c>
      <c r="L648">
        <v>26.146000000000001</v>
      </c>
      <c r="M648">
        <v>67.830976590000006</v>
      </c>
      <c r="N648">
        <v>42.311962880000003</v>
      </c>
      <c r="O648">
        <v>0.112675362</v>
      </c>
      <c r="P648">
        <v>156.66</v>
      </c>
      <c r="Q648">
        <v>144.12100000000001</v>
      </c>
      <c r="R648">
        <v>29.957999999999998</v>
      </c>
      <c r="S648">
        <v>0.19788076099999999</v>
      </c>
      <c r="T648">
        <v>34.591999999999999</v>
      </c>
      <c r="U648">
        <v>2.2589999999999999</v>
      </c>
      <c r="V648" s="1" t="str">
        <f>IF(Energy_data_1990___2020[[#This Row],[CO2 emissions from fuel combustion (MtCO2)]]&gt;Energy_data_1990___2020[[#Totals],[CO2 emissions from fuel combustion (MtCO2)]],"Above Average","")</f>
        <v/>
      </c>
      <c r="W648" s="1">
        <f>SUM(Energy_data_1990___2020[[#This Row],[Coal and lignite production (Mt)]]-Energy_data_1990___2020[[#This Row],[Coal and lignite domestic consumption (Mt)]])</f>
        <v>-27.698999999999998</v>
      </c>
    </row>
    <row r="649" spans="1:23">
      <c r="A649" t="s">
        <v>49</v>
      </c>
      <c r="B649">
        <v>2017</v>
      </c>
      <c r="C649" t="s">
        <v>28</v>
      </c>
      <c r="D649">
        <v>227.8791435</v>
      </c>
      <c r="E649">
        <v>2.6728493310000001</v>
      </c>
      <c r="F649">
        <v>0.27482143999999997</v>
      </c>
      <c r="G649">
        <v>96.3965733</v>
      </c>
      <c r="H649">
        <v>85.257010510000001</v>
      </c>
      <c r="I649">
        <v>16.865382589999999</v>
      </c>
      <c r="J649">
        <v>20.841636260000001</v>
      </c>
      <c r="K649">
        <v>28.430689999999998</v>
      </c>
      <c r="L649">
        <v>28.314198999999999</v>
      </c>
      <c r="M649">
        <v>66.482914899999997</v>
      </c>
      <c r="N649">
        <v>38.12975574</v>
      </c>
      <c r="O649">
        <v>0.102819653</v>
      </c>
      <c r="P649">
        <v>164.50233399999999</v>
      </c>
      <c r="Q649">
        <v>146.617694</v>
      </c>
      <c r="R649">
        <v>32.947907999999998</v>
      </c>
      <c r="S649">
        <v>0.200622685</v>
      </c>
      <c r="T649">
        <v>34.062080000000002</v>
      </c>
      <c r="U649">
        <v>2.9890129999999999</v>
      </c>
      <c r="V649" s="1" t="str">
        <f>IF(Energy_data_1990___2020[[#This Row],[CO2 emissions from fuel combustion (MtCO2)]]&gt;Energy_data_1990___2020[[#Totals],[CO2 emissions from fuel combustion (MtCO2)]],"Above Average","")</f>
        <v/>
      </c>
      <c r="W649" s="1">
        <f>SUM(Energy_data_1990___2020[[#This Row],[Coal and lignite production (Mt)]]-Energy_data_1990___2020[[#This Row],[Coal and lignite domestic consumption (Mt)]])</f>
        <v>-29.958894999999998</v>
      </c>
    </row>
    <row r="650" spans="1:23">
      <c r="A650" t="s">
        <v>49</v>
      </c>
      <c r="B650">
        <v>2018</v>
      </c>
      <c r="C650" t="s">
        <v>28</v>
      </c>
      <c r="D650">
        <v>246.2078257</v>
      </c>
      <c r="E650">
        <v>2.6193265370000001</v>
      </c>
      <c r="F650">
        <v>0.28348406700000001</v>
      </c>
      <c r="G650">
        <v>98.809254179999996</v>
      </c>
      <c r="H650">
        <v>93.996614120000004</v>
      </c>
      <c r="I650">
        <v>16.571801260000001</v>
      </c>
      <c r="J650">
        <v>21.038007310000001</v>
      </c>
      <c r="K650">
        <v>27.726358999999999</v>
      </c>
      <c r="L650">
        <v>25.964880000000001</v>
      </c>
      <c r="M650">
        <v>70.113412650000001</v>
      </c>
      <c r="N650">
        <v>45.906917350000001</v>
      </c>
      <c r="O650">
        <v>0.108227845</v>
      </c>
      <c r="P650">
        <v>170.46941100000001</v>
      </c>
      <c r="Q650">
        <v>152.96812700000001</v>
      </c>
      <c r="R650">
        <v>35.342641</v>
      </c>
      <c r="S650">
        <v>0.33635008</v>
      </c>
      <c r="T650">
        <v>33.337795</v>
      </c>
      <c r="U650">
        <v>2.6528580000000002</v>
      </c>
      <c r="V650" s="1" t="str">
        <f>IF(Energy_data_1990___2020[[#This Row],[CO2 emissions from fuel combustion (MtCO2)]]&gt;Energy_data_1990___2020[[#Totals],[CO2 emissions from fuel combustion (MtCO2)]],"Above Average","")</f>
        <v/>
      </c>
      <c r="W650" s="1">
        <f>SUM(Energy_data_1990___2020[[#This Row],[Coal and lignite production (Mt)]]-Energy_data_1990___2020[[#This Row],[Coal and lignite domestic consumption (Mt)]])</f>
        <v>-32.689782999999998</v>
      </c>
    </row>
    <row r="651" spans="1:23">
      <c r="A651" t="s">
        <v>49</v>
      </c>
      <c r="B651">
        <v>2019</v>
      </c>
      <c r="C651" t="s">
        <v>28</v>
      </c>
      <c r="D651">
        <v>252.16744389999999</v>
      </c>
      <c r="E651">
        <v>2.6231222320000001</v>
      </c>
      <c r="F651">
        <v>0.27836781399999999</v>
      </c>
      <c r="G651">
        <v>97.327492849999999</v>
      </c>
      <c r="H651">
        <v>96.132555640000007</v>
      </c>
      <c r="I651">
        <v>16.04431005</v>
      </c>
      <c r="J651">
        <v>21.25799889</v>
      </c>
      <c r="K651">
        <v>28.274868390000002</v>
      </c>
      <c r="L651">
        <v>26.522883010000001</v>
      </c>
      <c r="M651">
        <v>70.925451820000006</v>
      </c>
      <c r="N651">
        <v>47.145996169999997</v>
      </c>
      <c r="O651">
        <v>0.106120794</v>
      </c>
      <c r="P651">
        <v>175.62210189999999</v>
      </c>
      <c r="Q651">
        <v>157.74932290000001</v>
      </c>
      <c r="R651">
        <v>36.138726669999997</v>
      </c>
      <c r="S651">
        <v>0.53722702600000005</v>
      </c>
      <c r="T651">
        <v>30.734433979999999</v>
      </c>
      <c r="U651">
        <v>3.4591786770000001</v>
      </c>
      <c r="V651" s="1" t="str">
        <f>IF(Energy_data_1990___2020[[#This Row],[CO2 emissions from fuel combustion (MtCO2)]]&gt;Energy_data_1990___2020[[#Totals],[CO2 emissions from fuel combustion (MtCO2)]],"Above Average","")</f>
        <v/>
      </c>
      <c r="W651" s="1">
        <f>SUM(Energy_data_1990___2020[[#This Row],[Coal and lignite production (Mt)]]-Energy_data_1990___2020[[#This Row],[Coal and lignite domestic consumption (Mt)]])</f>
        <v>-32.679547993</v>
      </c>
    </row>
    <row r="652" spans="1:23">
      <c r="A652" t="s">
        <v>49</v>
      </c>
      <c r="B652">
        <v>2020</v>
      </c>
      <c r="C652" t="s">
        <v>28</v>
      </c>
      <c r="D652">
        <v>233.4943912</v>
      </c>
      <c r="E652">
        <v>2.6503819559999999</v>
      </c>
      <c r="F652">
        <v>0.27362486000000003</v>
      </c>
      <c r="G652">
        <v>88.877426979999996</v>
      </c>
      <c r="H652">
        <v>88.098393020000003</v>
      </c>
      <c r="I652">
        <v>17.150131500000001</v>
      </c>
      <c r="J652">
        <v>22.674398029999999</v>
      </c>
      <c r="K652">
        <v>22.8709162</v>
      </c>
      <c r="L652">
        <v>22.27838423</v>
      </c>
      <c r="M652">
        <v>65.124152659999993</v>
      </c>
      <c r="N652">
        <v>43.422405449999999</v>
      </c>
      <c r="O652">
        <v>0.103239784</v>
      </c>
      <c r="P652">
        <v>168.13087279999999</v>
      </c>
      <c r="Q652">
        <v>150.3547184</v>
      </c>
      <c r="R652">
        <v>37.333089639999997</v>
      </c>
      <c r="S652">
        <v>0.92339726499999997</v>
      </c>
      <c r="T652">
        <v>27.51428305</v>
      </c>
      <c r="U652">
        <v>2.9782985200000001</v>
      </c>
      <c r="V652" s="1" t="str">
        <f>IF(Energy_data_1990___2020[[#This Row],[CO2 emissions from fuel combustion (MtCO2)]]&gt;Energy_data_1990___2020[[#Totals],[CO2 emissions from fuel combustion (MtCO2)]],"Above Average","")</f>
        <v/>
      </c>
      <c r="W652" s="1">
        <f>SUM(Energy_data_1990___2020[[#This Row],[Coal and lignite production (Mt)]]-Energy_data_1990___2020[[#This Row],[Coal and lignite domestic consumption (Mt)]])</f>
        <v>-34.354791119999994</v>
      </c>
    </row>
    <row r="653" spans="1:23">
      <c r="A653" t="s">
        <v>50</v>
      </c>
      <c r="B653">
        <v>1990</v>
      </c>
      <c r="C653" t="s">
        <v>26</v>
      </c>
      <c r="D653">
        <v>264.6537022</v>
      </c>
      <c r="E653">
        <v>2.1397182199999998</v>
      </c>
      <c r="F653">
        <v>0.222142281</v>
      </c>
      <c r="G653">
        <v>195.538118</v>
      </c>
      <c r="H653">
        <v>123.6862404</v>
      </c>
      <c r="I653">
        <v>24.69331906</v>
      </c>
      <c r="J653">
        <v>10.231723369999999</v>
      </c>
      <c r="K653">
        <v>68.599999999999994</v>
      </c>
      <c r="L653">
        <v>72.168999999999997</v>
      </c>
      <c r="M653">
        <v>25.578989839999998</v>
      </c>
      <c r="N653">
        <v>25.99602299</v>
      </c>
      <c r="O653">
        <v>0.10381847399999999</v>
      </c>
      <c r="P653">
        <v>115.837</v>
      </c>
      <c r="Q653">
        <v>100.194</v>
      </c>
      <c r="R653">
        <v>7.4960000000000004</v>
      </c>
      <c r="S653">
        <v>4.4251836630000003</v>
      </c>
      <c r="T653">
        <v>150.77600000000001</v>
      </c>
      <c r="U653">
        <v>6.9329999999999998</v>
      </c>
      <c r="V653" s="1" t="str">
        <f>IF(Energy_data_1990___2020[[#This Row],[CO2 emissions from fuel combustion (MtCO2)]]&gt;Energy_data_1990___2020[[#Totals],[CO2 emissions from fuel combustion (MtCO2)]],"Above Average","")</f>
        <v/>
      </c>
      <c r="W653" s="1">
        <f>SUM(Energy_data_1990___2020[[#This Row],[Coal and lignite production (Mt)]]-Energy_data_1990___2020[[#This Row],[Coal and lignite domestic consumption (Mt)]])</f>
        <v>-0.56300000000000061</v>
      </c>
    </row>
    <row r="654" spans="1:23">
      <c r="A654" t="s">
        <v>50</v>
      </c>
      <c r="B654">
        <v>1991</v>
      </c>
      <c r="C654" t="s">
        <v>26</v>
      </c>
      <c r="D654">
        <v>284.0446973</v>
      </c>
      <c r="E654">
        <v>2.1873244889999999</v>
      </c>
      <c r="F654">
        <v>0.22877613999999999</v>
      </c>
      <c r="G654">
        <v>204.01854180000001</v>
      </c>
      <c r="H654">
        <v>129.85942349999999</v>
      </c>
      <c r="I654">
        <v>22.388930370000001</v>
      </c>
      <c r="J654">
        <v>9.8266809839999993</v>
      </c>
      <c r="K654">
        <v>74.007999999999996</v>
      </c>
      <c r="L654">
        <v>74.498999999999995</v>
      </c>
      <c r="M654">
        <v>25.45901911</v>
      </c>
      <c r="N654">
        <v>27.70400412</v>
      </c>
      <c r="O654">
        <v>0.10459177</v>
      </c>
      <c r="P654">
        <v>128.56800000000001</v>
      </c>
      <c r="Q654">
        <v>102.532</v>
      </c>
      <c r="R654">
        <v>7.4020000000000001</v>
      </c>
      <c r="S654">
        <v>4.2296683469999996</v>
      </c>
      <c r="T654">
        <v>157.982</v>
      </c>
      <c r="U654">
        <v>6.4630000000000001</v>
      </c>
      <c r="V654" s="1" t="str">
        <f>IF(Energy_data_1990___2020[[#This Row],[CO2 emissions from fuel combustion (MtCO2)]]&gt;Energy_data_1990___2020[[#Totals],[CO2 emissions from fuel combustion (MtCO2)]],"Above Average","")</f>
        <v/>
      </c>
      <c r="W654" s="1">
        <f>SUM(Energy_data_1990___2020[[#This Row],[Coal and lignite production (Mt)]]-Energy_data_1990___2020[[#This Row],[Coal and lignite domestic consumption (Mt)]])</f>
        <v>-0.93900000000000006</v>
      </c>
    </row>
    <row r="655" spans="1:23">
      <c r="A655" t="s">
        <v>50</v>
      </c>
      <c r="B655">
        <v>1992</v>
      </c>
      <c r="C655" t="s">
        <v>26</v>
      </c>
      <c r="D655">
        <v>286.2226708</v>
      </c>
      <c r="E655">
        <v>2.1858933710000001</v>
      </c>
      <c r="F655">
        <v>0.22264619999999999</v>
      </c>
      <c r="G655">
        <v>203.28296549999999</v>
      </c>
      <c r="H655">
        <v>130.9408201</v>
      </c>
      <c r="I655">
        <v>25.655557559999998</v>
      </c>
      <c r="J655">
        <v>10.14339711</v>
      </c>
      <c r="K655">
        <v>74.197999999999993</v>
      </c>
      <c r="L655">
        <v>74.326999999999998</v>
      </c>
      <c r="M655">
        <v>24.8800174</v>
      </c>
      <c r="N655">
        <v>28.07297969</v>
      </c>
      <c r="O655">
        <v>0.101855929</v>
      </c>
      <c r="P655">
        <v>132.864</v>
      </c>
      <c r="Q655">
        <v>106.12</v>
      </c>
      <c r="R655">
        <v>7.3491345389999996</v>
      </c>
      <c r="S655">
        <v>4.3713872829999998</v>
      </c>
      <c r="T655">
        <v>158.27600000000001</v>
      </c>
      <c r="U655">
        <v>6.1040000000000001</v>
      </c>
      <c r="V655" s="1" t="str">
        <f>IF(Energy_data_1990___2020[[#This Row],[CO2 emissions from fuel combustion (MtCO2)]]&gt;Energy_data_1990___2020[[#Totals],[CO2 emissions from fuel combustion (MtCO2)]],"Above Average","")</f>
        <v/>
      </c>
      <c r="W655" s="1">
        <f>SUM(Energy_data_1990___2020[[#This Row],[Coal and lignite production (Mt)]]-Energy_data_1990___2020[[#This Row],[Coal and lignite domestic consumption (Mt)]])</f>
        <v>-1.2451345389999995</v>
      </c>
    </row>
    <row r="656" spans="1:23">
      <c r="A656" t="s">
        <v>50</v>
      </c>
      <c r="B656">
        <v>1993</v>
      </c>
      <c r="C656" t="s">
        <v>26</v>
      </c>
      <c r="D656">
        <v>296.27252379999999</v>
      </c>
      <c r="E656">
        <v>2.2214541680000002</v>
      </c>
      <c r="F656">
        <v>0.22607528199999999</v>
      </c>
      <c r="G656">
        <v>206.52785040000001</v>
      </c>
      <c r="H656">
        <v>133.36873120000001</v>
      </c>
      <c r="I656">
        <v>25.396357420000001</v>
      </c>
      <c r="J656">
        <v>10.37721852</v>
      </c>
      <c r="K656">
        <v>77.057000000000002</v>
      </c>
      <c r="L656">
        <v>76.861999999999995</v>
      </c>
      <c r="M656">
        <v>26.14902403</v>
      </c>
      <c r="N656">
        <v>29.984962719999999</v>
      </c>
      <c r="O656">
        <v>0.101769051</v>
      </c>
      <c r="P656">
        <v>135.673</v>
      </c>
      <c r="Q656">
        <v>109.88</v>
      </c>
      <c r="R656">
        <v>8.91</v>
      </c>
      <c r="S656">
        <v>4.3354241450000002</v>
      </c>
      <c r="T656">
        <v>159.09700000000001</v>
      </c>
      <c r="U656">
        <v>6.6150000000000002</v>
      </c>
      <c r="V656" s="1" t="str">
        <f>IF(Energy_data_1990___2020[[#This Row],[CO2 emissions from fuel combustion (MtCO2)]]&gt;Energy_data_1990___2020[[#Totals],[CO2 emissions from fuel combustion (MtCO2)]],"Above Average","")</f>
        <v/>
      </c>
      <c r="W656" s="1">
        <f>SUM(Energy_data_1990___2020[[#This Row],[Coal and lignite production (Mt)]]-Energy_data_1990___2020[[#This Row],[Coal and lignite domestic consumption (Mt)]])</f>
        <v>-2.2949999999999999</v>
      </c>
    </row>
    <row r="657" spans="1:23">
      <c r="A657" t="s">
        <v>50</v>
      </c>
      <c r="B657">
        <v>1994</v>
      </c>
      <c r="C657" t="s">
        <v>26</v>
      </c>
      <c r="D657">
        <v>320.94213100000002</v>
      </c>
      <c r="E657">
        <v>2.3540351780000002</v>
      </c>
      <c r="F657">
        <v>0.23336886000000001</v>
      </c>
      <c r="G657">
        <v>205.59382819999999</v>
      </c>
      <c r="H657">
        <v>136.33701569999999</v>
      </c>
      <c r="I657">
        <v>19.021824089999999</v>
      </c>
      <c r="J657">
        <v>10.722704800000001</v>
      </c>
      <c r="K657">
        <v>84.332999999999998</v>
      </c>
      <c r="L657">
        <v>79.534999999999997</v>
      </c>
      <c r="M657">
        <v>26.944975199999998</v>
      </c>
      <c r="N657">
        <v>31.18498937</v>
      </c>
      <c r="O657">
        <v>9.9135671999999994E-2</v>
      </c>
      <c r="P657">
        <v>147.131</v>
      </c>
      <c r="Q657">
        <v>118.458</v>
      </c>
      <c r="R657">
        <v>10.118</v>
      </c>
      <c r="S657">
        <v>3.8115692819999998</v>
      </c>
      <c r="T657">
        <v>158.435</v>
      </c>
      <c r="U657">
        <v>8.8979999999999997</v>
      </c>
      <c r="V657" s="1" t="str">
        <f>IF(Energy_data_1990___2020[[#This Row],[CO2 emissions from fuel combustion (MtCO2)]]&gt;Energy_data_1990___2020[[#Totals],[CO2 emissions from fuel combustion (MtCO2)]],"Above Average","")</f>
        <v/>
      </c>
      <c r="W657" s="1">
        <f>SUM(Energy_data_1990___2020[[#This Row],[Coal and lignite production (Mt)]]-Energy_data_1990___2020[[#This Row],[Coal and lignite domestic consumption (Mt)]])</f>
        <v>-1.2200000000000006</v>
      </c>
    </row>
    <row r="658" spans="1:23">
      <c r="A658" t="s">
        <v>50</v>
      </c>
      <c r="B658">
        <v>1995</v>
      </c>
      <c r="C658" t="s">
        <v>26</v>
      </c>
      <c r="D658">
        <v>303.94002339999997</v>
      </c>
      <c r="E658">
        <v>2.3044730699999998</v>
      </c>
      <c r="F658">
        <v>0.23584345700000001</v>
      </c>
      <c r="G658">
        <v>204.0970653</v>
      </c>
      <c r="H658">
        <v>131.89133229999999</v>
      </c>
      <c r="I658">
        <v>23.650228569999999</v>
      </c>
      <c r="J658">
        <v>11.536036920000001</v>
      </c>
      <c r="K658">
        <v>77.111999999999995</v>
      </c>
      <c r="L658">
        <v>76.177999999999997</v>
      </c>
      <c r="M658">
        <v>26.52201114</v>
      </c>
      <c r="N658">
        <v>31.344029679999998</v>
      </c>
      <c r="O658">
        <v>0.10234159800000001</v>
      </c>
      <c r="P658">
        <v>152.24799999999999</v>
      </c>
      <c r="Q658">
        <v>122.669</v>
      </c>
      <c r="R658">
        <v>11.057</v>
      </c>
      <c r="S658">
        <v>3.731411907</v>
      </c>
      <c r="T658">
        <v>154.358</v>
      </c>
      <c r="U658">
        <v>9.32</v>
      </c>
      <c r="V658" s="1" t="str">
        <f>IF(Energy_data_1990___2020[[#This Row],[CO2 emissions from fuel combustion (MtCO2)]]&gt;Energy_data_1990___2020[[#Totals],[CO2 emissions from fuel combustion (MtCO2)]],"Above Average","")</f>
        <v/>
      </c>
      <c r="W658" s="1">
        <f>SUM(Energy_data_1990___2020[[#This Row],[Coal and lignite production (Mt)]]-Energy_data_1990___2020[[#This Row],[Coal and lignite domestic consumption (Mt)]])</f>
        <v>-1.7370000000000001</v>
      </c>
    </row>
    <row r="659" spans="1:23">
      <c r="A659" t="s">
        <v>50</v>
      </c>
      <c r="B659">
        <v>1996</v>
      </c>
      <c r="C659" t="s">
        <v>26</v>
      </c>
      <c r="D659">
        <v>317.35404979999998</v>
      </c>
      <c r="E659">
        <v>2.353855024</v>
      </c>
      <c r="F659">
        <v>0.230630896</v>
      </c>
      <c r="G659">
        <v>214.3332217</v>
      </c>
      <c r="H659">
        <v>134.8231079</v>
      </c>
      <c r="I659">
        <v>24.664692339999998</v>
      </c>
      <c r="J659">
        <v>10.53295398</v>
      </c>
      <c r="K659">
        <v>78.144999999999996</v>
      </c>
      <c r="L659">
        <v>75.358999999999995</v>
      </c>
      <c r="M659">
        <v>29.83797418</v>
      </c>
      <c r="N659">
        <v>33.062012160000002</v>
      </c>
      <c r="O659">
        <v>9.7980076999999999E-2</v>
      </c>
      <c r="P659">
        <v>157.691</v>
      </c>
      <c r="Q659">
        <v>111.286</v>
      </c>
      <c r="R659">
        <v>12.507999999999999</v>
      </c>
      <c r="S659">
        <v>3.640664337</v>
      </c>
      <c r="T659">
        <v>160.90299999999999</v>
      </c>
      <c r="U659">
        <v>10.305</v>
      </c>
      <c r="V659" s="1" t="str">
        <f>IF(Energy_data_1990___2020[[#This Row],[CO2 emissions from fuel combustion (MtCO2)]]&gt;Energy_data_1990___2020[[#Totals],[CO2 emissions from fuel combustion (MtCO2)]],"Above Average","")</f>
        <v/>
      </c>
      <c r="W659" s="1">
        <f>SUM(Energy_data_1990___2020[[#This Row],[Coal and lignite production (Mt)]]-Energy_data_1990___2020[[#This Row],[Coal and lignite domestic consumption (Mt)]])</f>
        <v>-2.2029999999999994</v>
      </c>
    </row>
    <row r="660" spans="1:23">
      <c r="A660" t="s">
        <v>50</v>
      </c>
      <c r="B660">
        <v>1997</v>
      </c>
      <c r="C660" t="s">
        <v>26</v>
      </c>
      <c r="D660">
        <v>330.22119190000001</v>
      </c>
      <c r="E660">
        <v>2.3286838580000002</v>
      </c>
      <c r="F660">
        <v>0.224603567</v>
      </c>
      <c r="G660">
        <v>225.975617</v>
      </c>
      <c r="H660">
        <v>141.8059351</v>
      </c>
      <c r="I660">
        <v>19.957251939999999</v>
      </c>
      <c r="J660">
        <v>11.369525250000001</v>
      </c>
      <c r="K660">
        <v>80.861000000000004</v>
      </c>
      <c r="L660">
        <v>75.105999999999995</v>
      </c>
      <c r="M660">
        <v>32.87799278</v>
      </c>
      <c r="N660">
        <v>35.139984929999997</v>
      </c>
      <c r="O660">
        <v>9.6450862999999998E-2</v>
      </c>
      <c r="P660">
        <v>167.49299999999999</v>
      </c>
      <c r="Q660">
        <v>120.01300000000001</v>
      </c>
      <c r="R660">
        <v>12.49</v>
      </c>
      <c r="S660">
        <v>3.2741666820000002</v>
      </c>
      <c r="T660">
        <v>169.31299999999999</v>
      </c>
      <c r="U660">
        <v>10.404999999999999</v>
      </c>
      <c r="V660" s="1" t="str">
        <f>IF(Energy_data_1990___2020[[#This Row],[CO2 emissions from fuel combustion (MtCO2)]]&gt;Energy_data_1990___2020[[#Totals],[CO2 emissions from fuel combustion (MtCO2)]],"Above Average","")</f>
        <v/>
      </c>
      <c r="W660" s="1">
        <f>SUM(Energy_data_1990___2020[[#This Row],[Coal and lignite production (Mt)]]-Energy_data_1990___2020[[#This Row],[Coal and lignite domestic consumption (Mt)]])</f>
        <v>-2.0850000000000009</v>
      </c>
    </row>
    <row r="661" spans="1:23">
      <c r="A661" t="s">
        <v>50</v>
      </c>
      <c r="B661">
        <v>1998</v>
      </c>
      <c r="C661" t="s">
        <v>26</v>
      </c>
      <c r="D661">
        <v>352.61811849999998</v>
      </c>
      <c r="E661">
        <v>2.4199552610000001</v>
      </c>
      <c r="F661">
        <v>0.22806022300000001</v>
      </c>
      <c r="G661">
        <v>226.14496890000001</v>
      </c>
      <c r="H661">
        <v>145.71266019999999</v>
      </c>
      <c r="I661">
        <v>17.586558719999999</v>
      </c>
      <c r="J661">
        <v>11.70803927</v>
      </c>
      <c r="K661">
        <v>85.287000000000006</v>
      </c>
      <c r="L661">
        <v>76.382999999999996</v>
      </c>
      <c r="M661">
        <v>35.296022550000004</v>
      </c>
      <c r="N661">
        <v>40.321032580000001</v>
      </c>
      <c r="O661">
        <v>9.4241504000000004E-2</v>
      </c>
      <c r="P661">
        <v>182.304</v>
      </c>
      <c r="Q661">
        <v>129.429</v>
      </c>
      <c r="R661">
        <v>13.083</v>
      </c>
      <c r="S661">
        <v>3.1151263820000001</v>
      </c>
      <c r="T661">
        <v>172.80600000000001</v>
      </c>
      <c r="U661">
        <v>11.231999999999999</v>
      </c>
      <c r="V661" s="1" t="str">
        <f>IF(Energy_data_1990___2020[[#This Row],[CO2 emissions from fuel combustion (MtCO2)]]&gt;Energy_data_1990___2020[[#Totals],[CO2 emissions from fuel combustion (MtCO2)]],"Above Average","")</f>
        <v/>
      </c>
      <c r="W661" s="1">
        <f>SUM(Energy_data_1990___2020[[#This Row],[Coal and lignite production (Mt)]]-Energy_data_1990___2020[[#This Row],[Coal and lignite domestic consumption (Mt)]])</f>
        <v>-1.8510000000000009</v>
      </c>
    </row>
    <row r="662" spans="1:23">
      <c r="A662" t="s">
        <v>50</v>
      </c>
      <c r="B662">
        <v>1999</v>
      </c>
      <c r="C662" t="s">
        <v>26</v>
      </c>
      <c r="D662">
        <v>344.60326359999999</v>
      </c>
      <c r="E662">
        <v>2.2988713600000001</v>
      </c>
      <c r="F662">
        <v>0.21690394700000001</v>
      </c>
      <c r="G662">
        <v>224.7811154</v>
      </c>
      <c r="H662">
        <v>149.9010643</v>
      </c>
      <c r="I662">
        <v>20.907524410000001</v>
      </c>
      <c r="J662">
        <v>12.417244800000001</v>
      </c>
      <c r="K662">
        <v>84.006</v>
      </c>
      <c r="L662">
        <v>73.379000000000005</v>
      </c>
      <c r="M662">
        <v>35.739987630000002</v>
      </c>
      <c r="N662">
        <v>38.833034390000002</v>
      </c>
      <c r="O662">
        <v>9.4352363999999994E-2</v>
      </c>
      <c r="P662">
        <v>191.51</v>
      </c>
      <c r="Q662">
        <v>137.21899999999999</v>
      </c>
      <c r="R662">
        <v>12.984</v>
      </c>
      <c r="S662">
        <v>2.9486710880000002</v>
      </c>
      <c r="T662">
        <v>166.846</v>
      </c>
      <c r="U662">
        <v>10.326000000000001</v>
      </c>
      <c r="V662" s="1" t="str">
        <f>IF(Energy_data_1990___2020[[#This Row],[CO2 emissions from fuel combustion (MtCO2)]]&gt;Energy_data_1990___2020[[#Totals],[CO2 emissions from fuel combustion (MtCO2)]],"Above Average","")</f>
        <v/>
      </c>
      <c r="W662" s="1">
        <f>SUM(Energy_data_1990___2020[[#This Row],[Coal and lignite production (Mt)]]-Energy_data_1990___2020[[#This Row],[Coal and lignite domestic consumption (Mt)]])</f>
        <v>-2.6579999999999995</v>
      </c>
    </row>
    <row r="663" spans="1:23">
      <c r="A663" t="s">
        <v>50</v>
      </c>
      <c r="B663">
        <v>2000</v>
      </c>
      <c r="C663" t="s">
        <v>26</v>
      </c>
      <c r="D663">
        <v>368.96912680000003</v>
      </c>
      <c r="E663">
        <v>2.446421661</v>
      </c>
      <c r="F663">
        <v>0.221302787</v>
      </c>
      <c r="G663">
        <v>229.310304</v>
      </c>
      <c r="H663">
        <v>150.81992320000001</v>
      </c>
      <c r="I663">
        <v>19.804059800000001</v>
      </c>
      <c r="J663">
        <v>12.917255279999999</v>
      </c>
      <c r="K663">
        <v>88.028999999999996</v>
      </c>
      <c r="L663">
        <v>71.540999999999997</v>
      </c>
      <c r="M663">
        <v>36.719997540000001</v>
      </c>
      <c r="N663">
        <v>41.688951600000003</v>
      </c>
      <c r="O663">
        <v>9.0459788999999999E-2</v>
      </c>
      <c r="P663">
        <v>205.67500000000001</v>
      </c>
      <c r="Q663">
        <v>148.33799999999999</v>
      </c>
      <c r="R663">
        <v>13.199</v>
      </c>
      <c r="S663">
        <v>2.8817308860000002</v>
      </c>
      <c r="T663">
        <v>169.26499999999999</v>
      </c>
      <c r="U663">
        <v>11.343999999999999</v>
      </c>
      <c r="V663" s="1" t="str">
        <f>IF(Energy_data_1990___2020[[#This Row],[CO2 emissions from fuel combustion (MtCO2)]]&gt;Energy_data_1990___2020[[#Totals],[CO2 emissions from fuel combustion (MtCO2)]],"Above Average","")</f>
        <v/>
      </c>
      <c r="W663" s="1">
        <f>SUM(Energy_data_1990___2020[[#This Row],[Coal and lignite production (Mt)]]-Energy_data_1990___2020[[#This Row],[Coal and lignite domestic consumption (Mt)]])</f>
        <v>-1.8550000000000004</v>
      </c>
    </row>
    <row r="664" spans="1:23">
      <c r="A664" t="s">
        <v>50</v>
      </c>
      <c r="B664">
        <v>2001</v>
      </c>
      <c r="C664" t="s">
        <v>26</v>
      </c>
      <c r="D664">
        <v>370.69765640000003</v>
      </c>
      <c r="E664">
        <v>2.3873319390000001</v>
      </c>
      <c r="F664">
        <v>0.223242305</v>
      </c>
      <c r="G664">
        <v>233.72703000000001</v>
      </c>
      <c r="H664">
        <v>155.2769643</v>
      </c>
      <c r="I664">
        <v>17.10563209</v>
      </c>
      <c r="J664">
        <v>13.403920530000001</v>
      </c>
      <c r="K664">
        <v>86.709000000000003</v>
      </c>
      <c r="L664">
        <v>73.11</v>
      </c>
      <c r="M664">
        <v>36.320020829999997</v>
      </c>
      <c r="N664">
        <v>42.313018450000001</v>
      </c>
      <c r="O664">
        <v>9.3511212999999996E-2</v>
      </c>
      <c r="P664">
        <v>213.988</v>
      </c>
      <c r="Q664">
        <v>151.303</v>
      </c>
      <c r="R664">
        <v>14.861000000000001</v>
      </c>
      <c r="S664">
        <v>2.613697964</v>
      </c>
      <c r="T664">
        <v>175.553</v>
      </c>
      <c r="U664">
        <v>11.345000000000001</v>
      </c>
      <c r="V664" s="1" t="str">
        <f>IF(Energy_data_1990___2020[[#This Row],[CO2 emissions from fuel combustion (MtCO2)]]&gt;Energy_data_1990___2020[[#Totals],[CO2 emissions from fuel combustion (MtCO2)]],"Above Average","")</f>
        <v/>
      </c>
      <c r="W664" s="1">
        <f>SUM(Energy_data_1990___2020[[#This Row],[Coal and lignite production (Mt)]]-Energy_data_1990___2020[[#This Row],[Coal and lignite domestic consumption (Mt)]])</f>
        <v>-3.516</v>
      </c>
    </row>
    <row r="665" spans="1:23">
      <c r="A665" t="s">
        <v>50</v>
      </c>
      <c r="B665">
        <v>2002</v>
      </c>
      <c r="C665" t="s">
        <v>26</v>
      </c>
      <c r="D665">
        <v>376.94595199999998</v>
      </c>
      <c r="E665">
        <v>2.4014124080000001</v>
      </c>
      <c r="F665">
        <v>0.22709565200000001</v>
      </c>
      <c r="G665">
        <v>238.97820569999999</v>
      </c>
      <c r="H665">
        <v>156.96843680000001</v>
      </c>
      <c r="I665">
        <v>15.055837889999999</v>
      </c>
      <c r="J665">
        <v>13.57052693</v>
      </c>
      <c r="K665">
        <v>83.1</v>
      </c>
      <c r="L665">
        <v>74.284999999999997</v>
      </c>
      <c r="M665">
        <v>37.342974839999997</v>
      </c>
      <c r="N665">
        <v>47.689051480000003</v>
      </c>
      <c r="O665">
        <v>9.4567534999999994E-2</v>
      </c>
      <c r="P665">
        <v>218.221</v>
      </c>
      <c r="Q665">
        <v>154.976</v>
      </c>
      <c r="R665">
        <v>15.977</v>
      </c>
      <c r="S665">
        <v>2.486928389</v>
      </c>
      <c r="T665">
        <v>178.55</v>
      </c>
      <c r="U665">
        <v>10.984</v>
      </c>
      <c r="V665" s="1" t="str">
        <f>IF(Energy_data_1990___2020[[#This Row],[CO2 emissions from fuel combustion (MtCO2)]]&gt;Energy_data_1990___2020[[#Totals],[CO2 emissions from fuel combustion (MtCO2)]],"Above Average","")</f>
        <v/>
      </c>
      <c r="W665" s="1">
        <f>SUM(Energy_data_1990___2020[[#This Row],[Coal and lignite production (Mt)]]-Energy_data_1990___2020[[#This Row],[Coal and lignite domestic consumption (Mt)]])</f>
        <v>-4.9930000000000003</v>
      </c>
    </row>
    <row r="666" spans="1:23">
      <c r="A666" t="s">
        <v>50</v>
      </c>
      <c r="B666">
        <v>2003</v>
      </c>
      <c r="C666" t="s">
        <v>26</v>
      </c>
      <c r="D666">
        <v>397.24807279999999</v>
      </c>
      <c r="E666">
        <v>2.3614799849999999</v>
      </c>
      <c r="F666">
        <v>0.23591468099999999</v>
      </c>
      <c r="G666">
        <v>258.29191459999998</v>
      </c>
      <c r="H666">
        <v>168.21996179999999</v>
      </c>
      <c r="I666">
        <v>12.125714909999999</v>
      </c>
      <c r="J666">
        <v>14.996738949999999</v>
      </c>
      <c r="K666">
        <v>82.581000000000003</v>
      </c>
      <c r="L666">
        <v>77.281999999999996</v>
      </c>
      <c r="M666">
        <v>39.192971819999997</v>
      </c>
      <c r="N666">
        <v>53.626959390000003</v>
      </c>
      <c r="O666">
        <v>9.9901198999999996E-2</v>
      </c>
      <c r="P666">
        <v>236.21700000000001</v>
      </c>
      <c r="Q666">
        <v>177.49799999999999</v>
      </c>
      <c r="R666">
        <v>19.492000000000001</v>
      </c>
      <c r="S666">
        <v>2.6708492609999999</v>
      </c>
      <c r="T666">
        <v>189.53800000000001</v>
      </c>
      <c r="U666">
        <v>11.965</v>
      </c>
      <c r="V666" s="1" t="str">
        <f>IF(Energy_data_1990___2020[[#This Row],[CO2 emissions from fuel combustion (MtCO2)]]&gt;Energy_data_1990___2020[[#Totals],[CO2 emissions from fuel combustion (MtCO2)]],"Above Average","")</f>
        <v/>
      </c>
      <c r="W666" s="1">
        <f>SUM(Energy_data_1990___2020[[#This Row],[Coal and lignite production (Mt)]]-Energy_data_1990___2020[[#This Row],[Coal and lignite domestic consumption (Mt)]])</f>
        <v>-7.527000000000001</v>
      </c>
    </row>
    <row r="667" spans="1:23">
      <c r="A667" t="s">
        <v>50</v>
      </c>
      <c r="B667">
        <v>2004</v>
      </c>
      <c r="C667" t="s">
        <v>26</v>
      </c>
      <c r="D667">
        <v>404.38859960000002</v>
      </c>
      <c r="E667">
        <v>2.361023656</v>
      </c>
      <c r="F667">
        <v>0.23109495599999999</v>
      </c>
      <c r="G667">
        <v>264.16760629999999</v>
      </c>
      <c r="H667">
        <v>171.2768098</v>
      </c>
      <c r="I667">
        <v>14.448424340000001</v>
      </c>
      <c r="J667">
        <v>15.10961148</v>
      </c>
      <c r="K667">
        <v>85.87</v>
      </c>
      <c r="L667">
        <v>78.433000000000007</v>
      </c>
      <c r="M667">
        <v>41.021032669999997</v>
      </c>
      <c r="N667">
        <v>56.311960370000001</v>
      </c>
      <c r="O667">
        <v>9.7879136000000005E-2</v>
      </c>
      <c r="P667">
        <v>237.583</v>
      </c>
      <c r="Q667">
        <v>186.797</v>
      </c>
      <c r="R667">
        <v>17.401</v>
      </c>
      <c r="S667">
        <v>2.7805019720000002</v>
      </c>
      <c r="T667">
        <v>191.428</v>
      </c>
      <c r="U667">
        <v>13.12</v>
      </c>
      <c r="V667" s="1" t="str">
        <f>IF(Energy_data_1990___2020[[#This Row],[CO2 emissions from fuel combustion (MtCO2)]]&gt;Energy_data_1990___2020[[#Totals],[CO2 emissions from fuel combustion (MtCO2)]],"Above Average","")</f>
        <v/>
      </c>
      <c r="W667" s="1">
        <f>SUM(Energy_data_1990___2020[[#This Row],[Coal and lignite production (Mt)]]-Energy_data_1990___2020[[#This Row],[Coal and lignite domestic consumption (Mt)]])</f>
        <v>-4.2810000000000006</v>
      </c>
    </row>
    <row r="668" spans="1:23">
      <c r="A668" t="s">
        <v>50</v>
      </c>
      <c r="B668">
        <v>2005</v>
      </c>
      <c r="C668" t="s">
        <v>26</v>
      </c>
      <c r="D668">
        <v>419.66305119999998</v>
      </c>
      <c r="E668">
        <v>2.322976997</v>
      </c>
      <c r="F668">
        <v>0.23441398599999999</v>
      </c>
      <c r="G668">
        <v>263.5585269</v>
      </c>
      <c r="H668">
        <v>180.6574287</v>
      </c>
      <c r="I668">
        <v>15.19731385</v>
      </c>
      <c r="J668">
        <v>15.23409715</v>
      </c>
      <c r="K668">
        <v>88.234999999999999</v>
      </c>
      <c r="L668">
        <v>76.409000000000006</v>
      </c>
      <c r="M668">
        <v>42.831048260000003</v>
      </c>
      <c r="N668">
        <v>55.145930999999997</v>
      </c>
      <c r="O668">
        <v>0.100911024</v>
      </c>
      <c r="P668">
        <v>250.768</v>
      </c>
      <c r="Q668">
        <v>194.55799999999999</v>
      </c>
      <c r="R668">
        <v>21.55</v>
      </c>
      <c r="S668">
        <v>2.921824156</v>
      </c>
      <c r="T668">
        <v>187.68899999999999</v>
      </c>
      <c r="U668">
        <v>13.475</v>
      </c>
      <c r="V668" s="1" t="str">
        <f>IF(Energy_data_1990___2020[[#This Row],[CO2 emissions from fuel combustion (MtCO2)]]&gt;Energy_data_1990___2020[[#Totals],[CO2 emissions from fuel combustion (MtCO2)]],"Above Average","")</f>
        <v/>
      </c>
      <c r="W668" s="1">
        <f>SUM(Energy_data_1990___2020[[#This Row],[Coal and lignite production (Mt)]]-Energy_data_1990___2020[[#This Row],[Coal and lignite domestic consumption (Mt)]])</f>
        <v>-8.0750000000000011</v>
      </c>
    </row>
    <row r="669" spans="1:23">
      <c r="A669" t="s">
        <v>50</v>
      </c>
      <c r="B669">
        <v>2006</v>
      </c>
      <c r="C669" t="s">
        <v>26</v>
      </c>
      <c r="D669">
        <v>436.95983310000003</v>
      </c>
      <c r="E669">
        <v>2.37958962</v>
      </c>
      <c r="F669">
        <v>0.23357613599999999</v>
      </c>
      <c r="G669">
        <v>261.92268610000002</v>
      </c>
      <c r="H669">
        <v>183.62823130000001</v>
      </c>
      <c r="I669">
        <v>15.334248759999999</v>
      </c>
      <c r="J669">
        <v>14.822070070000001</v>
      </c>
      <c r="K669">
        <v>87.938000000000002</v>
      </c>
      <c r="L669">
        <v>75.917000000000002</v>
      </c>
      <c r="M669">
        <v>47.512951409999999</v>
      </c>
      <c r="N669">
        <v>61.543952730000001</v>
      </c>
      <c r="O669">
        <v>9.8158158999999995E-2</v>
      </c>
      <c r="P669">
        <v>257.80200000000002</v>
      </c>
      <c r="Q669">
        <v>199.077</v>
      </c>
      <c r="R669">
        <v>23.012</v>
      </c>
      <c r="S669">
        <v>2.6198400319999999</v>
      </c>
      <c r="T669">
        <v>183.24</v>
      </c>
      <c r="U669">
        <v>15.042999999999999</v>
      </c>
      <c r="V669" s="1" t="str">
        <f>IF(Energy_data_1990___2020[[#This Row],[CO2 emissions from fuel combustion (MtCO2)]]&gt;Energy_data_1990___2020[[#Totals],[CO2 emissions from fuel combustion (MtCO2)]],"Above Average","")</f>
        <v/>
      </c>
      <c r="W669" s="1">
        <f>SUM(Energy_data_1990___2020[[#This Row],[Coal and lignite production (Mt)]]-Energy_data_1990___2020[[#This Row],[Coal and lignite domestic consumption (Mt)]])</f>
        <v>-7.9690000000000012</v>
      </c>
    </row>
    <row r="670" spans="1:23">
      <c r="A670" t="s">
        <v>50</v>
      </c>
      <c r="B670">
        <v>2007</v>
      </c>
      <c r="C670" t="s">
        <v>26</v>
      </c>
      <c r="D670">
        <v>439.79437810000002</v>
      </c>
      <c r="E670">
        <v>2.4051948219999999</v>
      </c>
      <c r="F670">
        <v>0.22982502099999999</v>
      </c>
      <c r="G670">
        <v>250.93690670000001</v>
      </c>
      <c r="H670">
        <v>182.85187300000001</v>
      </c>
      <c r="I670">
        <v>14.09049613</v>
      </c>
      <c r="J670">
        <v>15.305425230000001</v>
      </c>
      <c r="K670">
        <v>90.754000000000005</v>
      </c>
      <c r="L670">
        <v>74.153999999999996</v>
      </c>
      <c r="M670">
        <v>50.439039030000004</v>
      </c>
      <c r="N670">
        <v>64.560961710000001</v>
      </c>
      <c r="O670">
        <v>9.5553599000000003E-2</v>
      </c>
      <c r="P670">
        <v>265.27100000000002</v>
      </c>
      <c r="Q670">
        <v>208.381</v>
      </c>
      <c r="R670">
        <v>21.266999999999999</v>
      </c>
      <c r="S670">
        <v>2.8932676399999999</v>
      </c>
      <c r="T670">
        <v>172.57599999999999</v>
      </c>
      <c r="U670">
        <v>16.216999999999999</v>
      </c>
      <c r="V670" s="1" t="str">
        <f>IF(Energy_data_1990___2020[[#This Row],[CO2 emissions from fuel combustion (MtCO2)]]&gt;Energy_data_1990___2020[[#Totals],[CO2 emissions from fuel combustion (MtCO2)]],"Above Average","")</f>
        <v/>
      </c>
      <c r="W670" s="1">
        <f>SUM(Energy_data_1990___2020[[#This Row],[Coal and lignite production (Mt)]]-Energy_data_1990___2020[[#This Row],[Coal and lignite domestic consumption (Mt)]])</f>
        <v>-5.0500000000000007</v>
      </c>
    </row>
    <row r="671" spans="1:23">
      <c r="A671" t="s">
        <v>50</v>
      </c>
      <c r="B671">
        <v>2008</v>
      </c>
      <c r="C671" t="s">
        <v>26</v>
      </c>
      <c r="D671">
        <v>436.4111843</v>
      </c>
      <c r="E671">
        <v>2.3732117119999998</v>
      </c>
      <c r="F671">
        <v>0.22547851499999999</v>
      </c>
      <c r="G671">
        <v>236.691678</v>
      </c>
      <c r="H671">
        <v>183.89054039999999</v>
      </c>
      <c r="I671">
        <v>17.54302582</v>
      </c>
      <c r="J671">
        <v>15.30518636</v>
      </c>
      <c r="K671">
        <v>90.247</v>
      </c>
      <c r="L671">
        <v>73.009</v>
      </c>
      <c r="M671">
        <v>50.19299032</v>
      </c>
      <c r="N671">
        <v>66.863922090000003</v>
      </c>
      <c r="O671">
        <v>9.5009861000000001E-2</v>
      </c>
      <c r="P671">
        <v>269.315</v>
      </c>
      <c r="Q671">
        <v>214.61</v>
      </c>
      <c r="R671">
        <v>18.97</v>
      </c>
      <c r="S671">
        <v>2.7269182930000002</v>
      </c>
      <c r="T671">
        <v>156.89099999999999</v>
      </c>
      <c r="U671">
        <v>14.46</v>
      </c>
      <c r="V671" s="1" t="str">
        <f>IF(Energy_data_1990___2020[[#This Row],[CO2 emissions from fuel combustion (MtCO2)]]&gt;Energy_data_1990___2020[[#Totals],[CO2 emissions from fuel combustion (MtCO2)]],"Above Average","")</f>
        <v/>
      </c>
      <c r="W671" s="1">
        <f>SUM(Energy_data_1990___2020[[#This Row],[Coal and lignite production (Mt)]]-Energy_data_1990___2020[[#This Row],[Coal and lignite domestic consumption (Mt)]])</f>
        <v>-4.509999999999998</v>
      </c>
    </row>
    <row r="672" spans="1:23">
      <c r="A672" t="s">
        <v>50</v>
      </c>
      <c r="B672">
        <v>2009</v>
      </c>
      <c r="C672" t="s">
        <v>26</v>
      </c>
      <c r="D672">
        <v>432.01488710000001</v>
      </c>
      <c r="E672">
        <v>2.400802283</v>
      </c>
      <c r="F672">
        <v>0.23566367999999999</v>
      </c>
      <c r="G672">
        <v>224.46259839999999</v>
      </c>
      <c r="H672">
        <v>179.9460498</v>
      </c>
      <c r="I672">
        <v>12.94738061</v>
      </c>
      <c r="J672">
        <v>15.83110868</v>
      </c>
      <c r="K672">
        <v>87.207999999999998</v>
      </c>
      <c r="L672">
        <v>73.885000000000005</v>
      </c>
      <c r="M672">
        <v>50.614019550000002</v>
      </c>
      <c r="N672">
        <v>67.453950759999998</v>
      </c>
      <c r="O672">
        <v>9.8160387000000002E-2</v>
      </c>
      <c r="P672">
        <v>267.75299999999999</v>
      </c>
      <c r="Q672">
        <v>211.27199999999999</v>
      </c>
      <c r="R672">
        <v>19.161000000000001</v>
      </c>
      <c r="S672">
        <v>2.7499225030000001</v>
      </c>
      <c r="T672">
        <v>146.04900000000001</v>
      </c>
      <c r="U672">
        <v>12.744999999999999</v>
      </c>
      <c r="V672" s="1" t="str">
        <f>IF(Energy_data_1990___2020[[#This Row],[CO2 emissions from fuel combustion (MtCO2)]]&gt;Energy_data_1990___2020[[#Totals],[CO2 emissions from fuel combustion (MtCO2)]],"Above Average","")</f>
        <v/>
      </c>
      <c r="W672" s="1">
        <f>SUM(Energy_data_1990___2020[[#This Row],[Coal and lignite production (Mt)]]-Energy_data_1990___2020[[#This Row],[Coal and lignite domestic consumption (Mt)]])</f>
        <v>-6.4160000000000021</v>
      </c>
    </row>
    <row r="673" spans="1:23">
      <c r="A673" t="s">
        <v>50</v>
      </c>
      <c r="B673">
        <v>2010</v>
      </c>
      <c r="C673" t="s">
        <v>26</v>
      </c>
      <c r="D673">
        <v>445.68865820000002</v>
      </c>
      <c r="E673">
        <v>2.4956594980000002</v>
      </c>
      <c r="F673">
        <v>0.23128525599999999</v>
      </c>
      <c r="G673">
        <v>222.587401</v>
      </c>
      <c r="H673">
        <v>178.58552359999999</v>
      </c>
      <c r="I673">
        <v>16.602791629999999</v>
      </c>
      <c r="J673">
        <v>15.70354221</v>
      </c>
      <c r="K673">
        <v>88.328000000000003</v>
      </c>
      <c r="L673">
        <v>69.043000000000006</v>
      </c>
      <c r="M673">
        <v>50.954987539999998</v>
      </c>
      <c r="N673">
        <v>69.974960749999994</v>
      </c>
      <c r="O673">
        <v>9.2675005000000005E-2</v>
      </c>
      <c r="P673">
        <v>275.53800000000001</v>
      </c>
      <c r="Q673">
        <v>221.09100000000001</v>
      </c>
      <c r="R673">
        <v>23.582000000000001</v>
      </c>
      <c r="S673">
        <v>2.8627630310000001</v>
      </c>
      <c r="T673">
        <v>144.762</v>
      </c>
      <c r="U673">
        <v>15.304</v>
      </c>
      <c r="V673" s="1" t="str">
        <f>IF(Energy_data_1990___2020[[#This Row],[CO2 emissions from fuel combustion (MtCO2)]]&gt;Energy_data_1990___2020[[#Totals],[CO2 emissions from fuel combustion (MtCO2)]],"Above Average","")</f>
        <v/>
      </c>
      <c r="W673" s="1">
        <f>SUM(Energy_data_1990___2020[[#This Row],[Coal and lignite production (Mt)]]-Energy_data_1990___2020[[#This Row],[Coal and lignite domestic consumption (Mt)]])</f>
        <v>-8.2780000000000005</v>
      </c>
    </row>
    <row r="674" spans="1:23">
      <c r="A674" t="s">
        <v>50</v>
      </c>
      <c r="B674">
        <v>2011</v>
      </c>
      <c r="C674" t="s">
        <v>26</v>
      </c>
      <c r="D674">
        <v>464.26024790000002</v>
      </c>
      <c r="E674">
        <v>2.4825303860000001</v>
      </c>
      <c r="F674">
        <v>0.232409597</v>
      </c>
      <c r="G674">
        <v>223.78881100000001</v>
      </c>
      <c r="H674">
        <v>187.01090249999999</v>
      </c>
      <c r="I674">
        <v>14.88857106</v>
      </c>
      <c r="J674">
        <v>16.563584030000001</v>
      </c>
      <c r="K674">
        <v>89.799000000000007</v>
      </c>
      <c r="L674">
        <v>67.256</v>
      </c>
      <c r="M674">
        <v>48.960019789999997</v>
      </c>
      <c r="N674">
        <v>72.680059240000006</v>
      </c>
      <c r="O674">
        <v>9.3618027000000006E-2</v>
      </c>
      <c r="P674">
        <v>302.74900000000002</v>
      </c>
      <c r="Q674">
        <v>238.95500000000001</v>
      </c>
      <c r="R674">
        <v>26.125</v>
      </c>
      <c r="S674">
        <v>2.7071930869999998</v>
      </c>
      <c r="T674">
        <v>143.39599999999999</v>
      </c>
      <c r="U674">
        <v>19.518000000000001</v>
      </c>
      <c r="V674" s="1" t="str">
        <f>IF(Energy_data_1990___2020[[#This Row],[CO2 emissions from fuel combustion (MtCO2)]]&gt;Energy_data_1990___2020[[#Totals],[CO2 emissions from fuel combustion (MtCO2)]],"Above Average","")</f>
        <v/>
      </c>
      <c r="W674" s="1">
        <f>SUM(Energy_data_1990___2020[[#This Row],[Coal and lignite production (Mt)]]-Energy_data_1990___2020[[#This Row],[Coal and lignite domestic consumption (Mt)]])</f>
        <v>-6.6069999999999993</v>
      </c>
    </row>
    <row r="675" spans="1:23">
      <c r="A675" t="s">
        <v>50</v>
      </c>
      <c r="B675">
        <v>2012</v>
      </c>
      <c r="C675" t="s">
        <v>26</v>
      </c>
      <c r="D675">
        <v>466.95676989999998</v>
      </c>
      <c r="E675">
        <v>2.4347757699999999</v>
      </c>
      <c r="F675">
        <v>0.22554442599999999</v>
      </c>
      <c r="G675">
        <v>218.59794550000001</v>
      </c>
      <c r="H675">
        <v>191.78635489999999</v>
      </c>
      <c r="I675">
        <v>13.788131290000001</v>
      </c>
      <c r="J675">
        <v>17.696002199999999</v>
      </c>
      <c r="K675">
        <v>89.313000000000002</v>
      </c>
      <c r="L675">
        <v>67.647000000000006</v>
      </c>
      <c r="M675">
        <v>47.042020520000001</v>
      </c>
      <c r="N675">
        <v>76.207043279999994</v>
      </c>
      <c r="O675">
        <v>9.2634577999999995E-2</v>
      </c>
      <c r="P675">
        <v>307.22800000000001</v>
      </c>
      <c r="Q675">
        <v>253.065</v>
      </c>
      <c r="R675">
        <v>23.341999999999999</v>
      </c>
      <c r="S675">
        <v>3.1162524249999999</v>
      </c>
      <c r="T675">
        <v>143.024</v>
      </c>
      <c r="U675">
        <v>15.752000000000001</v>
      </c>
      <c r="V675" s="1" t="str">
        <f>IF(Energy_data_1990___2020[[#This Row],[CO2 emissions from fuel combustion (MtCO2)]]&gt;Energy_data_1990___2020[[#Totals],[CO2 emissions from fuel combustion (MtCO2)]],"Above Average","")</f>
        <v/>
      </c>
      <c r="W675" s="1">
        <f>SUM(Energy_data_1990___2020[[#This Row],[Coal and lignite production (Mt)]]-Energy_data_1990___2020[[#This Row],[Coal and lignite domestic consumption (Mt)]])</f>
        <v>-7.5899999999999981</v>
      </c>
    </row>
    <row r="676" spans="1:23">
      <c r="A676" t="s">
        <v>50</v>
      </c>
      <c r="B676">
        <v>2013</v>
      </c>
      <c r="C676" t="s">
        <v>26</v>
      </c>
      <c r="D676">
        <v>458.45314489999998</v>
      </c>
      <c r="E676">
        <v>2.3867353260000002</v>
      </c>
      <c r="F676">
        <v>0.218478694</v>
      </c>
      <c r="G676">
        <v>216.34936819999999</v>
      </c>
      <c r="H676">
        <v>192.08378070000001</v>
      </c>
      <c r="I676">
        <v>13.29954326</v>
      </c>
      <c r="J676">
        <v>17.17483563</v>
      </c>
      <c r="K676">
        <v>88.480999999999995</v>
      </c>
      <c r="L676">
        <v>70.334999999999994</v>
      </c>
      <c r="M676">
        <v>45.797998710000002</v>
      </c>
      <c r="N676">
        <v>72.876014130000002</v>
      </c>
      <c r="O676">
        <v>9.1538719000000004E-2</v>
      </c>
      <c r="P676">
        <v>297.32600000000002</v>
      </c>
      <c r="Q676">
        <v>246.50299999999999</v>
      </c>
      <c r="R676">
        <v>23.582999999999998</v>
      </c>
      <c r="S676">
        <v>3.4847272020000002</v>
      </c>
      <c r="T676">
        <v>141.24</v>
      </c>
      <c r="U676">
        <v>15.186999999999999</v>
      </c>
      <c r="V676" s="1" t="str">
        <f>IF(Energy_data_1990___2020[[#This Row],[CO2 emissions from fuel combustion (MtCO2)]]&gt;Energy_data_1990___2020[[#Totals],[CO2 emissions from fuel combustion (MtCO2)]],"Above Average","")</f>
        <v/>
      </c>
      <c r="W676" s="1">
        <f>SUM(Energy_data_1990___2020[[#This Row],[Coal and lignite production (Mt)]]-Energy_data_1990___2020[[#This Row],[Coal and lignite domestic consumption (Mt)]])</f>
        <v>-8.395999999999999</v>
      </c>
    </row>
    <row r="677" spans="1:23">
      <c r="A677" t="s">
        <v>50</v>
      </c>
      <c r="B677">
        <v>2014</v>
      </c>
      <c r="C677" t="s">
        <v>26</v>
      </c>
      <c r="D677">
        <v>443.5904458</v>
      </c>
      <c r="E677">
        <v>2.3541085289999999</v>
      </c>
      <c r="F677">
        <v>0.20562923899999999</v>
      </c>
      <c r="G677">
        <v>208.57769490000001</v>
      </c>
      <c r="H677">
        <v>188.43245350000001</v>
      </c>
      <c r="I677">
        <v>17.543516329999999</v>
      </c>
      <c r="J677">
        <v>18.0561094</v>
      </c>
      <c r="K677">
        <v>85.180999999999997</v>
      </c>
      <c r="L677">
        <v>66.977000000000004</v>
      </c>
      <c r="M677">
        <v>44.794982429999997</v>
      </c>
      <c r="N677">
        <v>74.996037720000004</v>
      </c>
      <c r="O677">
        <v>8.7349091000000004E-2</v>
      </c>
      <c r="P677">
        <v>301.49599999999998</v>
      </c>
      <c r="Q677">
        <v>256.779</v>
      </c>
      <c r="R677">
        <v>22.754999999999999</v>
      </c>
      <c r="S677">
        <v>4.194748852</v>
      </c>
      <c r="T677">
        <v>136.33699999999999</v>
      </c>
      <c r="U677">
        <v>15.387</v>
      </c>
      <c r="V677" s="1" t="str">
        <f>IF(Energy_data_1990___2020[[#This Row],[CO2 emissions from fuel combustion (MtCO2)]]&gt;Energy_data_1990___2020[[#Totals],[CO2 emissions from fuel combustion (MtCO2)]],"Above Average","")</f>
        <v/>
      </c>
      <c r="W677" s="1">
        <f>SUM(Energy_data_1990___2020[[#This Row],[Coal and lignite production (Mt)]]-Energy_data_1990___2020[[#This Row],[Coal and lignite domestic consumption (Mt)]])</f>
        <v>-7.3679999999999986</v>
      </c>
    </row>
    <row r="678" spans="1:23">
      <c r="A678" t="s">
        <v>50</v>
      </c>
      <c r="B678">
        <v>2015</v>
      </c>
      <c r="C678" t="s">
        <v>26</v>
      </c>
      <c r="D678">
        <v>451.28004720000001</v>
      </c>
      <c r="E678">
        <v>2.4398987569999999</v>
      </c>
      <c r="F678">
        <v>0.20253448700000001</v>
      </c>
      <c r="G678">
        <v>189.6504295</v>
      </c>
      <c r="H678">
        <v>184.95851350000001</v>
      </c>
      <c r="I678">
        <v>15.27813538</v>
      </c>
      <c r="J678">
        <v>18.277446919999999</v>
      </c>
      <c r="K678">
        <v>83.582999999999998</v>
      </c>
      <c r="L678">
        <v>61.316000000000003</v>
      </c>
      <c r="M678">
        <v>41.560010089999999</v>
      </c>
      <c r="N678">
        <v>77.831973340000005</v>
      </c>
      <c r="O678">
        <v>8.3009382000000007E-2</v>
      </c>
      <c r="P678">
        <v>310.71199999999999</v>
      </c>
      <c r="Q678">
        <v>261.85000000000002</v>
      </c>
      <c r="R678">
        <v>24.45</v>
      </c>
      <c r="S678">
        <v>4.9290017769999999</v>
      </c>
      <c r="T678">
        <v>126.602</v>
      </c>
      <c r="U678">
        <v>10.677</v>
      </c>
      <c r="V678" s="1" t="str">
        <f>IF(Energy_data_1990___2020[[#This Row],[CO2 emissions from fuel combustion (MtCO2)]]&gt;Energy_data_1990___2020[[#Totals],[CO2 emissions from fuel combustion (MtCO2)]],"Above Average","")</f>
        <v/>
      </c>
      <c r="W678" s="1">
        <f>SUM(Energy_data_1990___2020[[#This Row],[Coal and lignite production (Mt)]]-Energy_data_1990___2020[[#This Row],[Coal and lignite domestic consumption (Mt)]])</f>
        <v>-13.773</v>
      </c>
    </row>
    <row r="679" spans="1:23">
      <c r="A679" t="s">
        <v>50</v>
      </c>
      <c r="B679">
        <v>2016</v>
      </c>
      <c r="C679" t="s">
        <v>26</v>
      </c>
      <c r="D679">
        <v>457.27795739999999</v>
      </c>
      <c r="E679">
        <v>2.472855944</v>
      </c>
      <c r="F679">
        <v>0.199422077</v>
      </c>
      <c r="G679">
        <v>180.4634872</v>
      </c>
      <c r="H679">
        <v>184.91896320000001</v>
      </c>
      <c r="I679">
        <v>15.33172783</v>
      </c>
      <c r="J679">
        <v>18.84723649</v>
      </c>
      <c r="K679">
        <v>85.965999999999994</v>
      </c>
      <c r="L679">
        <v>54.814999999999998</v>
      </c>
      <c r="M679">
        <v>36.699034660000002</v>
      </c>
      <c r="N679">
        <v>80.268034659999998</v>
      </c>
      <c r="O679">
        <v>8.0644437999999999E-2</v>
      </c>
      <c r="P679">
        <v>320.56400000000002</v>
      </c>
      <c r="Q679">
        <v>274.20999999999998</v>
      </c>
      <c r="R679">
        <v>21.504999999999999</v>
      </c>
      <c r="S679">
        <v>5.3000336910000003</v>
      </c>
      <c r="T679">
        <v>120.48399999999999</v>
      </c>
      <c r="U679">
        <v>12.567</v>
      </c>
      <c r="V679" s="1" t="str">
        <f>IF(Energy_data_1990___2020[[#This Row],[CO2 emissions from fuel combustion (MtCO2)]]&gt;Energy_data_1990___2020[[#Totals],[CO2 emissions from fuel combustion (MtCO2)]],"Above Average","")</f>
        <v/>
      </c>
      <c r="W679" s="1">
        <f>SUM(Energy_data_1990___2020[[#This Row],[Coal and lignite production (Mt)]]-Energy_data_1990___2020[[#This Row],[Coal and lignite domestic consumption (Mt)]])</f>
        <v>-8.9379999999999988</v>
      </c>
    </row>
    <row r="680" spans="1:23">
      <c r="A680" t="s">
        <v>50</v>
      </c>
      <c r="B680">
        <v>2017</v>
      </c>
      <c r="C680" t="s">
        <v>26</v>
      </c>
      <c r="D680">
        <v>456.30713159999999</v>
      </c>
      <c r="E680">
        <v>2.5333758909999999</v>
      </c>
      <c r="F680">
        <v>0.19487116199999999</v>
      </c>
      <c r="G680">
        <v>164.8800866</v>
      </c>
      <c r="H680">
        <v>180.11821040000001</v>
      </c>
      <c r="I680">
        <v>15.990574519999999</v>
      </c>
      <c r="J680">
        <v>18.874462879999999</v>
      </c>
      <c r="K680">
        <v>84.081000000000003</v>
      </c>
      <c r="L680">
        <v>48.164000000000001</v>
      </c>
      <c r="M680">
        <v>31.56698519</v>
      </c>
      <c r="N680">
        <v>81.508063879999995</v>
      </c>
      <c r="O680">
        <v>7.6921534999999999E-2</v>
      </c>
      <c r="P680">
        <v>322.06233700000001</v>
      </c>
      <c r="Q680">
        <v>275.85931699999998</v>
      </c>
      <c r="R680">
        <v>21.69</v>
      </c>
      <c r="S680">
        <v>5.4251354449999996</v>
      </c>
      <c r="T680">
        <v>108.977</v>
      </c>
      <c r="U680">
        <v>11.776</v>
      </c>
      <c r="V680" s="1" t="str">
        <f>IF(Energy_data_1990___2020[[#This Row],[CO2 emissions from fuel combustion (MtCO2)]]&gt;Energy_data_1990___2020[[#Totals],[CO2 emissions from fuel combustion (MtCO2)]],"Above Average","")</f>
        <v/>
      </c>
      <c r="W680" s="1">
        <f>SUM(Energy_data_1990___2020[[#This Row],[Coal and lignite production (Mt)]]-Energy_data_1990___2020[[#This Row],[Coal and lignite domestic consumption (Mt)]])</f>
        <v>-9.9140000000000015</v>
      </c>
    </row>
    <row r="681" spans="1:23">
      <c r="A681" t="s">
        <v>50</v>
      </c>
      <c r="B681">
        <v>2018</v>
      </c>
      <c r="C681" t="s">
        <v>26</v>
      </c>
      <c r="D681">
        <v>458.48860230000003</v>
      </c>
      <c r="E681">
        <v>2.5378117850000002</v>
      </c>
      <c r="F681">
        <v>0.191707981</v>
      </c>
      <c r="G681">
        <v>158.16827040000001</v>
      </c>
      <c r="H681">
        <v>180.6629652</v>
      </c>
      <c r="I681">
        <v>16.298800839999998</v>
      </c>
      <c r="J681">
        <v>19.31511501</v>
      </c>
      <c r="K681">
        <v>83.293488999999994</v>
      </c>
      <c r="L681">
        <v>38.860999999999997</v>
      </c>
      <c r="M681">
        <v>30.619975629999999</v>
      </c>
      <c r="N681">
        <v>84.605370309999998</v>
      </c>
      <c r="O681">
        <v>7.5540661999999995E-2</v>
      </c>
      <c r="P681">
        <v>335.58281699999998</v>
      </c>
      <c r="Q681">
        <v>286.959745</v>
      </c>
      <c r="R681">
        <v>20.559085</v>
      </c>
      <c r="S681">
        <v>5.9641155579999996</v>
      </c>
      <c r="T681">
        <v>102.113</v>
      </c>
      <c r="U681">
        <v>12.24198</v>
      </c>
      <c r="V681" s="1" t="str">
        <f>IF(Energy_data_1990___2020[[#This Row],[CO2 emissions from fuel combustion (MtCO2)]]&gt;Energy_data_1990___2020[[#Totals],[CO2 emissions from fuel combustion (MtCO2)]],"Above Average","")</f>
        <v/>
      </c>
      <c r="W681" s="1">
        <f>SUM(Energy_data_1990___2020[[#This Row],[Coal and lignite production (Mt)]]-Energy_data_1990___2020[[#This Row],[Coal and lignite domestic consumption (Mt)]])</f>
        <v>-8.3171049999999997</v>
      </c>
    </row>
    <row r="682" spans="1:23">
      <c r="A682" t="s">
        <v>50</v>
      </c>
      <c r="B682">
        <v>2019</v>
      </c>
      <c r="C682" t="s">
        <v>26</v>
      </c>
      <c r="D682">
        <v>441.39630949999997</v>
      </c>
      <c r="E682">
        <v>2.509922327</v>
      </c>
      <c r="F682">
        <v>0.18512395200000001</v>
      </c>
      <c r="G682">
        <v>148.42703839999999</v>
      </c>
      <c r="H682">
        <v>175.8605455</v>
      </c>
      <c r="I682">
        <v>17.02234726</v>
      </c>
      <c r="J682">
        <v>19.962697980000002</v>
      </c>
      <c r="K682">
        <v>77.289055169999997</v>
      </c>
      <c r="L682">
        <v>38.11971449</v>
      </c>
      <c r="M682">
        <v>29.57495248</v>
      </c>
      <c r="N682">
        <v>85.593556840000005</v>
      </c>
      <c r="O682">
        <v>7.3756845000000001E-2</v>
      </c>
      <c r="P682">
        <v>331.18374219999998</v>
      </c>
      <c r="Q682">
        <v>282.45576549999998</v>
      </c>
      <c r="R682">
        <v>20.536328610000002</v>
      </c>
      <c r="S682">
        <v>8.995751491</v>
      </c>
      <c r="T682">
        <v>94.722710699999993</v>
      </c>
      <c r="U682">
        <v>10.122634</v>
      </c>
      <c r="V682" s="1" t="str">
        <f>IF(Energy_data_1990___2020[[#This Row],[CO2 emissions from fuel combustion (MtCO2)]]&gt;Energy_data_1990___2020[[#Totals],[CO2 emissions from fuel combustion (MtCO2)]],"Above Average","")</f>
        <v/>
      </c>
      <c r="W682" s="1">
        <f>SUM(Energy_data_1990___2020[[#This Row],[Coal and lignite production (Mt)]]-Energy_data_1990___2020[[#This Row],[Coal and lignite domestic consumption (Mt)]])</f>
        <v>-10.413694610000002</v>
      </c>
    </row>
    <row r="683" spans="1:23">
      <c r="A683" t="s">
        <v>50</v>
      </c>
      <c r="B683">
        <v>2020</v>
      </c>
      <c r="C683" t="s">
        <v>26</v>
      </c>
      <c r="D683">
        <v>370.5165341</v>
      </c>
      <c r="E683">
        <v>2.450582313</v>
      </c>
      <c r="F683">
        <v>0.16983234799999999</v>
      </c>
      <c r="G683">
        <v>147.08877279999999</v>
      </c>
      <c r="H683">
        <v>151.1953025</v>
      </c>
      <c r="I683">
        <v>20.479458210000001</v>
      </c>
      <c r="J683">
        <v>22.208965410000001</v>
      </c>
      <c r="K683">
        <v>63.819131820000003</v>
      </c>
      <c r="L683">
        <v>37.78713887</v>
      </c>
      <c r="M683">
        <v>29.319421389999999</v>
      </c>
      <c r="N683">
        <v>77.662479000000005</v>
      </c>
      <c r="O683">
        <v>6.9302853999999997E-2</v>
      </c>
      <c r="P683">
        <v>321.91241719999999</v>
      </c>
      <c r="Q683">
        <v>274.14109569999999</v>
      </c>
      <c r="R683">
        <v>13.514099890000001</v>
      </c>
      <c r="S683">
        <v>11.23132438</v>
      </c>
      <c r="T683">
        <v>94.977505269999995</v>
      </c>
      <c r="U683">
        <v>6.7091318580000001</v>
      </c>
      <c r="V683" s="1" t="str">
        <f>IF(Energy_data_1990___2020[[#This Row],[CO2 emissions from fuel combustion (MtCO2)]]&gt;Energy_data_1990___2020[[#Totals],[CO2 emissions from fuel combustion (MtCO2)]],"Above Average","")</f>
        <v/>
      </c>
      <c r="W683" s="1">
        <f>SUM(Energy_data_1990___2020[[#This Row],[Coal and lignite production (Mt)]]-Energy_data_1990___2020[[#This Row],[Coal and lignite domestic consumption (Mt)]])</f>
        <v>-6.8049680320000006</v>
      </c>
    </row>
    <row r="684" spans="1:23">
      <c r="A684" t="s">
        <v>51</v>
      </c>
      <c r="B684">
        <v>1990</v>
      </c>
      <c r="C684" t="s">
        <v>30</v>
      </c>
      <c r="D684">
        <v>163.3385313</v>
      </c>
      <c r="E684">
        <v>2.4555344969999999</v>
      </c>
      <c r="F684">
        <v>0.31553526700000001</v>
      </c>
      <c r="G684">
        <v>60.561183229999997</v>
      </c>
      <c r="H684">
        <v>66.518524369999994</v>
      </c>
      <c r="I684">
        <v>1.1199421970000001</v>
      </c>
      <c r="J684">
        <v>11.21787117</v>
      </c>
      <c r="K684">
        <v>21.439</v>
      </c>
      <c r="L684">
        <v>49.08</v>
      </c>
      <c r="M684">
        <v>76.087075200000001</v>
      </c>
      <c r="N684">
        <v>44.164946970000003</v>
      </c>
      <c r="O684">
        <v>0.12849962700000001</v>
      </c>
      <c r="P684">
        <v>71.968000000000004</v>
      </c>
      <c r="Q684">
        <v>74.073999999999998</v>
      </c>
      <c r="R684">
        <v>12.528968389999999</v>
      </c>
      <c r="S684">
        <v>0.31958648299999998</v>
      </c>
      <c r="T684">
        <v>4.0759999999999996</v>
      </c>
      <c r="U684">
        <v>0</v>
      </c>
      <c r="V684" s="1" t="str">
        <f>IF(Energy_data_1990___2020[[#This Row],[CO2 emissions from fuel combustion (MtCO2)]]&gt;Energy_data_1990___2020[[#Totals],[CO2 emissions from fuel combustion (MtCO2)]],"Above Average","")</f>
        <v/>
      </c>
      <c r="W684" s="1">
        <f>SUM(Energy_data_1990___2020[[#This Row],[Coal and lignite production (Mt)]]-Energy_data_1990___2020[[#This Row],[Coal and lignite domestic consumption (Mt)]])</f>
        <v>-12.528968389999999</v>
      </c>
    </row>
    <row r="685" spans="1:23">
      <c r="A685" t="s">
        <v>51</v>
      </c>
      <c r="B685">
        <v>1991</v>
      </c>
      <c r="C685" t="s">
        <v>30</v>
      </c>
      <c r="D685">
        <v>170.37954160000001</v>
      </c>
      <c r="E685">
        <v>2.465477624</v>
      </c>
      <c r="F685">
        <v>0.32130005900000003</v>
      </c>
      <c r="G685">
        <v>67.450368839999996</v>
      </c>
      <c r="H685">
        <v>69.106099360000002</v>
      </c>
      <c r="I685">
        <v>1.256990751</v>
      </c>
      <c r="J685">
        <v>11.10883074</v>
      </c>
      <c r="K685">
        <v>21.103000000000002</v>
      </c>
      <c r="L685">
        <v>52.89</v>
      </c>
      <c r="M685">
        <v>86.025117649999999</v>
      </c>
      <c r="N685">
        <v>49.318991689999997</v>
      </c>
      <c r="O685">
        <v>0.13031960000000001</v>
      </c>
      <c r="P685">
        <v>74.384</v>
      </c>
      <c r="Q685">
        <v>76.305999999999997</v>
      </c>
      <c r="R685">
        <v>11.453563389999999</v>
      </c>
      <c r="S685">
        <v>0.28231877799999999</v>
      </c>
      <c r="T685">
        <v>3.9329999999999998</v>
      </c>
      <c r="U685">
        <v>0</v>
      </c>
      <c r="V685" s="1" t="str">
        <f>IF(Energy_data_1990___2020[[#This Row],[CO2 emissions from fuel combustion (MtCO2)]]&gt;Energy_data_1990___2020[[#Totals],[CO2 emissions from fuel combustion (MtCO2)]],"Above Average","")</f>
        <v/>
      </c>
      <c r="W685" s="1">
        <f>SUM(Energy_data_1990___2020[[#This Row],[Coal and lignite production (Mt)]]-Energy_data_1990___2020[[#This Row],[Coal and lignite domestic consumption (Mt)]])</f>
        <v>-11.453563389999999</v>
      </c>
    </row>
    <row r="686" spans="1:23">
      <c r="A686" t="s">
        <v>51</v>
      </c>
      <c r="B686">
        <v>1992</v>
      </c>
      <c r="C686" t="s">
        <v>30</v>
      </c>
      <c r="D686">
        <v>168.58953639999999</v>
      </c>
      <c r="E686">
        <v>2.4592841879999998</v>
      </c>
      <c r="F686">
        <v>0.31259145300000002</v>
      </c>
      <c r="G686">
        <v>67.47800427</v>
      </c>
      <c r="H686">
        <v>68.55227927</v>
      </c>
      <c r="I686">
        <v>1.287909186</v>
      </c>
      <c r="J686">
        <v>11.48099324</v>
      </c>
      <c r="K686">
        <v>21.486000000000001</v>
      </c>
      <c r="L686">
        <v>54.593000000000004</v>
      </c>
      <c r="M686">
        <v>86.391973359999994</v>
      </c>
      <c r="N686">
        <v>48.033972429999999</v>
      </c>
      <c r="O686">
        <v>0.127106682</v>
      </c>
      <c r="P686">
        <v>77.257000000000005</v>
      </c>
      <c r="Q686">
        <v>78.006</v>
      </c>
      <c r="R686">
        <v>11.435031609999999</v>
      </c>
      <c r="S686">
        <v>0.45950528800000001</v>
      </c>
      <c r="T686">
        <v>3.5630000000000002</v>
      </c>
      <c r="U686">
        <v>0</v>
      </c>
      <c r="V686" s="1" t="str">
        <f>IF(Energy_data_1990___2020[[#This Row],[CO2 emissions from fuel combustion (MtCO2)]]&gt;Energy_data_1990___2020[[#Totals],[CO2 emissions from fuel combustion (MtCO2)]],"Above Average","")</f>
        <v/>
      </c>
      <c r="W686" s="1">
        <f>SUM(Energy_data_1990___2020[[#This Row],[Coal and lignite production (Mt)]]-Energy_data_1990___2020[[#This Row],[Coal and lignite domestic consumption (Mt)]])</f>
        <v>-11.435031609999999</v>
      </c>
    </row>
    <row r="687" spans="1:23">
      <c r="A687" t="s">
        <v>51</v>
      </c>
      <c r="B687">
        <v>1993</v>
      </c>
      <c r="C687" t="s">
        <v>30</v>
      </c>
      <c r="D687">
        <v>173.53607059999999</v>
      </c>
      <c r="E687">
        <v>2.4780699500000001</v>
      </c>
      <c r="F687">
        <v>0.31776701699999998</v>
      </c>
      <c r="G687">
        <v>68.782860799999995</v>
      </c>
      <c r="H687">
        <v>70.028721579999996</v>
      </c>
      <c r="I687">
        <v>1.434699776</v>
      </c>
      <c r="J687">
        <v>11.40800565</v>
      </c>
      <c r="K687">
        <v>21.184999999999999</v>
      </c>
      <c r="L687">
        <v>55.262</v>
      </c>
      <c r="M687">
        <v>88.065028949999999</v>
      </c>
      <c r="N687">
        <v>49.367021399999999</v>
      </c>
      <c r="O687">
        <v>0.128231658</v>
      </c>
      <c r="P687">
        <v>77.159000000000006</v>
      </c>
      <c r="Q687">
        <v>79.381</v>
      </c>
      <c r="R687">
        <v>11.485031149999999</v>
      </c>
      <c r="S687">
        <v>0.50415376000000001</v>
      </c>
      <c r="T687">
        <v>3.5350000000000001</v>
      </c>
      <c r="U687">
        <v>0</v>
      </c>
      <c r="V687" s="1" t="str">
        <f>IF(Energy_data_1990___2020[[#This Row],[CO2 emissions from fuel combustion (MtCO2)]]&gt;Energy_data_1990___2020[[#Totals],[CO2 emissions from fuel combustion (MtCO2)]],"Above Average","")</f>
        <v/>
      </c>
      <c r="W687" s="1">
        <f>SUM(Energy_data_1990___2020[[#This Row],[Coal and lignite production (Mt)]]-Energy_data_1990___2020[[#This Row],[Coal and lignite domestic consumption (Mt)]])</f>
        <v>-11.485031149999999</v>
      </c>
    </row>
    <row r="688" spans="1:23">
      <c r="A688" t="s">
        <v>51</v>
      </c>
      <c r="B688">
        <v>1994</v>
      </c>
      <c r="C688" t="s">
        <v>30</v>
      </c>
      <c r="D688">
        <v>174.24308819999999</v>
      </c>
      <c r="E688">
        <v>2.479950519</v>
      </c>
      <c r="F688">
        <v>0.30988565699999998</v>
      </c>
      <c r="G688">
        <v>66.641982729999995</v>
      </c>
      <c r="H688">
        <v>70.260711599999993</v>
      </c>
      <c r="I688">
        <v>1.5751186349999999</v>
      </c>
      <c r="J688">
        <v>11.82710825</v>
      </c>
      <c r="K688">
        <v>21.986999999999998</v>
      </c>
      <c r="L688">
        <v>55.08</v>
      </c>
      <c r="M688">
        <v>83.538877769999999</v>
      </c>
      <c r="N688">
        <v>47.707046679999998</v>
      </c>
      <c r="O688">
        <v>0.124956387</v>
      </c>
      <c r="P688">
        <v>79.867000000000004</v>
      </c>
      <c r="Q688">
        <v>82.722999999999999</v>
      </c>
      <c r="R688">
        <v>12.524827739999999</v>
      </c>
      <c r="S688">
        <v>0.57094920299999996</v>
      </c>
      <c r="T688">
        <v>4.6180000000000003</v>
      </c>
      <c r="U688">
        <v>0</v>
      </c>
      <c r="V688" s="1" t="str">
        <f>IF(Energy_data_1990___2020[[#This Row],[CO2 emissions from fuel combustion (MtCO2)]]&gt;Energy_data_1990___2020[[#Totals],[CO2 emissions from fuel combustion (MtCO2)]],"Above Average","")</f>
        <v/>
      </c>
      <c r="W688" s="1">
        <f>SUM(Energy_data_1990___2020[[#This Row],[Coal and lignite production (Mt)]]-Energy_data_1990___2020[[#This Row],[Coal and lignite domestic consumption (Mt)]])</f>
        <v>-12.524827739999999</v>
      </c>
    </row>
    <row r="689" spans="1:23">
      <c r="A689" t="s">
        <v>51</v>
      </c>
      <c r="B689">
        <v>1995</v>
      </c>
      <c r="C689" t="s">
        <v>30</v>
      </c>
      <c r="D689">
        <v>179.3944884</v>
      </c>
      <c r="E689">
        <v>2.452219296</v>
      </c>
      <c r="F689">
        <v>0.30940605100000002</v>
      </c>
      <c r="G689">
        <v>66.903349779999999</v>
      </c>
      <c r="H689">
        <v>73.155972930000004</v>
      </c>
      <c r="I689">
        <v>1.731233673</v>
      </c>
      <c r="J689">
        <v>11.742881690000001</v>
      </c>
      <c r="K689">
        <v>22.734000000000002</v>
      </c>
      <c r="L689">
        <v>59.418999999999997</v>
      </c>
      <c r="M689">
        <v>84.926062130000005</v>
      </c>
      <c r="N689">
        <v>48.972047840000002</v>
      </c>
      <c r="O689">
        <v>0.12617389100000001</v>
      </c>
      <c r="P689">
        <v>81.156000000000006</v>
      </c>
      <c r="Q689">
        <v>83.649000000000001</v>
      </c>
      <c r="R689">
        <v>13.865</v>
      </c>
      <c r="S689">
        <v>0.74547784500000003</v>
      </c>
      <c r="T689">
        <v>3.6480000000000001</v>
      </c>
      <c r="U689">
        <v>0</v>
      </c>
      <c r="V689" s="1" t="str">
        <f>IF(Energy_data_1990___2020[[#This Row],[CO2 emissions from fuel combustion (MtCO2)]]&gt;Energy_data_1990___2020[[#Totals],[CO2 emissions from fuel combustion (MtCO2)]],"Above Average","")</f>
        <v/>
      </c>
      <c r="W689" s="1">
        <f>SUM(Energy_data_1990___2020[[#This Row],[Coal and lignite production (Mt)]]-Energy_data_1990___2020[[#This Row],[Coal and lignite domestic consumption (Mt)]])</f>
        <v>-13.865</v>
      </c>
    </row>
    <row r="690" spans="1:23">
      <c r="A690" t="s">
        <v>51</v>
      </c>
      <c r="B690">
        <v>1996</v>
      </c>
      <c r="C690" t="s">
        <v>30</v>
      </c>
      <c r="D690">
        <v>188.6137683</v>
      </c>
      <c r="E690">
        <v>2.4535847049999999</v>
      </c>
      <c r="F690">
        <v>0.31430987599999999</v>
      </c>
      <c r="G690">
        <v>74.791237699999996</v>
      </c>
      <c r="H690">
        <v>76.872735579999997</v>
      </c>
      <c r="I690">
        <v>2.125891153</v>
      </c>
      <c r="J690">
        <v>11.46583081</v>
      </c>
      <c r="K690">
        <v>23.359000000000002</v>
      </c>
      <c r="L690">
        <v>60.890999999999998</v>
      </c>
      <c r="M690">
        <v>96.113938970000007</v>
      </c>
      <c r="N690">
        <v>54.273052040000003</v>
      </c>
      <c r="O690">
        <v>0.128102313</v>
      </c>
      <c r="P690">
        <v>85.423000000000002</v>
      </c>
      <c r="Q690">
        <v>87.221000000000004</v>
      </c>
      <c r="R690">
        <v>13.520968849999999</v>
      </c>
      <c r="S690">
        <v>0.79018531299999994</v>
      </c>
      <c r="T690">
        <v>3.2519999999999998</v>
      </c>
      <c r="U690">
        <v>0</v>
      </c>
      <c r="V690" s="1" t="str">
        <f>IF(Energy_data_1990___2020[[#This Row],[CO2 emissions from fuel combustion (MtCO2)]]&gt;Energy_data_1990___2020[[#Totals],[CO2 emissions from fuel combustion (MtCO2)]],"Above Average","")</f>
        <v/>
      </c>
      <c r="W690" s="1">
        <f>SUM(Energy_data_1990___2020[[#This Row],[Coal and lignite production (Mt)]]-Energy_data_1990___2020[[#This Row],[Coal and lignite domestic consumption (Mt)]])</f>
        <v>-13.520968849999999</v>
      </c>
    </row>
    <row r="691" spans="1:23">
      <c r="A691" t="s">
        <v>51</v>
      </c>
      <c r="B691">
        <v>1997</v>
      </c>
      <c r="C691" t="s">
        <v>30</v>
      </c>
      <c r="D691">
        <v>183.28722959999999</v>
      </c>
      <c r="E691">
        <v>2.451784811</v>
      </c>
      <c r="F691">
        <v>0.29275989000000002</v>
      </c>
      <c r="G691">
        <v>66.52046455</v>
      </c>
      <c r="H691">
        <v>74.756654339999997</v>
      </c>
      <c r="I691">
        <v>2.3311990009999999</v>
      </c>
      <c r="J691">
        <v>12.3481541</v>
      </c>
      <c r="K691">
        <v>23.312999999999999</v>
      </c>
      <c r="L691">
        <v>60.201000000000001</v>
      </c>
      <c r="M691">
        <v>85.126039329999998</v>
      </c>
      <c r="N691">
        <v>50.850980229999998</v>
      </c>
      <c r="O691">
        <v>0.119406845</v>
      </c>
      <c r="P691">
        <v>86.522000000000006</v>
      </c>
      <c r="Q691">
        <v>90.376999999999995</v>
      </c>
      <c r="R691">
        <v>13.56103115</v>
      </c>
      <c r="S691">
        <v>0.82522364299999995</v>
      </c>
      <c r="T691">
        <v>3.1440000000000001</v>
      </c>
      <c r="U691">
        <v>0</v>
      </c>
      <c r="V691" s="1" t="str">
        <f>IF(Energy_data_1990___2020[[#This Row],[CO2 emissions from fuel combustion (MtCO2)]]&gt;Energy_data_1990___2020[[#Totals],[CO2 emissions from fuel combustion (MtCO2)]],"Above Average","")</f>
        <v/>
      </c>
      <c r="W691" s="1">
        <f>SUM(Energy_data_1990___2020[[#This Row],[Coal and lignite production (Mt)]]-Energy_data_1990___2020[[#This Row],[Coal and lignite domestic consumption (Mt)]])</f>
        <v>-13.56103115</v>
      </c>
    </row>
    <row r="692" spans="1:23">
      <c r="A692" t="s">
        <v>51</v>
      </c>
      <c r="B692">
        <v>1998</v>
      </c>
      <c r="C692" t="s">
        <v>30</v>
      </c>
      <c r="D692">
        <v>183.6119712</v>
      </c>
      <c r="E692">
        <v>2.4380643439999998</v>
      </c>
      <c r="F692">
        <v>0.28020983599999999</v>
      </c>
      <c r="G692">
        <v>63.9289858</v>
      </c>
      <c r="H692">
        <v>75.310551840000002</v>
      </c>
      <c r="I692">
        <v>2.555012896</v>
      </c>
      <c r="J692">
        <v>12.81758013</v>
      </c>
      <c r="K692">
        <v>23.306000000000001</v>
      </c>
      <c r="L692">
        <v>61.716999999999999</v>
      </c>
      <c r="M692">
        <v>81.200013200000001</v>
      </c>
      <c r="N692">
        <v>50.21596134</v>
      </c>
      <c r="O692">
        <v>0.114931272</v>
      </c>
      <c r="P692">
        <v>91.114999999999995</v>
      </c>
      <c r="Q692">
        <v>93.656000000000006</v>
      </c>
      <c r="R692">
        <v>13.9</v>
      </c>
      <c r="S692">
        <v>0.93947209600000003</v>
      </c>
      <c r="T692">
        <v>2.8540000000000001</v>
      </c>
      <c r="U692">
        <v>0</v>
      </c>
      <c r="V692" s="1" t="str">
        <f>IF(Energy_data_1990___2020[[#This Row],[CO2 emissions from fuel combustion (MtCO2)]]&gt;Energy_data_1990___2020[[#Totals],[CO2 emissions from fuel combustion (MtCO2)]],"Above Average","")</f>
        <v/>
      </c>
      <c r="W692" s="1">
        <f>SUM(Energy_data_1990___2020[[#This Row],[Coal and lignite production (Mt)]]-Energy_data_1990___2020[[#This Row],[Coal and lignite domestic consumption (Mt)]])</f>
        <v>-13.9</v>
      </c>
    </row>
    <row r="693" spans="1:23">
      <c r="A693" t="s">
        <v>51</v>
      </c>
      <c r="B693">
        <v>1999</v>
      </c>
      <c r="C693" t="s">
        <v>30</v>
      </c>
      <c r="D693">
        <v>178.48039059999999</v>
      </c>
      <c r="E693">
        <v>2.4091543199999998</v>
      </c>
      <c r="F693">
        <v>0.259324045</v>
      </c>
      <c r="G693">
        <v>59.864315329999997</v>
      </c>
      <c r="H693">
        <v>74.084249880000002</v>
      </c>
      <c r="I693">
        <v>2.8909132839999998</v>
      </c>
      <c r="J693">
        <v>13.17162905</v>
      </c>
      <c r="K693">
        <v>23.376999999999999</v>
      </c>
      <c r="L693">
        <v>58.164000000000001</v>
      </c>
      <c r="M693">
        <v>75.506927300000001</v>
      </c>
      <c r="N693">
        <v>49.06604317</v>
      </c>
      <c r="O693">
        <v>0.10764111</v>
      </c>
      <c r="P693">
        <v>86.72</v>
      </c>
      <c r="Q693">
        <v>95.775999999999996</v>
      </c>
      <c r="R693">
        <v>11.89196885</v>
      </c>
      <c r="S693">
        <v>0.95479704799999998</v>
      </c>
      <c r="T693">
        <v>2.7610000000000001</v>
      </c>
      <c r="U693">
        <v>0</v>
      </c>
      <c r="V693" s="1" t="str">
        <f>IF(Energy_data_1990___2020[[#This Row],[CO2 emissions from fuel combustion (MtCO2)]]&gt;Energy_data_1990___2020[[#Totals],[CO2 emissions from fuel combustion (MtCO2)]],"Above Average","")</f>
        <v/>
      </c>
      <c r="W693" s="1">
        <f>SUM(Energy_data_1990___2020[[#This Row],[Coal and lignite production (Mt)]]-Energy_data_1990___2020[[#This Row],[Coal and lignite domestic consumption (Mt)]])</f>
        <v>-11.89196885</v>
      </c>
    </row>
    <row r="694" spans="1:23">
      <c r="A694" t="s">
        <v>51</v>
      </c>
      <c r="B694">
        <v>2000</v>
      </c>
      <c r="C694" t="s">
        <v>30</v>
      </c>
      <c r="D694">
        <v>179.51707099999999</v>
      </c>
      <c r="E694">
        <v>2.4006772440000002</v>
      </c>
      <c r="F694">
        <v>0.25032745000000001</v>
      </c>
      <c r="G694">
        <v>58.480198170000001</v>
      </c>
      <c r="H694">
        <v>74.777678440000003</v>
      </c>
      <c r="I694">
        <v>3.3158540670000001</v>
      </c>
      <c r="J694">
        <v>13.52426271</v>
      </c>
      <c r="K694">
        <v>23.117999999999999</v>
      </c>
      <c r="L694">
        <v>58.656999999999996</v>
      </c>
      <c r="M694">
        <v>73.621025290000006</v>
      </c>
      <c r="N694">
        <v>49.20393533</v>
      </c>
      <c r="O694">
        <v>0.10427367999999999</v>
      </c>
      <c r="P694">
        <v>89.63</v>
      </c>
      <c r="Q694">
        <v>98.591999999999999</v>
      </c>
      <c r="R694">
        <v>12.648999999999999</v>
      </c>
      <c r="S694">
        <v>1.20941649</v>
      </c>
      <c r="T694">
        <v>2.5680000000000001</v>
      </c>
      <c r="U694">
        <v>0</v>
      </c>
      <c r="V694" s="1" t="str">
        <f>IF(Energy_data_1990___2020[[#This Row],[CO2 emissions from fuel combustion (MtCO2)]]&gt;Energy_data_1990___2020[[#Totals],[CO2 emissions from fuel combustion (MtCO2)]],"Above Average","")</f>
        <v/>
      </c>
      <c r="W694" s="1">
        <f>SUM(Energy_data_1990___2020[[#This Row],[Coal and lignite production (Mt)]]-Energy_data_1990___2020[[#This Row],[Coal and lignite domestic consumption (Mt)]])</f>
        <v>-12.648999999999999</v>
      </c>
    </row>
    <row r="695" spans="1:23">
      <c r="A695" t="s">
        <v>51</v>
      </c>
      <c r="B695">
        <v>2001</v>
      </c>
      <c r="C695" t="s">
        <v>30</v>
      </c>
      <c r="D695">
        <v>184.28872240000001</v>
      </c>
      <c r="E695">
        <v>2.4010137340000002</v>
      </c>
      <c r="F695">
        <v>0.25113742100000003</v>
      </c>
      <c r="G695">
        <v>61.286947730000001</v>
      </c>
      <c r="H695">
        <v>76.754547389999999</v>
      </c>
      <c r="I695">
        <v>3.5254049090000001</v>
      </c>
      <c r="J695">
        <v>13.597905280000001</v>
      </c>
      <c r="K695">
        <v>23.446999999999999</v>
      </c>
      <c r="L695">
        <v>58.186999999999998</v>
      </c>
      <c r="M695">
        <v>77.563018909999997</v>
      </c>
      <c r="N695">
        <v>50.196947110000004</v>
      </c>
      <c r="O695">
        <v>0.104596412</v>
      </c>
      <c r="P695">
        <v>93.662999999999997</v>
      </c>
      <c r="Q695">
        <v>100.64</v>
      </c>
      <c r="R695">
        <v>13.439031610000001</v>
      </c>
      <c r="S695">
        <v>1.152002392</v>
      </c>
      <c r="T695">
        <v>2.4289999999999998</v>
      </c>
      <c r="U695">
        <v>0</v>
      </c>
      <c r="V695" s="1" t="str">
        <f>IF(Energy_data_1990___2020[[#This Row],[CO2 emissions from fuel combustion (MtCO2)]]&gt;Energy_data_1990___2020[[#Totals],[CO2 emissions from fuel combustion (MtCO2)]],"Above Average","")</f>
        <v/>
      </c>
      <c r="W695" s="1">
        <f>SUM(Energy_data_1990___2020[[#This Row],[Coal and lignite production (Mt)]]-Energy_data_1990___2020[[#This Row],[Coal and lignite domestic consumption (Mt)]])</f>
        <v>-13.439031610000001</v>
      </c>
    </row>
    <row r="696" spans="1:23">
      <c r="A696" t="s">
        <v>51</v>
      </c>
      <c r="B696">
        <v>2002</v>
      </c>
      <c r="C696" t="s">
        <v>30</v>
      </c>
      <c r="D696">
        <v>186.3161399</v>
      </c>
      <c r="E696">
        <v>2.4013196689999998</v>
      </c>
      <c r="F696">
        <v>0.25334980000000001</v>
      </c>
      <c r="G696">
        <v>61.288505209999997</v>
      </c>
      <c r="H696">
        <v>77.58906168</v>
      </c>
      <c r="I696">
        <v>4.1403596509999998</v>
      </c>
      <c r="J696">
        <v>13.662509330000001</v>
      </c>
      <c r="K696">
        <v>23.87</v>
      </c>
      <c r="L696">
        <v>53.603999999999999</v>
      </c>
      <c r="M696">
        <v>76.209927050000005</v>
      </c>
      <c r="N696">
        <v>49.687036020000001</v>
      </c>
      <c r="O696">
        <v>0.105504404</v>
      </c>
      <c r="P696">
        <v>95.981999999999999</v>
      </c>
      <c r="Q696">
        <v>102.128</v>
      </c>
      <c r="R696">
        <v>13.39296839</v>
      </c>
      <c r="S696">
        <v>1.2408576609999999</v>
      </c>
      <c r="T696">
        <v>3.2120000000000002</v>
      </c>
      <c r="U696">
        <v>0</v>
      </c>
      <c r="V696" s="1" t="str">
        <f>IF(Energy_data_1990___2020[[#This Row],[CO2 emissions from fuel combustion (MtCO2)]]&gt;Energy_data_1990___2020[[#Totals],[CO2 emissions from fuel combustion (MtCO2)]],"Above Average","")</f>
        <v/>
      </c>
      <c r="W696" s="1">
        <f>SUM(Energy_data_1990___2020[[#This Row],[Coal and lignite production (Mt)]]-Energy_data_1990___2020[[#This Row],[Coal and lignite domestic consumption (Mt)]])</f>
        <v>-13.39296839</v>
      </c>
    </row>
    <row r="697" spans="1:23">
      <c r="A697" t="s">
        <v>51</v>
      </c>
      <c r="B697">
        <v>2003</v>
      </c>
      <c r="C697" t="s">
        <v>30</v>
      </c>
      <c r="D697">
        <v>189.45105649999999</v>
      </c>
      <c r="E697">
        <v>2.354338883</v>
      </c>
      <c r="F697">
        <v>0.25721227000000002</v>
      </c>
      <c r="G697">
        <v>59.048858250000002</v>
      </c>
      <c r="H697">
        <v>80.468898490000001</v>
      </c>
      <c r="I697">
        <v>4.0922142580000003</v>
      </c>
      <c r="J697">
        <v>13.36394351</v>
      </c>
      <c r="K697">
        <v>26.02</v>
      </c>
      <c r="L697">
        <v>56.219000000000001</v>
      </c>
      <c r="M697">
        <v>72.848062920000004</v>
      </c>
      <c r="N697">
        <v>50.026065410000001</v>
      </c>
      <c r="O697">
        <v>0.109250317</v>
      </c>
      <c r="P697">
        <v>96.817999999999998</v>
      </c>
      <c r="Q697">
        <v>103.804</v>
      </c>
      <c r="R697">
        <v>13.723000000000001</v>
      </c>
      <c r="S697">
        <v>1.618500692</v>
      </c>
      <c r="T697">
        <v>3.29</v>
      </c>
      <c r="U697">
        <v>0</v>
      </c>
      <c r="V697" s="1" t="str">
        <f>IF(Energy_data_1990___2020[[#This Row],[CO2 emissions from fuel combustion (MtCO2)]]&gt;Energy_data_1990___2020[[#Totals],[CO2 emissions from fuel combustion (MtCO2)]],"Above Average","")</f>
        <v/>
      </c>
      <c r="W697" s="1">
        <f>SUM(Energy_data_1990___2020[[#This Row],[Coal and lignite production (Mt)]]-Energy_data_1990___2020[[#This Row],[Coal and lignite domestic consumption (Mt)]])</f>
        <v>-13.723000000000001</v>
      </c>
    </row>
    <row r="698" spans="1:23">
      <c r="A698" t="s">
        <v>51</v>
      </c>
      <c r="B698">
        <v>2004</v>
      </c>
      <c r="C698" t="s">
        <v>30</v>
      </c>
      <c r="D698">
        <v>191.37235799999999</v>
      </c>
      <c r="E698">
        <v>2.3574239010000002</v>
      </c>
      <c r="F698">
        <v>0.25476384200000002</v>
      </c>
      <c r="G698">
        <v>68.240637160000006</v>
      </c>
      <c r="H698">
        <v>81.17859412</v>
      </c>
      <c r="I698">
        <v>5.2433457819999996</v>
      </c>
      <c r="J698">
        <v>13.590094329999999</v>
      </c>
      <c r="K698">
        <v>26.071999999999999</v>
      </c>
      <c r="L698">
        <v>58.277999999999999</v>
      </c>
      <c r="M698">
        <v>85.924887220000002</v>
      </c>
      <c r="N698">
        <v>51.224024569999997</v>
      </c>
      <c r="O698">
        <v>0.10806874499999999</v>
      </c>
      <c r="P698">
        <v>101.214</v>
      </c>
      <c r="Q698">
        <v>106.306</v>
      </c>
      <c r="R698">
        <v>13.50103161</v>
      </c>
      <c r="S698">
        <v>2.0827158300000002</v>
      </c>
      <c r="T698">
        <v>2.988</v>
      </c>
      <c r="U698">
        <v>0</v>
      </c>
      <c r="V698" s="1" t="str">
        <f>IF(Energy_data_1990___2020[[#This Row],[CO2 emissions from fuel combustion (MtCO2)]]&gt;Energy_data_1990___2020[[#Totals],[CO2 emissions from fuel combustion (MtCO2)]],"Above Average","")</f>
        <v/>
      </c>
      <c r="W698" s="1">
        <f>SUM(Energy_data_1990___2020[[#This Row],[Coal and lignite production (Mt)]]-Energy_data_1990___2020[[#This Row],[Coal and lignite domestic consumption (Mt)]])</f>
        <v>-13.50103161</v>
      </c>
    </row>
    <row r="699" spans="1:23">
      <c r="A699" t="s">
        <v>51</v>
      </c>
      <c r="B699">
        <v>2005</v>
      </c>
      <c r="C699" t="s">
        <v>30</v>
      </c>
      <c r="D699">
        <v>188.1689599</v>
      </c>
      <c r="E699">
        <v>2.354501876</v>
      </c>
      <c r="F699">
        <v>0.245465143</v>
      </c>
      <c r="G699">
        <v>62.464470310000003</v>
      </c>
      <c r="H699">
        <v>79.918798050000007</v>
      </c>
      <c r="I699">
        <v>7.4507370679999996</v>
      </c>
      <c r="J699">
        <v>13.941173389999999</v>
      </c>
      <c r="K699">
        <v>25.777000000000001</v>
      </c>
      <c r="L699">
        <v>58.878</v>
      </c>
      <c r="M699">
        <v>78.386899389999996</v>
      </c>
      <c r="N699">
        <v>49.758959529999998</v>
      </c>
      <c r="O699">
        <v>0.10425353499999999</v>
      </c>
      <c r="P699">
        <v>99.923000000000002</v>
      </c>
      <c r="Q699">
        <v>108.48099999999999</v>
      </c>
      <c r="R699">
        <v>12.859</v>
      </c>
      <c r="S699">
        <v>2.3658216830000001</v>
      </c>
      <c r="T699">
        <v>2.4670000000000001</v>
      </c>
      <c r="U699">
        <v>0</v>
      </c>
      <c r="V699" s="1" t="str">
        <f>IF(Energy_data_1990___2020[[#This Row],[CO2 emissions from fuel combustion (MtCO2)]]&gt;Energy_data_1990___2020[[#Totals],[CO2 emissions from fuel combustion (MtCO2)]],"Above Average","")</f>
        <v/>
      </c>
      <c r="W699" s="1">
        <f>SUM(Energy_data_1990___2020[[#This Row],[Coal and lignite production (Mt)]]-Energy_data_1990___2020[[#This Row],[Coal and lignite domestic consumption (Mt)]])</f>
        <v>-12.859</v>
      </c>
    </row>
    <row r="700" spans="1:23">
      <c r="A700" t="s">
        <v>51</v>
      </c>
      <c r="B700">
        <v>2006</v>
      </c>
      <c r="C700" t="s">
        <v>30</v>
      </c>
      <c r="D700">
        <v>183.53430639999999</v>
      </c>
      <c r="E700">
        <v>2.3194439469999999</v>
      </c>
      <c r="F700">
        <v>0.23141018699999999</v>
      </c>
      <c r="G700">
        <v>61.472797620000001</v>
      </c>
      <c r="H700">
        <v>79.128580200000002</v>
      </c>
      <c r="I700">
        <v>8.1461469970000007</v>
      </c>
      <c r="J700">
        <v>14.20284751</v>
      </c>
      <c r="K700">
        <v>25.673999999999999</v>
      </c>
      <c r="L700">
        <v>57.512999999999998</v>
      </c>
      <c r="M700">
        <v>77.389941539999995</v>
      </c>
      <c r="N700">
        <v>47.79606467</v>
      </c>
      <c r="O700">
        <v>9.9769682999999998E-2</v>
      </c>
      <c r="P700">
        <v>98.831999999999994</v>
      </c>
      <c r="Q700">
        <v>109.62</v>
      </c>
      <c r="R700">
        <v>12.401</v>
      </c>
      <c r="S700">
        <v>2.9524850250000001</v>
      </c>
      <c r="T700">
        <v>2.19</v>
      </c>
      <c r="U700">
        <v>0</v>
      </c>
      <c r="V700" s="1" t="str">
        <f>IF(Energy_data_1990___2020[[#This Row],[CO2 emissions from fuel combustion (MtCO2)]]&gt;Energy_data_1990___2020[[#Totals],[CO2 emissions from fuel combustion (MtCO2)]],"Above Average","")</f>
        <v/>
      </c>
      <c r="W700" s="1">
        <f>SUM(Energy_data_1990___2020[[#This Row],[Coal and lignite production (Mt)]]-Energy_data_1990___2020[[#This Row],[Coal and lignite domestic consumption (Mt)]])</f>
        <v>-12.401</v>
      </c>
    </row>
    <row r="701" spans="1:23">
      <c r="A701" t="s">
        <v>51</v>
      </c>
      <c r="B701">
        <v>2007</v>
      </c>
      <c r="C701" t="s">
        <v>30</v>
      </c>
      <c r="D701">
        <v>184.0467764</v>
      </c>
      <c r="E701">
        <v>2.3345688189999998</v>
      </c>
      <c r="F701">
        <v>0.22361952500000001</v>
      </c>
      <c r="G701">
        <v>60.21300008</v>
      </c>
      <c r="H701">
        <v>78.835447009999996</v>
      </c>
      <c r="I701">
        <v>7.2106424249999996</v>
      </c>
      <c r="J701">
        <v>14.70867484</v>
      </c>
      <c r="K701">
        <v>26.15</v>
      </c>
      <c r="L701">
        <v>55.991</v>
      </c>
      <c r="M701">
        <v>74.390906720000004</v>
      </c>
      <c r="N701">
        <v>46.605937169999997</v>
      </c>
      <c r="O701">
        <v>9.5786221000000005E-2</v>
      </c>
      <c r="P701">
        <v>105.164</v>
      </c>
      <c r="Q701">
        <v>111.925</v>
      </c>
      <c r="R701">
        <v>13.494968849999999</v>
      </c>
      <c r="S701">
        <v>3.4707694650000001</v>
      </c>
      <c r="T701">
        <v>2.74</v>
      </c>
      <c r="U701">
        <v>0</v>
      </c>
      <c r="V701" s="1" t="str">
        <f>IF(Energy_data_1990___2020[[#This Row],[CO2 emissions from fuel combustion (MtCO2)]]&gt;Energy_data_1990___2020[[#Totals],[CO2 emissions from fuel combustion (MtCO2)]],"Above Average","")</f>
        <v/>
      </c>
      <c r="W701" s="1">
        <f>SUM(Energy_data_1990___2020[[#This Row],[Coal and lignite production (Mt)]]-Energy_data_1990___2020[[#This Row],[Coal and lignite domestic consumption (Mt)]])</f>
        <v>-13.494968849999999</v>
      </c>
    </row>
    <row r="702" spans="1:23">
      <c r="A702" t="s">
        <v>51</v>
      </c>
      <c r="B702">
        <v>2008</v>
      </c>
      <c r="C702" t="s">
        <v>30</v>
      </c>
      <c r="D702">
        <v>183.4798538</v>
      </c>
      <c r="E702">
        <v>2.346205844</v>
      </c>
      <c r="F702">
        <v>0.218195162</v>
      </c>
      <c r="G702">
        <v>67.726958089999997</v>
      </c>
      <c r="H702">
        <v>78.202794650000001</v>
      </c>
      <c r="I702">
        <v>8.8617598930000003</v>
      </c>
      <c r="J702">
        <v>14.89728876</v>
      </c>
      <c r="K702">
        <v>24.937000000000001</v>
      </c>
      <c r="L702">
        <v>56.244999999999997</v>
      </c>
      <c r="M702">
        <v>85.076037529999994</v>
      </c>
      <c r="N702">
        <v>48.51501245</v>
      </c>
      <c r="O702">
        <v>9.2999155999999999E-2</v>
      </c>
      <c r="P702">
        <v>107.55200000000001</v>
      </c>
      <c r="Q702">
        <v>112.733</v>
      </c>
      <c r="R702">
        <v>12.813000000000001</v>
      </c>
      <c r="S702">
        <v>4.134744124</v>
      </c>
      <c r="T702">
        <v>2.2890000000000001</v>
      </c>
      <c r="U702">
        <v>0</v>
      </c>
      <c r="V702" s="1" t="str">
        <f>IF(Energy_data_1990___2020[[#This Row],[CO2 emissions from fuel combustion (MtCO2)]]&gt;Energy_data_1990___2020[[#Totals],[CO2 emissions from fuel combustion (MtCO2)]],"Above Average","")</f>
        <v/>
      </c>
      <c r="W702" s="1">
        <f>SUM(Energy_data_1990___2020[[#This Row],[Coal and lignite production (Mt)]]-Energy_data_1990___2020[[#This Row],[Coal and lignite domestic consumption (Mt)]])</f>
        <v>-12.813000000000001</v>
      </c>
    </row>
    <row r="703" spans="1:23">
      <c r="A703" t="s">
        <v>51</v>
      </c>
      <c r="B703">
        <v>2009</v>
      </c>
      <c r="C703" t="s">
        <v>30</v>
      </c>
      <c r="D703">
        <v>178.1660937</v>
      </c>
      <c r="E703">
        <v>2.3099488340000001</v>
      </c>
      <c r="F703">
        <v>0.219940993</v>
      </c>
      <c r="G703">
        <v>62.994136699999999</v>
      </c>
      <c r="H703">
        <v>77.129887499999995</v>
      </c>
      <c r="I703">
        <v>9.5321447110000008</v>
      </c>
      <c r="J703">
        <v>14.696943559999999</v>
      </c>
      <c r="K703">
        <v>23.995000000000001</v>
      </c>
      <c r="L703">
        <v>55.015000000000001</v>
      </c>
      <c r="M703">
        <v>78.587111710000002</v>
      </c>
      <c r="N703">
        <v>49.677014909999997</v>
      </c>
      <c r="O703">
        <v>9.5214660000000007E-2</v>
      </c>
      <c r="P703">
        <v>113.68899999999999</v>
      </c>
      <c r="Q703">
        <v>108.79900000000001</v>
      </c>
      <c r="R703">
        <v>12.054000459999999</v>
      </c>
      <c r="S703">
        <v>4.1833422760000003</v>
      </c>
      <c r="T703">
        <v>1.867</v>
      </c>
      <c r="U703">
        <v>0</v>
      </c>
      <c r="V703" s="1" t="str">
        <f>IF(Energy_data_1990___2020[[#This Row],[CO2 emissions from fuel combustion (MtCO2)]]&gt;Energy_data_1990___2020[[#Totals],[CO2 emissions from fuel combustion (MtCO2)]],"Above Average","")</f>
        <v/>
      </c>
      <c r="W703" s="1">
        <f>SUM(Energy_data_1990___2020[[#This Row],[Coal and lignite production (Mt)]]-Energy_data_1990___2020[[#This Row],[Coal and lignite domestic consumption (Mt)]])</f>
        <v>-12.054000459999999</v>
      </c>
    </row>
    <row r="704" spans="1:23">
      <c r="A704" t="s">
        <v>51</v>
      </c>
      <c r="B704">
        <v>2010</v>
      </c>
      <c r="C704" t="s">
        <v>30</v>
      </c>
      <c r="D704">
        <v>190.79654339999999</v>
      </c>
      <c r="E704">
        <v>2.3063119049999998</v>
      </c>
      <c r="F704">
        <v>0.23241223499999999</v>
      </c>
      <c r="G704">
        <v>71.189019619999996</v>
      </c>
      <c r="H704">
        <v>82.727987909999996</v>
      </c>
      <c r="I704">
        <v>9.3880220340000005</v>
      </c>
      <c r="J704">
        <v>13.923609470000001</v>
      </c>
      <c r="K704">
        <v>25.151</v>
      </c>
      <c r="L704">
        <v>57.981999999999999</v>
      </c>
      <c r="M704">
        <v>90.304929079999994</v>
      </c>
      <c r="N704">
        <v>56.151017420000002</v>
      </c>
      <c r="O704">
        <v>0.10077224799999999</v>
      </c>
      <c r="P704">
        <v>119.26900000000001</v>
      </c>
      <c r="Q704">
        <v>112.3</v>
      </c>
      <c r="R704">
        <v>12.097031149999999</v>
      </c>
      <c r="S704">
        <v>3.524805272</v>
      </c>
      <c r="T704">
        <v>1.587</v>
      </c>
      <c r="U704">
        <v>0</v>
      </c>
      <c r="V704" s="1" t="str">
        <f>IF(Energy_data_1990___2020[[#This Row],[CO2 emissions from fuel combustion (MtCO2)]]&gt;Energy_data_1990___2020[[#Totals],[CO2 emissions from fuel combustion (MtCO2)]],"Above Average","")</f>
        <v/>
      </c>
      <c r="W704" s="1">
        <f>SUM(Energy_data_1990___2020[[#This Row],[Coal and lignite production (Mt)]]-Energy_data_1990___2020[[#This Row],[Coal and lignite domestic consumption (Mt)]])</f>
        <v>-12.097031149999999</v>
      </c>
    </row>
    <row r="705" spans="1:23">
      <c r="A705" t="s">
        <v>51</v>
      </c>
      <c r="B705">
        <v>2011</v>
      </c>
      <c r="C705" t="s">
        <v>30</v>
      </c>
      <c r="D705">
        <v>178.5152631</v>
      </c>
      <c r="E705">
        <v>2.3187236699999998</v>
      </c>
      <c r="F705">
        <v>0.21413064500000001</v>
      </c>
      <c r="G705">
        <v>66.447973730000001</v>
      </c>
      <c r="H705">
        <v>76.988588789999994</v>
      </c>
      <c r="I705">
        <v>10.81247093</v>
      </c>
      <c r="J705">
        <v>15.014257499999999</v>
      </c>
      <c r="K705">
        <v>24.132999999999999</v>
      </c>
      <c r="L705">
        <v>56.954000000000001</v>
      </c>
      <c r="M705">
        <v>83.381994770000006</v>
      </c>
      <c r="N705">
        <v>49.173010589999997</v>
      </c>
      <c r="O705">
        <v>9.2348497000000002E-2</v>
      </c>
      <c r="P705">
        <v>113.961</v>
      </c>
      <c r="Q705">
        <v>112.958</v>
      </c>
      <c r="R705">
        <v>11.938000000000001</v>
      </c>
      <c r="S705">
        <v>4.6972209789999999</v>
      </c>
      <c r="T705">
        <v>1.5940000000000001</v>
      </c>
      <c r="U705">
        <v>0</v>
      </c>
      <c r="V705" s="1" t="str">
        <f>IF(Energy_data_1990___2020[[#This Row],[CO2 emissions from fuel combustion (MtCO2)]]&gt;Energy_data_1990___2020[[#Totals],[CO2 emissions from fuel combustion (MtCO2)]],"Above Average","")</f>
        <v/>
      </c>
      <c r="W705" s="1">
        <f>SUM(Energy_data_1990___2020[[#This Row],[Coal and lignite production (Mt)]]-Energy_data_1990___2020[[#This Row],[Coal and lignite domestic consumption (Mt)]])</f>
        <v>-11.938000000000001</v>
      </c>
    </row>
    <row r="706" spans="1:23">
      <c r="A706" t="s">
        <v>51</v>
      </c>
      <c r="B706">
        <v>2012</v>
      </c>
      <c r="C706" t="s">
        <v>30</v>
      </c>
      <c r="D706">
        <v>176.7764593</v>
      </c>
      <c r="E706">
        <v>2.2939408270000001</v>
      </c>
      <c r="F706">
        <v>0.21425249299999999</v>
      </c>
      <c r="G706">
        <v>66.111260209999998</v>
      </c>
      <c r="H706">
        <v>77.062344940000003</v>
      </c>
      <c r="I706">
        <v>12.08795467</v>
      </c>
      <c r="J706">
        <v>14.362551310000001</v>
      </c>
      <c r="K706">
        <v>24.52</v>
      </c>
      <c r="L706">
        <v>56.639000000000003</v>
      </c>
      <c r="M706">
        <v>82.068885879999996</v>
      </c>
      <c r="N706">
        <v>47.21403033</v>
      </c>
      <c r="O706">
        <v>9.3399310999999999E-2</v>
      </c>
      <c r="P706">
        <v>103.235</v>
      </c>
      <c r="Q706">
        <v>108.902</v>
      </c>
      <c r="R706">
        <v>13.127968389999999</v>
      </c>
      <c r="S706">
        <v>5.1523223710000003</v>
      </c>
      <c r="T706">
        <v>1.6419999999999999</v>
      </c>
      <c r="U706">
        <v>0</v>
      </c>
      <c r="V706" s="1" t="str">
        <f>IF(Energy_data_1990___2020[[#This Row],[CO2 emissions from fuel combustion (MtCO2)]]&gt;Energy_data_1990___2020[[#Totals],[CO2 emissions from fuel combustion (MtCO2)]],"Above Average","")</f>
        <v/>
      </c>
      <c r="W706" s="1">
        <f>SUM(Energy_data_1990___2020[[#This Row],[Coal and lignite production (Mt)]]-Energy_data_1990___2020[[#This Row],[Coal and lignite domestic consumption (Mt)]])</f>
        <v>-13.127968389999999</v>
      </c>
    </row>
    <row r="707" spans="1:23">
      <c r="A707" t="s">
        <v>51</v>
      </c>
      <c r="B707">
        <v>2013</v>
      </c>
      <c r="C707" t="s">
        <v>30</v>
      </c>
      <c r="D707">
        <v>175.19205049999999</v>
      </c>
      <c r="E707">
        <v>2.322515514</v>
      </c>
      <c r="F707">
        <v>0.21260895899999999</v>
      </c>
      <c r="G707">
        <v>69.755494130000002</v>
      </c>
      <c r="H707">
        <v>75.432025940000003</v>
      </c>
      <c r="I707">
        <v>11.91183706</v>
      </c>
      <c r="J707">
        <v>14.637705990000001</v>
      </c>
      <c r="K707">
        <v>23.373999999999999</v>
      </c>
      <c r="L707">
        <v>55.381</v>
      </c>
      <c r="M707">
        <v>86.871891779999999</v>
      </c>
      <c r="N707">
        <v>47.02998272</v>
      </c>
      <c r="O707">
        <v>9.1542535999999994E-2</v>
      </c>
      <c r="P707">
        <v>101.63</v>
      </c>
      <c r="Q707">
        <v>110.321</v>
      </c>
      <c r="R707">
        <v>13.10506277</v>
      </c>
      <c r="S707">
        <v>6.0612024010000001</v>
      </c>
      <c r="T707">
        <v>1.6839999999999999</v>
      </c>
      <c r="U707">
        <v>0</v>
      </c>
      <c r="V707" s="1" t="str">
        <f>IF(Energy_data_1990___2020[[#This Row],[CO2 emissions from fuel combustion (MtCO2)]]&gt;Energy_data_1990___2020[[#Totals],[CO2 emissions from fuel combustion (MtCO2)]],"Above Average","")</f>
        <v/>
      </c>
      <c r="W707" s="1">
        <f>SUM(Energy_data_1990___2020[[#This Row],[Coal and lignite production (Mt)]]-Energy_data_1990___2020[[#This Row],[Coal and lignite domestic consumption (Mt)]])</f>
        <v>-13.10506277</v>
      </c>
    </row>
    <row r="708" spans="1:23">
      <c r="A708" t="s">
        <v>51</v>
      </c>
      <c r="B708">
        <v>2014</v>
      </c>
      <c r="C708" t="s">
        <v>30</v>
      </c>
      <c r="D708">
        <v>168.3652878</v>
      </c>
      <c r="E708">
        <v>2.3681471909999998</v>
      </c>
      <c r="F708">
        <v>0.20145663599999999</v>
      </c>
      <c r="G708">
        <v>60.279402230000002</v>
      </c>
      <c r="H708">
        <v>71.095786799999999</v>
      </c>
      <c r="I708">
        <v>11.270644470000001</v>
      </c>
      <c r="J708">
        <v>15.382181920000001</v>
      </c>
      <c r="K708">
        <v>22.640999999999998</v>
      </c>
      <c r="L708">
        <v>56.579000000000001</v>
      </c>
      <c r="M708">
        <v>72.451003330000006</v>
      </c>
      <c r="N708">
        <v>41.450943340000002</v>
      </c>
      <c r="O708">
        <v>8.5069304999999998E-2</v>
      </c>
      <c r="P708">
        <v>103.357</v>
      </c>
      <c r="Q708">
        <v>107.291</v>
      </c>
      <c r="R708">
        <v>14.616</v>
      </c>
      <c r="S708">
        <v>6.4514256410000002</v>
      </c>
      <c r="T708">
        <v>2.032</v>
      </c>
      <c r="U708">
        <v>0</v>
      </c>
      <c r="V708" s="1" t="str">
        <f>IF(Energy_data_1990___2020[[#This Row],[CO2 emissions from fuel combustion (MtCO2)]]&gt;Energy_data_1990___2020[[#Totals],[CO2 emissions from fuel combustion (MtCO2)]],"Above Average","")</f>
        <v/>
      </c>
      <c r="W708" s="1">
        <f>SUM(Energy_data_1990___2020[[#This Row],[Coal and lignite production (Mt)]]-Energy_data_1990___2020[[#This Row],[Coal and lignite domestic consumption (Mt)]])</f>
        <v>-14.616</v>
      </c>
    </row>
    <row r="709" spans="1:23">
      <c r="A709" t="s">
        <v>51</v>
      </c>
      <c r="B709">
        <v>2015</v>
      </c>
      <c r="C709" t="s">
        <v>30</v>
      </c>
      <c r="D709">
        <v>175.52194370000001</v>
      </c>
      <c r="E709">
        <v>2.4350032320000001</v>
      </c>
      <c r="F709">
        <v>0.205984314</v>
      </c>
      <c r="G709">
        <v>47.89269633</v>
      </c>
      <c r="H709">
        <v>72.082838100000004</v>
      </c>
      <c r="I709">
        <v>12.398079360000001</v>
      </c>
      <c r="J709">
        <v>15.44573138</v>
      </c>
      <c r="K709">
        <v>23.388999999999999</v>
      </c>
      <c r="L709">
        <v>59.091000000000001</v>
      </c>
      <c r="M709">
        <v>55.043042419999999</v>
      </c>
      <c r="N709">
        <v>41.020090459999999</v>
      </c>
      <c r="O709">
        <v>8.4593034999999997E-2</v>
      </c>
      <c r="P709">
        <v>110.38</v>
      </c>
      <c r="Q709">
        <v>109.928</v>
      </c>
      <c r="R709">
        <v>17.875031610000001</v>
      </c>
      <c r="S709">
        <v>7.9797064689999999</v>
      </c>
      <c r="T709">
        <v>2.0059999999999998</v>
      </c>
      <c r="U709">
        <v>0</v>
      </c>
      <c r="V709" s="1" t="str">
        <f>IF(Energy_data_1990___2020[[#This Row],[CO2 emissions from fuel combustion (MtCO2)]]&gt;Energy_data_1990___2020[[#Totals],[CO2 emissions from fuel combustion (MtCO2)]],"Above Average","")</f>
        <v/>
      </c>
      <c r="W709" s="1">
        <f>SUM(Energy_data_1990___2020[[#This Row],[Coal and lignite production (Mt)]]-Energy_data_1990___2020[[#This Row],[Coal and lignite domestic consumption (Mt)]])</f>
        <v>-17.875031610000001</v>
      </c>
    </row>
    <row r="710" spans="1:23">
      <c r="A710" t="s">
        <v>51</v>
      </c>
      <c r="B710">
        <v>2016</v>
      </c>
      <c r="C710" t="s">
        <v>30</v>
      </c>
      <c r="D710">
        <v>175.62078099999999</v>
      </c>
      <c r="E710">
        <v>2.3863752859999998</v>
      </c>
      <c r="F710">
        <v>0.201680056</v>
      </c>
      <c r="G710">
        <v>46.025400920000003</v>
      </c>
      <c r="H710">
        <v>73.593110879999998</v>
      </c>
      <c r="I710">
        <v>12.825920910000001</v>
      </c>
      <c r="J710">
        <v>15.38586145</v>
      </c>
      <c r="K710">
        <v>24.239000000000001</v>
      </c>
      <c r="L710">
        <v>60.097000000000001</v>
      </c>
      <c r="M710">
        <v>53.138988699999999</v>
      </c>
      <c r="N710">
        <v>42.122055619999998</v>
      </c>
      <c r="O710">
        <v>8.4513135000000003E-2</v>
      </c>
      <c r="P710">
        <v>115.212</v>
      </c>
      <c r="Q710">
        <v>111.44499999999999</v>
      </c>
      <c r="R710">
        <v>16.423999999999999</v>
      </c>
      <c r="S710">
        <v>8.6015345619999994</v>
      </c>
      <c r="T710">
        <v>1.569</v>
      </c>
      <c r="U710">
        <v>0</v>
      </c>
      <c r="V710" s="1" t="str">
        <f>IF(Energy_data_1990___2020[[#This Row],[CO2 emissions from fuel combustion (MtCO2)]]&gt;Energy_data_1990___2020[[#Totals],[CO2 emissions from fuel combustion (MtCO2)]],"Above Average","")</f>
        <v/>
      </c>
      <c r="W710" s="1">
        <f>SUM(Energy_data_1990___2020[[#This Row],[Coal and lignite production (Mt)]]-Energy_data_1990___2020[[#This Row],[Coal and lignite domestic consumption (Mt)]])</f>
        <v>-16.423999999999999</v>
      </c>
    </row>
    <row r="711" spans="1:23">
      <c r="A711" t="s">
        <v>51</v>
      </c>
      <c r="B711">
        <v>2017</v>
      </c>
      <c r="C711" t="s">
        <v>30</v>
      </c>
      <c r="D711">
        <v>173.62545410000001</v>
      </c>
      <c r="E711">
        <v>2.338409994</v>
      </c>
      <c r="F711">
        <v>0.19374881499999999</v>
      </c>
      <c r="G711">
        <v>41.672934380000001</v>
      </c>
      <c r="H711">
        <v>74.249363689999996</v>
      </c>
      <c r="I711">
        <v>14.869535129999999</v>
      </c>
      <c r="J711">
        <v>15.21380087</v>
      </c>
      <c r="K711">
        <v>24.813099999999999</v>
      </c>
      <c r="L711">
        <v>59.664239999999999</v>
      </c>
      <c r="M711">
        <v>46.228763739999998</v>
      </c>
      <c r="N711">
        <v>43.54567728</v>
      </c>
      <c r="O711">
        <v>8.2854938000000003E-2</v>
      </c>
      <c r="P711">
        <v>117.263249</v>
      </c>
      <c r="Q711">
        <v>112.27378400000001</v>
      </c>
      <c r="R711">
        <v>14.717435</v>
      </c>
      <c r="S711">
        <v>11.003079919999999</v>
      </c>
      <c r="T711">
        <v>1.4701820000000001</v>
      </c>
      <c r="U711">
        <v>0</v>
      </c>
      <c r="V711" s="1" t="str">
        <f>IF(Energy_data_1990___2020[[#This Row],[CO2 emissions from fuel combustion (MtCO2)]]&gt;Energy_data_1990___2020[[#Totals],[CO2 emissions from fuel combustion (MtCO2)]],"Above Average","")</f>
        <v/>
      </c>
      <c r="W711" s="1">
        <f>SUM(Energy_data_1990___2020[[#This Row],[Coal and lignite production (Mt)]]-Energy_data_1990___2020[[#This Row],[Coal and lignite domestic consumption (Mt)]])</f>
        <v>-14.717435</v>
      </c>
    </row>
    <row r="712" spans="1:23">
      <c r="A712" t="s">
        <v>51</v>
      </c>
      <c r="B712">
        <v>2018</v>
      </c>
      <c r="C712" t="s">
        <v>30</v>
      </c>
      <c r="D712">
        <v>166.9314535</v>
      </c>
      <c r="E712">
        <v>2.288377423</v>
      </c>
      <c r="F712">
        <v>0.18156296</v>
      </c>
      <c r="G712">
        <v>36.437346359999999</v>
      </c>
      <c r="H712">
        <v>72.94751814</v>
      </c>
      <c r="I712">
        <v>16.49742225</v>
      </c>
      <c r="J712">
        <v>15.61553417</v>
      </c>
      <c r="K712">
        <v>24.633647</v>
      </c>
      <c r="L712">
        <v>60.915770999999999</v>
      </c>
      <c r="M712">
        <v>38.752463310000003</v>
      </c>
      <c r="N712">
        <v>42.58923231</v>
      </c>
      <c r="O712">
        <v>7.9341353000000003E-2</v>
      </c>
      <c r="P712">
        <v>114.468277</v>
      </c>
      <c r="Q712">
        <v>114.036007</v>
      </c>
      <c r="R712">
        <v>13.07474904</v>
      </c>
      <c r="S712">
        <v>12.545115880000001</v>
      </c>
      <c r="T712">
        <v>1.479506</v>
      </c>
      <c r="U712">
        <v>0</v>
      </c>
      <c r="V712" s="1" t="str">
        <f>IF(Energy_data_1990___2020[[#This Row],[CO2 emissions from fuel combustion (MtCO2)]]&gt;Energy_data_1990___2020[[#Totals],[CO2 emissions from fuel combustion (MtCO2)]],"Above Average","")</f>
        <v/>
      </c>
      <c r="W712" s="1">
        <f>SUM(Energy_data_1990___2020[[#This Row],[Coal and lignite production (Mt)]]-Energy_data_1990___2020[[#This Row],[Coal and lignite domestic consumption (Mt)]])</f>
        <v>-13.07474904</v>
      </c>
    </row>
    <row r="713" spans="1:23">
      <c r="A713" t="s">
        <v>51</v>
      </c>
      <c r="B713">
        <v>2019</v>
      </c>
      <c r="C713" t="s">
        <v>30</v>
      </c>
      <c r="D713">
        <v>160.39040539999999</v>
      </c>
      <c r="E713">
        <v>2.2378541439999999</v>
      </c>
      <c r="F713">
        <v>0.17153253700000001</v>
      </c>
      <c r="G713">
        <v>33.334312089999997</v>
      </c>
      <c r="H713">
        <v>71.671518800000001</v>
      </c>
      <c r="I713">
        <v>18.02251433</v>
      </c>
      <c r="J713">
        <v>15.82936333</v>
      </c>
      <c r="K713">
        <v>23.48875344</v>
      </c>
      <c r="L713">
        <v>61.902947509999997</v>
      </c>
      <c r="M713">
        <v>33.687104589999997</v>
      </c>
      <c r="N713">
        <v>44.370308700000002</v>
      </c>
      <c r="O713">
        <v>7.6650454000000007E-2</v>
      </c>
      <c r="P713">
        <v>121.3582937</v>
      </c>
      <c r="Q713">
        <v>113.56560279999999</v>
      </c>
      <c r="R713">
        <v>10.10643303</v>
      </c>
      <c r="S713">
        <v>13.821305880000001</v>
      </c>
      <c r="T713">
        <v>1.112132047</v>
      </c>
      <c r="U713">
        <v>0</v>
      </c>
      <c r="V713" s="1" t="str">
        <f>IF(Energy_data_1990___2020[[#This Row],[CO2 emissions from fuel combustion (MtCO2)]]&gt;Energy_data_1990___2020[[#Totals],[CO2 emissions from fuel combustion (MtCO2)]],"Above Average","")</f>
        <v/>
      </c>
      <c r="W713" s="1">
        <f>SUM(Energy_data_1990___2020[[#This Row],[Coal and lignite production (Mt)]]-Energy_data_1990___2020[[#This Row],[Coal and lignite domestic consumption (Mt)]])</f>
        <v>-10.10643303</v>
      </c>
    </row>
    <row r="714" spans="1:23">
      <c r="A714" t="s">
        <v>51</v>
      </c>
      <c r="B714">
        <v>2020</v>
      </c>
      <c r="C714" t="s">
        <v>30</v>
      </c>
      <c r="D714">
        <v>151.46078589999999</v>
      </c>
      <c r="E714">
        <v>2.1658718800000001</v>
      </c>
      <c r="F714">
        <v>0.16890780799999999</v>
      </c>
      <c r="G714">
        <v>28.14649781</v>
      </c>
      <c r="H714">
        <v>69.930630379999997</v>
      </c>
      <c r="I714">
        <v>24.781192220000001</v>
      </c>
      <c r="J714">
        <v>15.91978711</v>
      </c>
      <c r="K714">
        <v>22.627274249999999</v>
      </c>
      <c r="L714">
        <v>55.370736219999998</v>
      </c>
      <c r="M714">
        <v>24.16524042</v>
      </c>
      <c r="N714">
        <v>43.535532019999998</v>
      </c>
      <c r="O714">
        <v>7.7986056999999998E-2</v>
      </c>
      <c r="P714">
        <v>122.6765121</v>
      </c>
      <c r="Q714">
        <v>111.4018379</v>
      </c>
      <c r="R714">
        <v>6.3265734609999997</v>
      </c>
      <c r="S714">
        <v>18.88679406</v>
      </c>
      <c r="T714">
        <v>1.0360546079999999</v>
      </c>
      <c r="U714">
        <v>0</v>
      </c>
      <c r="V714" s="1" t="str">
        <f>IF(Energy_data_1990___2020[[#This Row],[CO2 emissions from fuel combustion (MtCO2)]]&gt;Energy_data_1990___2020[[#Totals],[CO2 emissions from fuel combustion (MtCO2)]],"Above Average","")</f>
        <v/>
      </c>
      <c r="W714" s="1">
        <f>SUM(Energy_data_1990___2020[[#This Row],[Coal and lignite production (Mt)]]-Energy_data_1990___2020[[#This Row],[Coal and lignite domestic consumption (Mt)]])</f>
        <v>-6.3265734609999997</v>
      </c>
    </row>
    <row r="715" spans="1:23">
      <c r="A715" t="s">
        <v>52</v>
      </c>
      <c r="B715">
        <v>1990</v>
      </c>
      <c r="C715" t="s">
        <v>28</v>
      </c>
      <c r="D715">
        <v>21.620523210000002</v>
      </c>
      <c r="E715">
        <v>1.5853812060000001</v>
      </c>
      <c r="F715">
        <v>0.25355904200000001</v>
      </c>
      <c r="G715">
        <v>12.33168053</v>
      </c>
      <c r="H715">
        <v>13.63742873</v>
      </c>
      <c r="I715">
        <v>80.008678399999994</v>
      </c>
      <c r="J715">
        <v>24.51220262</v>
      </c>
      <c r="K715">
        <v>4.149</v>
      </c>
      <c r="L715">
        <v>4.8630000000000004</v>
      </c>
      <c r="M715">
        <v>4.9100033529999996</v>
      </c>
      <c r="N715">
        <v>4.8880007409999999</v>
      </c>
      <c r="O715">
        <v>0.15993569299999999</v>
      </c>
      <c r="P715">
        <v>32.264000000000003</v>
      </c>
      <c r="Q715">
        <v>28.870999999999999</v>
      </c>
      <c r="R715">
        <v>2.3221237170000002</v>
      </c>
      <c r="S715">
        <v>6.812546491</v>
      </c>
      <c r="T715">
        <v>2.5409999999999999</v>
      </c>
      <c r="U715">
        <v>2.5779999999999998</v>
      </c>
      <c r="V715" s="1" t="str">
        <f>IF(Energy_data_1990___2020[[#This Row],[CO2 emissions from fuel combustion (MtCO2)]]&gt;Energy_data_1990___2020[[#Totals],[CO2 emissions from fuel combustion (MtCO2)]],"Above Average","")</f>
        <v/>
      </c>
      <c r="W715" s="1">
        <f>SUM(Energy_data_1990___2020[[#This Row],[Coal and lignite production (Mt)]]-Energy_data_1990___2020[[#This Row],[Coal and lignite domestic consumption (Mt)]])</f>
        <v>0.25587628299999965</v>
      </c>
    </row>
    <row r="716" spans="1:23">
      <c r="A716" t="s">
        <v>52</v>
      </c>
      <c r="B716">
        <v>1991</v>
      </c>
      <c r="C716" t="s">
        <v>28</v>
      </c>
      <c r="D716">
        <v>22.16846189</v>
      </c>
      <c r="E716">
        <v>1.6036525800000001</v>
      </c>
      <c r="F716">
        <v>0.26285229500000001</v>
      </c>
      <c r="G716">
        <v>12.78308781</v>
      </c>
      <c r="H716">
        <v>13.823731009999999</v>
      </c>
      <c r="I716">
        <v>77.190137250000006</v>
      </c>
      <c r="J716">
        <v>24.589373030000001</v>
      </c>
      <c r="K716">
        <v>4.04</v>
      </c>
      <c r="L716">
        <v>4.7770000000000001</v>
      </c>
      <c r="M716">
        <v>5.4139926620000001</v>
      </c>
      <c r="N716">
        <v>5.3749993089999997</v>
      </c>
      <c r="O716">
        <v>0.16390850400000001</v>
      </c>
      <c r="P716">
        <v>33.296999999999997</v>
      </c>
      <c r="Q716">
        <v>29.315999999999999</v>
      </c>
      <c r="R716">
        <v>2.2805626999999999</v>
      </c>
      <c r="S716">
        <v>7.0697059800000002</v>
      </c>
      <c r="T716">
        <v>2.516</v>
      </c>
      <c r="U716">
        <v>2.6890000000000001</v>
      </c>
      <c r="V716" s="1" t="str">
        <f>IF(Energy_data_1990___2020[[#This Row],[CO2 emissions from fuel combustion (MtCO2)]]&gt;Energy_data_1990___2020[[#Totals],[CO2 emissions from fuel combustion (MtCO2)]],"Above Average","")</f>
        <v/>
      </c>
      <c r="W716" s="1">
        <f>SUM(Energy_data_1990___2020[[#This Row],[Coal and lignite production (Mt)]]-Energy_data_1990___2020[[#This Row],[Coal and lignite domestic consumption (Mt)]])</f>
        <v>0.40843730000000011</v>
      </c>
    </row>
    <row r="717" spans="1:23">
      <c r="A717" t="s">
        <v>52</v>
      </c>
      <c r="B717">
        <v>1992</v>
      </c>
      <c r="C717" t="s">
        <v>28</v>
      </c>
      <c r="D717">
        <v>23.714226589999999</v>
      </c>
      <c r="E717">
        <v>1.6612487309999999</v>
      </c>
      <c r="F717">
        <v>0.27813560599999998</v>
      </c>
      <c r="G717">
        <v>13.14059776</v>
      </c>
      <c r="H717">
        <v>14.27494038</v>
      </c>
      <c r="I717">
        <v>72.572800779999994</v>
      </c>
      <c r="J717">
        <v>23.76825646</v>
      </c>
      <c r="K717">
        <v>4.3659999999999997</v>
      </c>
      <c r="L717">
        <v>4.8840000000000003</v>
      </c>
      <c r="M717">
        <v>5.5689930539999999</v>
      </c>
      <c r="N717">
        <v>5.5309946630000004</v>
      </c>
      <c r="O717">
        <v>0.16742562499999999</v>
      </c>
      <c r="P717">
        <v>32.898000000000003</v>
      </c>
      <c r="Q717">
        <v>28.780999999999999</v>
      </c>
      <c r="R717">
        <v>2.532722138</v>
      </c>
      <c r="S717">
        <v>7.0733783209999999</v>
      </c>
      <c r="T717">
        <v>2.5739999999999998</v>
      </c>
      <c r="U717">
        <v>3.0179999999999998</v>
      </c>
      <c r="V717" s="1" t="str">
        <f>IF(Energy_data_1990___2020[[#This Row],[CO2 emissions from fuel combustion (MtCO2)]]&gt;Energy_data_1990___2020[[#Totals],[CO2 emissions from fuel combustion (MtCO2)]],"Above Average","")</f>
        <v/>
      </c>
      <c r="W717" s="1">
        <f>SUM(Energy_data_1990___2020[[#This Row],[Coal and lignite production (Mt)]]-Energy_data_1990___2020[[#This Row],[Coal and lignite domestic consumption (Mt)]])</f>
        <v>0.48527786199999978</v>
      </c>
    </row>
    <row r="718" spans="1:23">
      <c r="A718" t="s">
        <v>52</v>
      </c>
      <c r="B718">
        <v>1993</v>
      </c>
      <c r="C718" t="s">
        <v>28</v>
      </c>
      <c r="D718">
        <v>23.42923571</v>
      </c>
      <c r="E718">
        <v>1.567786549</v>
      </c>
      <c r="F718">
        <v>0.25828445100000003</v>
      </c>
      <c r="G718">
        <v>13.645174340000001</v>
      </c>
      <c r="H718">
        <v>14.944148950000001</v>
      </c>
      <c r="I718">
        <v>77.021152439999994</v>
      </c>
      <c r="J718">
        <v>24.030036330000001</v>
      </c>
      <c r="K718">
        <v>4.359</v>
      </c>
      <c r="L718">
        <v>5.0270000000000001</v>
      </c>
      <c r="M718">
        <v>5.3840005120000001</v>
      </c>
      <c r="N718">
        <v>5.3579941140000003</v>
      </c>
      <c r="O718">
        <v>0.16474465299999999</v>
      </c>
      <c r="P718">
        <v>34.274999999999999</v>
      </c>
      <c r="Q718">
        <v>29.93</v>
      </c>
      <c r="R718">
        <v>2.453687859</v>
      </c>
      <c r="S718">
        <v>7.1480671039999999</v>
      </c>
      <c r="T718">
        <v>2.6469999999999998</v>
      </c>
      <c r="U718">
        <v>3.3370000000000002</v>
      </c>
      <c r="V718" s="1" t="str">
        <f>IF(Energy_data_1990___2020[[#This Row],[CO2 emissions from fuel combustion (MtCO2)]]&gt;Energy_data_1990___2020[[#Totals],[CO2 emissions from fuel combustion (MtCO2)]],"Above Average","")</f>
        <v/>
      </c>
      <c r="W718" s="1">
        <f>SUM(Energy_data_1990___2020[[#This Row],[Coal and lignite production (Mt)]]-Energy_data_1990___2020[[#This Row],[Coal and lignite domestic consumption (Mt)]])</f>
        <v>0.88331214100000022</v>
      </c>
    </row>
    <row r="719" spans="1:23">
      <c r="A719" t="s">
        <v>52</v>
      </c>
      <c r="B719">
        <v>1994</v>
      </c>
      <c r="C719" t="s">
        <v>28</v>
      </c>
      <c r="D719">
        <v>23.98646244</v>
      </c>
      <c r="E719">
        <v>1.5661182890000001</v>
      </c>
      <c r="F719">
        <v>0.25155189999999999</v>
      </c>
      <c r="G719">
        <v>13.254884860000001</v>
      </c>
      <c r="H719">
        <v>15.315868930000001</v>
      </c>
      <c r="I719">
        <v>82.05554918</v>
      </c>
      <c r="J719">
        <v>23.287267589999999</v>
      </c>
      <c r="K719">
        <v>4.7210000000000001</v>
      </c>
      <c r="L719">
        <v>5.226</v>
      </c>
      <c r="M719">
        <v>5.0240022599999996</v>
      </c>
      <c r="N719">
        <v>5.0250025970000003</v>
      </c>
      <c r="O719">
        <v>0.16062126500000001</v>
      </c>
      <c r="P719">
        <v>34.851999999999997</v>
      </c>
      <c r="Q719">
        <v>30.518999999999998</v>
      </c>
      <c r="R719">
        <v>2.3105853949999999</v>
      </c>
      <c r="S719">
        <v>6.5849879490000003</v>
      </c>
      <c r="T719">
        <v>2.444</v>
      </c>
      <c r="U719">
        <v>3.0329999999999999</v>
      </c>
      <c r="V719" s="1" t="str">
        <f>IF(Energy_data_1990___2020[[#This Row],[CO2 emissions from fuel combustion (MtCO2)]]&gt;Energy_data_1990___2020[[#Totals],[CO2 emissions from fuel combustion (MtCO2)]],"Above Average","")</f>
        <v/>
      </c>
      <c r="W719" s="1">
        <f>SUM(Energy_data_1990___2020[[#This Row],[Coal and lignite production (Mt)]]-Energy_data_1990___2020[[#This Row],[Coal and lignite domestic consumption (Mt)]])</f>
        <v>0.72241460499999999</v>
      </c>
    </row>
    <row r="720" spans="1:23">
      <c r="A720" t="s">
        <v>52</v>
      </c>
      <c r="B720">
        <v>1995</v>
      </c>
      <c r="C720" t="s">
        <v>28</v>
      </c>
      <c r="D720">
        <v>24.380093169999999</v>
      </c>
      <c r="E720">
        <v>1.588711746</v>
      </c>
      <c r="F720">
        <v>0.24415065499999999</v>
      </c>
      <c r="G720">
        <v>13.108826799999999</v>
      </c>
      <c r="H720">
        <v>15.345825469999999</v>
      </c>
      <c r="I720">
        <v>83.855134359999994</v>
      </c>
      <c r="J720">
        <v>22.77124371</v>
      </c>
      <c r="K720">
        <v>4.9290000000000003</v>
      </c>
      <c r="L720">
        <v>4.843</v>
      </c>
      <c r="M720">
        <v>4.6779940719999997</v>
      </c>
      <c r="N720">
        <v>4.7229990730000004</v>
      </c>
      <c r="O720">
        <v>0.153678385</v>
      </c>
      <c r="P720">
        <v>36.061</v>
      </c>
      <c r="Q720">
        <v>31.145</v>
      </c>
      <c r="R720">
        <v>2.2926691140000002</v>
      </c>
      <c r="S720">
        <v>6.1811929790000004</v>
      </c>
      <c r="T720">
        <v>1.98</v>
      </c>
      <c r="U720">
        <v>3.577</v>
      </c>
      <c r="V720" s="1" t="str">
        <f>IF(Energy_data_1990___2020[[#This Row],[CO2 emissions from fuel combustion (MtCO2)]]&gt;Energy_data_1990___2020[[#Totals],[CO2 emissions from fuel combustion (MtCO2)]],"Above Average","")</f>
        <v/>
      </c>
      <c r="W720" s="1">
        <f>SUM(Energy_data_1990___2020[[#This Row],[Coal and lignite production (Mt)]]-Energy_data_1990___2020[[#This Row],[Coal and lignite domestic consumption (Mt)]])</f>
        <v>1.2843308859999998</v>
      </c>
    </row>
    <row r="721" spans="1:23">
      <c r="A721" t="s">
        <v>52</v>
      </c>
      <c r="B721">
        <v>1996</v>
      </c>
      <c r="C721" t="s">
        <v>28</v>
      </c>
      <c r="D721">
        <v>25.86243885</v>
      </c>
      <c r="E721">
        <v>1.6414207599999999</v>
      </c>
      <c r="F721">
        <v>0.24994467100000001</v>
      </c>
      <c r="G721">
        <v>14.03388601</v>
      </c>
      <c r="H721">
        <v>15.75612999</v>
      </c>
      <c r="I721">
        <v>79.066706879999998</v>
      </c>
      <c r="J721">
        <v>22.70470482</v>
      </c>
      <c r="K721">
        <v>4.95</v>
      </c>
      <c r="L721">
        <v>4.7350000000000003</v>
      </c>
      <c r="M721">
        <v>5.4800028019999996</v>
      </c>
      <c r="N721">
        <v>5.5209991030000003</v>
      </c>
      <c r="O721">
        <v>0.15227336999999999</v>
      </c>
      <c r="P721">
        <v>36.472999999999999</v>
      </c>
      <c r="Q721">
        <v>32.003999999999998</v>
      </c>
      <c r="R721">
        <v>2.26439352</v>
      </c>
      <c r="S721">
        <v>6.1305623340000004</v>
      </c>
      <c r="T721">
        <v>2.379</v>
      </c>
      <c r="U721">
        <v>3.61</v>
      </c>
      <c r="V721" s="1" t="str">
        <f>IF(Energy_data_1990___2020[[#This Row],[CO2 emissions from fuel combustion (MtCO2)]]&gt;Energy_data_1990___2020[[#Totals],[CO2 emissions from fuel combustion (MtCO2)]],"Above Average","")</f>
        <v/>
      </c>
      <c r="W721" s="1">
        <f>SUM(Energy_data_1990___2020[[#This Row],[Coal and lignite production (Mt)]]-Energy_data_1990___2020[[#This Row],[Coal and lignite domestic consumption (Mt)]])</f>
        <v>1.3456064799999998</v>
      </c>
    </row>
    <row r="722" spans="1:23">
      <c r="A722" t="s">
        <v>52</v>
      </c>
      <c r="B722">
        <v>1997</v>
      </c>
      <c r="C722" t="s">
        <v>28</v>
      </c>
      <c r="D722">
        <v>28.229284849999999</v>
      </c>
      <c r="E722">
        <v>1.73394297</v>
      </c>
      <c r="F722">
        <v>0.26735478299999998</v>
      </c>
      <c r="G722">
        <v>14.64271465</v>
      </c>
      <c r="H722">
        <v>16.280399840000001</v>
      </c>
      <c r="I722">
        <v>70.093508310000004</v>
      </c>
      <c r="J722">
        <v>23.18368254</v>
      </c>
      <c r="K722">
        <v>5.085</v>
      </c>
      <c r="L722">
        <v>5.1340000000000003</v>
      </c>
      <c r="M722">
        <v>5.8940024419999997</v>
      </c>
      <c r="N722">
        <v>5.9669970210000001</v>
      </c>
      <c r="O722">
        <v>0.15418891400000001</v>
      </c>
      <c r="P722">
        <v>37.109000000000002</v>
      </c>
      <c r="Q722">
        <v>33.04</v>
      </c>
      <c r="R722">
        <v>2.4121561489999999</v>
      </c>
      <c r="S722">
        <v>6.3030531679999999</v>
      </c>
      <c r="T722">
        <v>2.8820000000000001</v>
      </c>
      <c r="U722">
        <v>3.5670000000000002</v>
      </c>
      <c r="V722" s="1" t="str">
        <f>IF(Energy_data_1990___2020[[#This Row],[CO2 emissions from fuel combustion (MtCO2)]]&gt;Energy_data_1990___2020[[#Totals],[CO2 emissions from fuel combustion (MtCO2)]],"Above Average","")</f>
        <v/>
      </c>
      <c r="W722" s="1">
        <f>SUM(Energy_data_1990___2020[[#This Row],[Coal and lignite production (Mt)]]-Energy_data_1990___2020[[#This Row],[Coal and lignite domestic consumption (Mt)]])</f>
        <v>1.1548438510000003</v>
      </c>
    </row>
    <row r="723" spans="1:23">
      <c r="A723" t="s">
        <v>52</v>
      </c>
      <c r="B723">
        <v>1998</v>
      </c>
      <c r="C723" t="s">
        <v>28</v>
      </c>
      <c r="D723">
        <v>27.36759571</v>
      </c>
      <c r="E723">
        <v>1.704896075</v>
      </c>
      <c r="F723">
        <v>0.25715734600000001</v>
      </c>
      <c r="G723">
        <v>13.533508700000001</v>
      </c>
      <c r="H723">
        <v>16.052354220000002</v>
      </c>
      <c r="I723">
        <v>75.648081680000004</v>
      </c>
      <c r="J723">
        <v>23.486451710000001</v>
      </c>
      <c r="K723">
        <v>5.0629999999999997</v>
      </c>
      <c r="L723">
        <v>5.3230000000000004</v>
      </c>
      <c r="M723">
        <v>5.3199966999999999</v>
      </c>
      <c r="N723">
        <v>5.3289998079999998</v>
      </c>
      <c r="O723">
        <v>0.150834617</v>
      </c>
      <c r="P723">
        <v>37.610999999999997</v>
      </c>
      <c r="Q723">
        <v>33.201000000000001</v>
      </c>
      <c r="R723">
        <v>2.228433586</v>
      </c>
      <c r="S723">
        <v>6.9607295740000001</v>
      </c>
      <c r="T723">
        <v>2.3029999999999999</v>
      </c>
      <c r="U723">
        <v>3.1269999999999998</v>
      </c>
      <c r="V723" s="1" t="str">
        <f>IF(Energy_data_1990___2020[[#This Row],[CO2 emissions from fuel combustion (MtCO2)]]&gt;Energy_data_1990___2020[[#Totals],[CO2 emissions from fuel combustion (MtCO2)]],"Above Average","")</f>
        <v/>
      </c>
      <c r="W723" s="1">
        <f>SUM(Energy_data_1990___2020[[#This Row],[Coal and lignite production (Mt)]]-Energy_data_1990___2020[[#This Row],[Coal and lignite domestic consumption (Mt)]])</f>
        <v>0.89856641399999981</v>
      </c>
    </row>
    <row r="724" spans="1:23">
      <c r="A724" t="s">
        <v>52</v>
      </c>
      <c r="B724">
        <v>1999</v>
      </c>
      <c r="C724" t="s">
        <v>28</v>
      </c>
      <c r="D724">
        <v>28.96199605</v>
      </c>
      <c r="E724">
        <v>1.734696258</v>
      </c>
      <c r="F724">
        <v>0.25805958000000001</v>
      </c>
      <c r="G724">
        <v>14.025492789999999</v>
      </c>
      <c r="H724">
        <v>16.69571599</v>
      </c>
      <c r="I724">
        <v>69.522449629999997</v>
      </c>
      <c r="J724">
        <v>23.050818750000001</v>
      </c>
      <c r="K724">
        <v>5.1890000000000001</v>
      </c>
      <c r="L724">
        <v>5.0679999999999996</v>
      </c>
      <c r="M724">
        <v>6.0169999699999996</v>
      </c>
      <c r="N724">
        <v>5.9520040850000004</v>
      </c>
      <c r="O724">
        <v>0.14876355399999999</v>
      </c>
      <c r="P724">
        <v>37.817999999999998</v>
      </c>
      <c r="Q724">
        <v>33.93</v>
      </c>
      <c r="R724">
        <v>2.311739046</v>
      </c>
      <c r="S724">
        <v>7.6656618539999997</v>
      </c>
      <c r="T724">
        <v>2.0630000000000002</v>
      </c>
      <c r="U724">
        <v>3.5070000000000001</v>
      </c>
      <c r="V724" s="1" t="str">
        <f>IF(Energy_data_1990___2020[[#This Row],[CO2 emissions from fuel combustion (MtCO2)]]&gt;Energy_data_1990___2020[[#Totals],[CO2 emissions from fuel combustion (MtCO2)]],"Above Average","")</f>
        <v/>
      </c>
      <c r="W724" s="1">
        <f>SUM(Energy_data_1990___2020[[#This Row],[Coal and lignite production (Mt)]]-Energy_data_1990___2020[[#This Row],[Coal and lignite domestic consumption (Mt)]])</f>
        <v>1.1952609540000001</v>
      </c>
    </row>
    <row r="725" spans="1:23">
      <c r="A725" t="s">
        <v>52</v>
      </c>
      <c r="B725">
        <v>2000</v>
      </c>
      <c r="C725" t="s">
        <v>28</v>
      </c>
      <c r="D725">
        <v>30.098297500000001</v>
      </c>
      <c r="E725">
        <v>1.7429554599999999</v>
      </c>
      <c r="F725">
        <v>0.26061777000000003</v>
      </c>
      <c r="G725">
        <v>14.46837285</v>
      </c>
      <c r="H725">
        <v>17.268540810000001</v>
      </c>
      <c r="I725">
        <v>71.501006450000006</v>
      </c>
      <c r="J725">
        <v>22.335229779999999</v>
      </c>
      <c r="K725">
        <v>5.4089999999999998</v>
      </c>
      <c r="L725">
        <v>5.2530000000000001</v>
      </c>
      <c r="M725">
        <v>6.3240082270000002</v>
      </c>
      <c r="N725">
        <v>6.3269961979999998</v>
      </c>
      <c r="O725">
        <v>0.149526351</v>
      </c>
      <c r="P725">
        <v>39.247</v>
      </c>
      <c r="Q725">
        <v>34.697000000000003</v>
      </c>
      <c r="R725">
        <v>2.1988686180000001</v>
      </c>
      <c r="S725">
        <v>7.9216245829999998</v>
      </c>
      <c r="T725">
        <v>1.87</v>
      </c>
      <c r="U725">
        <v>3.4580000000000002</v>
      </c>
      <c r="V725" s="1" t="str">
        <f>IF(Energy_data_1990___2020[[#This Row],[CO2 emissions from fuel combustion (MtCO2)]]&gt;Energy_data_1990___2020[[#Totals],[CO2 emissions from fuel combustion (MtCO2)]],"Above Average","")</f>
        <v/>
      </c>
      <c r="W725" s="1">
        <f>SUM(Energy_data_1990___2020[[#This Row],[Coal and lignite production (Mt)]]-Energy_data_1990___2020[[#This Row],[Coal and lignite domestic consumption (Mt)]])</f>
        <v>1.2591313820000001</v>
      </c>
    </row>
    <row r="726" spans="1:23">
      <c r="A726" t="s">
        <v>52</v>
      </c>
      <c r="B726">
        <v>2001</v>
      </c>
      <c r="C726" t="s">
        <v>28</v>
      </c>
      <c r="D726">
        <v>31.908285660000001</v>
      </c>
      <c r="E726">
        <v>1.844988082</v>
      </c>
      <c r="F726">
        <v>0.26702611500000001</v>
      </c>
      <c r="G726">
        <v>14.537490650000001</v>
      </c>
      <c r="H726">
        <v>17.29457549</v>
      </c>
      <c r="I726">
        <v>63.556645019999998</v>
      </c>
      <c r="J726">
        <v>22.80969262</v>
      </c>
      <c r="K726">
        <v>5.3490000000000002</v>
      </c>
      <c r="L726">
        <v>5.1970000000000001</v>
      </c>
      <c r="M726">
        <v>6.3659980090000001</v>
      </c>
      <c r="N726">
        <v>6.3799965040000002</v>
      </c>
      <c r="O726">
        <v>0.14473053599999999</v>
      </c>
      <c r="P726">
        <v>39.570999999999998</v>
      </c>
      <c r="Q726">
        <v>35.375999999999998</v>
      </c>
      <c r="R726">
        <v>2.6606892430000002</v>
      </c>
      <c r="S726">
        <v>7.6520684340000003</v>
      </c>
      <c r="T726">
        <v>1.784</v>
      </c>
      <c r="U726">
        <v>3.9119999999999999</v>
      </c>
      <c r="V726" s="1" t="str">
        <f>IF(Energy_data_1990___2020[[#This Row],[CO2 emissions from fuel combustion (MtCO2)]]&gt;Energy_data_1990___2020[[#Totals],[CO2 emissions from fuel combustion (MtCO2)]],"Above Average","")</f>
        <v/>
      </c>
      <c r="W726" s="1">
        <f>SUM(Energy_data_1990___2020[[#This Row],[Coal and lignite production (Mt)]]-Energy_data_1990___2020[[#This Row],[Coal and lignite domestic consumption (Mt)]])</f>
        <v>1.2513107569999997</v>
      </c>
    </row>
    <row r="727" spans="1:23">
      <c r="A727" t="s">
        <v>52</v>
      </c>
      <c r="B727">
        <v>2002</v>
      </c>
      <c r="C727" t="s">
        <v>28</v>
      </c>
      <c r="D727">
        <v>31.979928059999999</v>
      </c>
      <c r="E727">
        <v>1.847800903</v>
      </c>
      <c r="F727">
        <v>0.25565995499999999</v>
      </c>
      <c r="G727">
        <v>14.814572610000001</v>
      </c>
      <c r="H727">
        <v>17.307020470000001</v>
      </c>
      <c r="I727">
        <v>69.47917692</v>
      </c>
      <c r="J727">
        <v>22.323344729999999</v>
      </c>
      <c r="K727">
        <v>5.6070000000000002</v>
      </c>
      <c r="L727">
        <v>5.5149999999999997</v>
      </c>
      <c r="M727">
        <v>6.0120042309999997</v>
      </c>
      <c r="N727">
        <v>6.0500029370000004</v>
      </c>
      <c r="O727">
        <v>0.13835903799999999</v>
      </c>
      <c r="P727">
        <v>40.628</v>
      </c>
      <c r="Q727">
        <v>36.195</v>
      </c>
      <c r="R727">
        <v>2.6667395090000001</v>
      </c>
      <c r="S727">
        <v>7.5539037120000003</v>
      </c>
      <c r="T727">
        <v>1.627</v>
      </c>
      <c r="U727">
        <v>4.4589999999999996</v>
      </c>
      <c r="V727" s="1" t="str">
        <f>IF(Energy_data_1990___2020[[#This Row],[CO2 emissions from fuel combustion (MtCO2)]]&gt;Energy_data_1990___2020[[#Totals],[CO2 emissions from fuel combustion (MtCO2)]],"Above Average","")</f>
        <v/>
      </c>
      <c r="W727" s="1">
        <f>SUM(Energy_data_1990___2020[[#This Row],[Coal and lignite production (Mt)]]-Energy_data_1990___2020[[#This Row],[Coal and lignite domestic consumption (Mt)]])</f>
        <v>1.7922604909999995</v>
      </c>
    </row>
    <row r="728" spans="1:23">
      <c r="A728" t="s">
        <v>52</v>
      </c>
      <c r="B728">
        <v>2003</v>
      </c>
      <c r="C728" t="s">
        <v>28</v>
      </c>
      <c r="D728">
        <v>32.539498129999998</v>
      </c>
      <c r="E728">
        <v>1.9033362810000001</v>
      </c>
      <c r="F728">
        <v>0.24878124600000001</v>
      </c>
      <c r="G728">
        <v>13.50885319</v>
      </c>
      <c r="H728">
        <v>17.096032090000001</v>
      </c>
      <c r="I728">
        <v>66.00583949</v>
      </c>
      <c r="J728">
        <v>23.568785739999999</v>
      </c>
      <c r="K728">
        <v>5.8280000000000003</v>
      </c>
      <c r="L728">
        <v>5.3369999999999997</v>
      </c>
      <c r="M728">
        <v>4.6480058849999999</v>
      </c>
      <c r="N728">
        <v>4.6050033509999997</v>
      </c>
      <c r="O728">
        <v>0.130707983</v>
      </c>
      <c r="P728">
        <v>40.756999999999998</v>
      </c>
      <c r="Q728">
        <v>36.369</v>
      </c>
      <c r="R728">
        <v>3.823447566</v>
      </c>
      <c r="S728">
        <v>7.3288024140000001</v>
      </c>
      <c r="T728">
        <v>1.2669999999999999</v>
      </c>
      <c r="U728">
        <v>5.18</v>
      </c>
      <c r="V728" s="1" t="str">
        <f>IF(Energy_data_1990___2020[[#This Row],[CO2 emissions from fuel combustion (MtCO2)]]&gt;Energy_data_1990___2020[[#Totals],[CO2 emissions from fuel combustion (MtCO2)]],"Above Average","")</f>
        <v/>
      </c>
      <c r="W728" s="1">
        <f>SUM(Energy_data_1990___2020[[#This Row],[Coal and lignite production (Mt)]]-Energy_data_1990___2020[[#This Row],[Coal and lignite domestic consumption (Mt)]])</f>
        <v>1.3565524339999997</v>
      </c>
    </row>
    <row r="729" spans="1:23">
      <c r="A729" t="s">
        <v>52</v>
      </c>
      <c r="B729">
        <v>2004</v>
      </c>
      <c r="C729" t="s">
        <v>28</v>
      </c>
      <c r="D729">
        <v>32.289668249999998</v>
      </c>
      <c r="E729">
        <v>1.8397963450000001</v>
      </c>
      <c r="F729">
        <v>0.2372988</v>
      </c>
      <c r="G729">
        <v>13.464164200000001</v>
      </c>
      <c r="H729">
        <v>17.550675290000001</v>
      </c>
      <c r="I729">
        <v>72.267135330000002</v>
      </c>
      <c r="J729">
        <v>23.846394960000001</v>
      </c>
      <c r="K729">
        <v>6.0129999999999999</v>
      </c>
      <c r="L729">
        <v>5.2480000000000002</v>
      </c>
      <c r="M729">
        <v>4.2580050639999998</v>
      </c>
      <c r="N729">
        <v>4.2850019259999996</v>
      </c>
      <c r="O729">
        <v>0.128981015</v>
      </c>
      <c r="P729">
        <v>42.674999999999997</v>
      </c>
      <c r="Q729">
        <v>37.866999999999997</v>
      </c>
      <c r="R729">
        <v>3.9909208220000001</v>
      </c>
      <c r="S729">
        <v>7.5922671350000002</v>
      </c>
      <c r="T729">
        <v>1.123</v>
      </c>
      <c r="U729">
        <v>5.1550000000000002</v>
      </c>
      <c r="V729" s="1" t="str">
        <f>IF(Energy_data_1990___2020[[#This Row],[CO2 emissions from fuel combustion (MtCO2)]]&gt;Energy_data_1990___2020[[#Totals],[CO2 emissions from fuel combustion (MtCO2)]],"Above Average","")</f>
        <v/>
      </c>
      <c r="W729" s="1">
        <f>SUM(Energy_data_1990___2020[[#This Row],[Coal and lignite production (Mt)]]-Energy_data_1990___2020[[#This Row],[Coal and lignite domestic consumption (Mt)]])</f>
        <v>1.1640791780000002</v>
      </c>
    </row>
    <row r="730" spans="1:23">
      <c r="A730" t="s">
        <v>52</v>
      </c>
      <c r="B730">
        <v>2005</v>
      </c>
      <c r="C730" t="s">
        <v>28</v>
      </c>
      <c r="D730">
        <v>32.983339379999997</v>
      </c>
      <c r="E730">
        <v>1.9250343990000001</v>
      </c>
      <c r="F730">
        <v>0.23460447300000001</v>
      </c>
      <c r="G730">
        <v>13.065324909999999</v>
      </c>
      <c r="H730">
        <v>17.133896100000001</v>
      </c>
      <c r="I730">
        <v>64.352834189999996</v>
      </c>
      <c r="J730">
        <v>25.469880799999999</v>
      </c>
      <c r="K730">
        <v>6.0549999999999997</v>
      </c>
      <c r="L730">
        <v>5.3559999999999999</v>
      </c>
      <c r="M730">
        <v>4.1289948279999997</v>
      </c>
      <c r="N730">
        <v>4.1259947830000003</v>
      </c>
      <c r="O730">
        <v>0.121870276</v>
      </c>
      <c r="P730">
        <v>42.887</v>
      </c>
      <c r="Q730">
        <v>38.408000000000001</v>
      </c>
      <c r="R730">
        <v>4.416462632</v>
      </c>
      <c r="S730">
        <v>8.9864061369999995</v>
      </c>
      <c r="T730">
        <v>1.054</v>
      </c>
      <c r="U730">
        <v>5.2670000000000003</v>
      </c>
      <c r="V730" s="1" t="str">
        <f>IF(Energy_data_1990___2020[[#This Row],[CO2 emissions from fuel combustion (MtCO2)]]&gt;Energy_data_1990___2020[[#Totals],[CO2 emissions from fuel combustion (MtCO2)]],"Above Average","")</f>
        <v/>
      </c>
      <c r="W730" s="1">
        <f>SUM(Energy_data_1990___2020[[#This Row],[Coal and lignite production (Mt)]]-Energy_data_1990___2020[[#This Row],[Coal and lignite domestic consumption (Mt)]])</f>
        <v>0.85053736800000035</v>
      </c>
    </row>
    <row r="731" spans="1:23">
      <c r="A731" t="s">
        <v>52</v>
      </c>
      <c r="B731">
        <v>2006</v>
      </c>
      <c r="C731" t="s">
        <v>28</v>
      </c>
      <c r="D731">
        <v>33.109399410000002</v>
      </c>
      <c r="E731">
        <v>1.932067478</v>
      </c>
      <c r="F731">
        <v>0.22898871600000001</v>
      </c>
      <c r="G731">
        <v>13.457157499999999</v>
      </c>
      <c r="H731">
        <v>17.136771769999999</v>
      </c>
      <c r="I731">
        <v>64.721454879999996</v>
      </c>
      <c r="J731">
        <v>25.739249910000002</v>
      </c>
      <c r="K731">
        <v>6.133</v>
      </c>
      <c r="L731">
        <v>5.21</v>
      </c>
      <c r="M731">
        <v>3.9680037100000001</v>
      </c>
      <c r="N731">
        <v>3.8990005339999998</v>
      </c>
      <c r="O731">
        <v>0.11852004100000001</v>
      </c>
      <c r="P731">
        <v>43.44</v>
      </c>
      <c r="Q731">
        <v>39.256999999999998</v>
      </c>
      <c r="R731">
        <v>4.367498748</v>
      </c>
      <c r="S731">
        <v>9.3600368320000005</v>
      </c>
      <c r="T731">
        <v>1.0029999999999999</v>
      </c>
      <c r="U731">
        <v>5.6740000000000004</v>
      </c>
      <c r="V731" s="1" t="str">
        <f>IF(Energy_data_1990___2020[[#This Row],[CO2 emissions from fuel combustion (MtCO2)]]&gt;Energy_data_1990___2020[[#Totals],[CO2 emissions from fuel combustion (MtCO2)]],"Above Average","")</f>
        <v/>
      </c>
      <c r="W731" s="1">
        <f>SUM(Energy_data_1990___2020[[#This Row],[Coal and lignite production (Mt)]]-Energy_data_1990___2020[[#This Row],[Coal and lignite domestic consumption (Mt)]])</f>
        <v>1.3065012520000003</v>
      </c>
    </row>
    <row r="732" spans="1:23">
      <c r="A732" t="s">
        <v>52</v>
      </c>
      <c r="B732">
        <v>2007</v>
      </c>
      <c r="C732" t="s">
        <v>28</v>
      </c>
      <c r="D732">
        <v>31.949347329999998</v>
      </c>
      <c r="E732">
        <v>1.8428440619999999</v>
      </c>
      <c r="F732">
        <v>0.21450245400000001</v>
      </c>
      <c r="G732">
        <v>14.32199885</v>
      </c>
      <c r="H732">
        <v>17.336978200000001</v>
      </c>
      <c r="I732">
        <v>65.505982279999998</v>
      </c>
      <c r="J732">
        <v>25.775069770000002</v>
      </c>
      <c r="K732">
        <v>6.1550000000000002</v>
      </c>
      <c r="L732">
        <v>4.9690000000000003</v>
      </c>
      <c r="M732">
        <v>4.3989996729999996</v>
      </c>
      <c r="N732">
        <v>4.3619966860000003</v>
      </c>
      <c r="O732">
        <v>0.116397506</v>
      </c>
      <c r="P732">
        <v>43.795999999999999</v>
      </c>
      <c r="Q732">
        <v>39.552999999999997</v>
      </c>
      <c r="R732">
        <v>3.3416318120000001</v>
      </c>
      <c r="S732">
        <v>10.37766006</v>
      </c>
      <c r="T732">
        <v>2.0089999999999999</v>
      </c>
      <c r="U732">
        <v>4.835</v>
      </c>
      <c r="V732" s="1" t="str">
        <f>IF(Energy_data_1990___2020[[#This Row],[CO2 emissions from fuel combustion (MtCO2)]]&gt;Energy_data_1990___2020[[#Totals],[CO2 emissions from fuel combustion (MtCO2)]],"Above Average","")</f>
        <v/>
      </c>
      <c r="W732" s="1">
        <f>SUM(Energy_data_1990___2020[[#This Row],[Coal and lignite production (Mt)]]-Energy_data_1990___2020[[#This Row],[Coal and lignite domestic consumption (Mt)]])</f>
        <v>1.4933681879999998</v>
      </c>
    </row>
    <row r="733" spans="1:23">
      <c r="A733" t="s">
        <v>52</v>
      </c>
      <c r="B733">
        <v>2008</v>
      </c>
      <c r="C733" t="s">
        <v>28</v>
      </c>
      <c r="D733">
        <v>33.033291660000003</v>
      </c>
      <c r="E733">
        <v>1.877816999</v>
      </c>
      <c r="F733">
        <v>0.224040198</v>
      </c>
      <c r="G733">
        <v>15.171957129999999</v>
      </c>
      <c r="H733">
        <v>17.59132636</v>
      </c>
      <c r="I733">
        <v>64.274958929999997</v>
      </c>
      <c r="J733">
        <v>25.650724929999999</v>
      </c>
      <c r="K733">
        <v>6.2389999999999999</v>
      </c>
      <c r="L733">
        <v>5.2270000000000003</v>
      </c>
      <c r="M733">
        <v>4.273005275</v>
      </c>
      <c r="N733">
        <v>4.1499970609999997</v>
      </c>
      <c r="O733">
        <v>0.119308856</v>
      </c>
      <c r="P733">
        <v>43.832000000000001</v>
      </c>
      <c r="Q733">
        <v>39.194000000000003</v>
      </c>
      <c r="R733">
        <v>4.1652466779999999</v>
      </c>
      <c r="S733">
        <v>12.148658510000001</v>
      </c>
      <c r="T733">
        <v>2.8109999999999999</v>
      </c>
      <c r="U733">
        <v>4.8310000000000004</v>
      </c>
      <c r="V733" s="1" t="str">
        <f>IF(Energy_data_1990___2020[[#This Row],[CO2 emissions from fuel combustion (MtCO2)]]&gt;Energy_data_1990___2020[[#Totals],[CO2 emissions from fuel combustion (MtCO2)]],"Above Average","")</f>
        <v/>
      </c>
      <c r="W733" s="1">
        <f>SUM(Energy_data_1990___2020[[#This Row],[Coal and lignite production (Mt)]]-Energy_data_1990___2020[[#This Row],[Coal and lignite domestic consumption (Mt)]])</f>
        <v>0.66575332200000048</v>
      </c>
    </row>
    <row r="734" spans="1:23">
      <c r="A734" t="s">
        <v>52</v>
      </c>
      <c r="B734">
        <v>2009</v>
      </c>
      <c r="C734" t="s">
        <v>28</v>
      </c>
      <c r="D734">
        <v>30.267646800000001</v>
      </c>
      <c r="E734">
        <v>1.7099162750000001</v>
      </c>
      <c r="F734">
        <v>0.20572251599999999</v>
      </c>
      <c r="G734">
        <v>15.488782430000001</v>
      </c>
      <c r="H734">
        <v>17.701244930000001</v>
      </c>
      <c r="I734">
        <v>71.711010860000002</v>
      </c>
      <c r="J734">
        <v>25.918354220000001</v>
      </c>
      <c r="K734">
        <v>5.9649999999999999</v>
      </c>
      <c r="L734">
        <v>5.1079999999999997</v>
      </c>
      <c r="M734">
        <v>4.4909960959999999</v>
      </c>
      <c r="N734">
        <v>4.2740025749999999</v>
      </c>
      <c r="O734">
        <v>0.120311455</v>
      </c>
      <c r="P734">
        <v>43.448</v>
      </c>
      <c r="Q734">
        <v>39.28</v>
      </c>
      <c r="R734">
        <v>3.2491487170000002</v>
      </c>
      <c r="S734">
        <v>14.73485546</v>
      </c>
      <c r="T734">
        <v>2.6539999999999999</v>
      </c>
      <c r="U734">
        <v>4.5129999999999999</v>
      </c>
      <c r="V734" s="1" t="str">
        <f>IF(Energy_data_1990___2020[[#This Row],[CO2 emissions from fuel combustion (MtCO2)]]&gt;Energy_data_1990___2020[[#Totals],[CO2 emissions from fuel combustion (MtCO2)]],"Above Average","")</f>
        <v/>
      </c>
      <c r="W734" s="1">
        <f>SUM(Energy_data_1990___2020[[#This Row],[Coal and lignite production (Mt)]]-Energy_data_1990___2020[[#This Row],[Coal and lignite domestic consumption (Mt)]])</f>
        <v>1.2638512829999997</v>
      </c>
    </row>
    <row r="735" spans="1:23">
      <c r="A735" t="s">
        <v>52</v>
      </c>
      <c r="B735">
        <v>2010</v>
      </c>
      <c r="C735" t="s">
        <v>28</v>
      </c>
      <c r="D735">
        <v>29.994329839999999</v>
      </c>
      <c r="E735">
        <v>1.617639209</v>
      </c>
      <c r="F735">
        <v>0.200774429</v>
      </c>
      <c r="G735">
        <v>17.04878948</v>
      </c>
      <c r="H735">
        <v>18.542039330000001</v>
      </c>
      <c r="I735">
        <v>73.181767519999994</v>
      </c>
      <c r="J735">
        <v>25.9551689</v>
      </c>
      <c r="K735">
        <v>6.0209999999999999</v>
      </c>
      <c r="L735">
        <v>5.3</v>
      </c>
      <c r="M735">
        <v>4.8319974129999999</v>
      </c>
      <c r="N735">
        <v>4.7070001110000002</v>
      </c>
      <c r="O735">
        <v>0.12411570399999999</v>
      </c>
      <c r="P735">
        <v>44.865000000000002</v>
      </c>
      <c r="Q735">
        <v>40.69</v>
      </c>
      <c r="R735">
        <v>2.844774342</v>
      </c>
      <c r="S735">
        <v>16.868382929999999</v>
      </c>
      <c r="T735">
        <v>2.6190000000000002</v>
      </c>
      <c r="U735">
        <v>5.3419999999999996</v>
      </c>
      <c r="V735" s="1" t="str">
        <f>IF(Energy_data_1990___2020[[#This Row],[CO2 emissions from fuel combustion (MtCO2)]]&gt;Energy_data_1990___2020[[#Totals],[CO2 emissions from fuel combustion (MtCO2)]],"Above Average","")</f>
        <v/>
      </c>
      <c r="W735" s="1">
        <f>SUM(Energy_data_1990___2020[[#This Row],[Coal and lignite production (Mt)]]-Energy_data_1990___2020[[#This Row],[Coal and lignite domestic consumption (Mt)]])</f>
        <v>2.4972256579999996</v>
      </c>
    </row>
    <row r="736" spans="1:23">
      <c r="A736" t="s">
        <v>52</v>
      </c>
      <c r="B736">
        <v>2011</v>
      </c>
      <c r="C736" t="s">
        <v>28</v>
      </c>
      <c r="D736">
        <v>29.282931640000001</v>
      </c>
      <c r="E736">
        <v>1.587759578</v>
      </c>
      <c r="F736">
        <v>0.19154154700000001</v>
      </c>
      <c r="G736">
        <v>16.255612030000002</v>
      </c>
      <c r="H736">
        <v>18.442925519999999</v>
      </c>
      <c r="I736">
        <v>76.096012250000001</v>
      </c>
      <c r="J736">
        <v>25.999773879999999</v>
      </c>
      <c r="K736">
        <v>5.9980000000000002</v>
      </c>
      <c r="L736">
        <v>5.5179999999999998</v>
      </c>
      <c r="M736">
        <v>4.358999206</v>
      </c>
      <c r="N736">
        <v>4.3249952990000002</v>
      </c>
      <c r="O736">
        <v>0.12063636699999999</v>
      </c>
      <c r="P736">
        <v>44.411000000000001</v>
      </c>
      <c r="Q736">
        <v>40.341999999999999</v>
      </c>
      <c r="R736">
        <v>2.9823294759999999</v>
      </c>
      <c r="S736">
        <v>18.308527170000001</v>
      </c>
      <c r="T736">
        <v>2.2749999999999999</v>
      </c>
      <c r="U736">
        <v>4.9589999999999996</v>
      </c>
      <c r="V736" s="1" t="str">
        <f>IF(Energy_data_1990___2020[[#This Row],[CO2 emissions from fuel combustion (MtCO2)]]&gt;Energy_data_1990___2020[[#Totals],[CO2 emissions from fuel combustion (MtCO2)]],"Above Average","")</f>
        <v/>
      </c>
      <c r="W736" s="1">
        <f>SUM(Energy_data_1990___2020[[#This Row],[Coal and lignite production (Mt)]]-Energy_data_1990___2020[[#This Row],[Coal and lignite domestic consumption (Mt)]])</f>
        <v>1.9766705239999998</v>
      </c>
    </row>
    <row r="737" spans="1:23">
      <c r="A737" t="s">
        <v>52</v>
      </c>
      <c r="B737">
        <v>2012</v>
      </c>
      <c r="C737" t="s">
        <v>28</v>
      </c>
      <c r="D737">
        <v>31.112608529999999</v>
      </c>
      <c r="E737">
        <v>1.6055224100000001</v>
      </c>
      <c r="F737">
        <v>0.19907817</v>
      </c>
      <c r="G737">
        <v>16.212295659999999</v>
      </c>
      <c r="H737">
        <v>19.37849533</v>
      </c>
      <c r="I737">
        <v>71.809760510000004</v>
      </c>
      <c r="J737">
        <v>25.38400068</v>
      </c>
      <c r="K737">
        <v>5.96</v>
      </c>
      <c r="L737">
        <v>5.7430000000000003</v>
      </c>
      <c r="M737">
        <v>4.6479940439999998</v>
      </c>
      <c r="N737">
        <v>4.5050024320000004</v>
      </c>
      <c r="O737">
        <v>0.123995884</v>
      </c>
      <c r="P737">
        <v>44.26</v>
      </c>
      <c r="Q737">
        <v>39.880000000000003</v>
      </c>
      <c r="R737">
        <v>3.527751184</v>
      </c>
      <c r="S737">
        <v>18.793493000000002</v>
      </c>
      <c r="T737">
        <v>2.032</v>
      </c>
      <c r="U737">
        <v>4.9219999999999997</v>
      </c>
      <c r="V737" s="1" t="str">
        <f>IF(Energy_data_1990___2020[[#This Row],[CO2 emissions from fuel combustion (MtCO2)]]&gt;Energy_data_1990___2020[[#Totals],[CO2 emissions from fuel combustion (MtCO2)]],"Above Average","")</f>
        <v/>
      </c>
      <c r="W737" s="1">
        <f>SUM(Energy_data_1990___2020[[#This Row],[Coal and lignite production (Mt)]]-Energy_data_1990___2020[[#This Row],[Coal and lignite domestic consumption (Mt)]])</f>
        <v>1.3942488159999997</v>
      </c>
    </row>
    <row r="738" spans="1:23">
      <c r="A738" t="s">
        <v>52</v>
      </c>
      <c r="B738">
        <v>2013</v>
      </c>
      <c r="C738" t="s">
        <v>28</v>
      </c>
      <c r="D738">
        <v>31.250577870000001</v>
      </c>
      <c r="E738">
        <v>1.603215192</v>
      </c>
      <c r="F738">
        <v>0.19494051500000001</v>
      </c>
      <c r="G738">
        <v>16.305068080000002</v>
      </c>
      <c r="H738">
        <v>19.492441199999998</v>
      </c>
      <c r="I738">
        <v>74.212193369999994</v>
      </c>
      <c r="J738">
        <v>24.409970950000002</v>
      </c>
      <c r="K738">
        <v>6.04</v>
      </c>
      <c r="L738">
        <v>5.5190000000000001</v>
      </c>
      <c r="M738">
        <v>4.7909990069999999</v>
      </c>
      <c r="N738">
        <v>4.8069988879999999</v>
      </c>
      <c r="O738">
        <v>0.12159348</v>
      </c>
      <c r="P738">
        <v>43.253</v>
      </c>
      <c r="Q738">
        <v>39.496000000000002</v>
      </c>
      <c r="R738">
        <v>3.1080989140000002</v>
      </c>
      <c r="S738">
        <v>19.681871780000002</v>
      </c>
      <c r="T738">
        <v>1.7789999999999999</v>
      </c>
      <c r="U738">
        <v>4.625</v>
      </c>
      <c r="V738" s="1" t="str">
        <f>IF(Energy_data_1990___2020[[#This Row],[CO2 emissions from fuel combustion (MtCO2)]]&gt;Energy_data_1990___2020[[#Totals],[CO2 emissions from fuel combustion (MtCO2)]],"Above Average","")</f>
        <v/>
      </c>
      <c r="W738" s="1">
        <f>SUM(Energy_data_1990___2020[[#This Row],[Coal and lignite production (Mt)]]-Energy_data_1990___2020[[#This Row],[Coal and lignite domestic consumption (Mt)]])</f>
        <v>1.5169010859999998</v>
      </c>
    </row>
    <row r="739" spans="1:23">
      <c r="A739" t="s">
        <v>52</v>
      </c>
      <c r="B739">
        <v>2014</v>
      </c>
      <c r="C739" t="s">
        <v>28</v>
      </c>
      <c r="D739">
        <v>31.8993602</v>
      </c>
      <c r="E739">
        <v>1.5525925840000001</v>
      </c>
      <c r="F739">
        <v>0.19185902099999999</v>
      </c>
      <c r="G739">
        <v>17.07128698</v>
      </c>
      <c r="H739">
        <v>20.545866660000002</v>
      </c>
      <c r="I739">
        <v>79.137764709999999</v>
      </c>
      <c r="J739">
        <v>23.132768550000002</v>
      </c>
      <c r="K739">
        <v>6.1890000000000001</v>
      </c>
      <c r="L739">
        <v>5.4180000000000001</v>
      </c>
      <c r="M739">
        <v>5.2409991370000002</v>
      </c>
      <c r="N739">
        <v>5.3689941189999999</v>
      </c>
      <c r="O739">
        <v>0.123573321</v>
      </c>
      <c r="P739">
        <v>43.537999999999997</v>
      </c>
      <c r="Q739">
        <v>39.862000000000002</v>
      </c>
      <c r="R739">
        <v>3.1581389799999999</v>
      </c>
      <c r="S739">
        <v>21.96931416</v>
      </c>
      <c r="T739">
        <v>1.9890000000000001</v>
      </c>
      <c r="U739">
        <v>3.9849999999999999</v>
      </c>
      <c r="V739" s="1" t="str">
        <f>IF(Energy_data_1990___2020[[#This Row],[CO2 emissions from fuel combustion (MtCO2)]]&gt;Energy_data_1990___2020[[#Totals],[CO2 emissions from fuel combustion (MtCO2)]],"Above Average","")</f>
        <v/>
      </c>
      <c r="W739" s="1">
        <f>SUM(Energy_data_1990___2020[[#This Row],[Coal and lignite production (Mt)]]-Energy_data_1990___2020[[#This Row],[Coal and lignite domestic consumption (Mt)]])</f>
        <v>0.82686101999999995</v>
      </c>
    </row>
    <row r="740" spans="1:23">
      <c r="A740" t="s">
        <v>52</v>
      </c>
      <c r="B740">
        <v>2015</v>
      </c>
      <c r="C740" t="s">
        <v>28</v>
      </c>
      <c r="D740">
        <v>31.668587089999999</v>
      </c>
      <c r="E740">
        <v>1.523132935</v>
      </c>
      <c r="F740">
        <v>0.183879497</v>
      </c>
      <c r="G740">
        <v>16.71219679</v>
      </c>
      <c r="H740">
        <v>20.79174205</v>
      </c>
      <c r="I740">
        <v>80.080951519999999</v>
      </c>
      <c r="J740">
        <v>23.565457089999999</v>
      </c>
      <c r="K740">
        <v>6.3319999999999999</v>
      </c>
      <c r="L740">
        <v>5.8090000000000002</v>
      </c>
      <c r="M740">
        <v>4.9540037659999996</v>
      </c>
      <c r="N740">
        <v>5.0599977330000003</v>
      </c>
      <c r="O740">
        <v>0.120724523</v>
      </c>
      <c r="P740">
        <v>44.223999999999997</v>
      </c>
      <c r="Q740">
        <v>40.421999999999997</v>
      </c>
      <c r="R740">
        <v>2.9476594739999999</v>
      </c>
      <c r="S740">
        <v>23.306349489999999</v>
      </c>
      <c r="T740">
        <v>2.0609999999999999</v>
      </c>
      <c r="U740">
        <v>3.391</v>
      </c>
      <c r="V740" s="1" t="str">
        <f>IF(Energy_data_1990___2020[[#This Row],[CO2 emissions from fuel combustion (MtCO2)]]&gt;Energy_data_1990___2020[[#Totals],[CO2 emissions from fuel combustion (MtCO2)]],"Above Average","")</f>
        <v/>
      </c>
      <c r="W740" s="1">
        <f>SUM(Energy_data_1990___2020[[#This Row],[Coal and lignite production (Mt)]]-Energy_data_1990___2020[[#This Row],[Coal and lignite domestic consumption (Mt)]])</f>
        <v>0.44334052600000007</v>
      </c>
    </row>
    <row r="741" spans="1:23">
      <c r="A741" t="s">
        <v>52</v>
      </c>
      <c r="B741">
        <v>2016</v>
      </c>
      <c r="C741" t="s">
        <v>28</v>
      </c>
      <c r="D741">
        <v>31.22167353</v>
      </c>
      <c r="E741">
        <v>1.51900974</v>
      </c>
      <c r="F741">
        <v>0.17490776699999999</v>
      </c>
      <c r="G741">
        <v>16.202305240000001</v>
      </c>
      <c r="H741">
        <v>20.553965340000001</v>
      </c>
      <c r="I741">
        <v>84.235697939999994</v>
      </c>
      <c r="J741">
        <v>22.703646209999999</v>
      </c>
      <c r="K741">
        <v>6.4749999999999996</v>
      </c>
      <c r="L741">
        <v>5.6950000000000003</v>
      </c>
      <c r="M741">
        <v>5.066005241</v>
      </c>
      <c r="N741">
        <v>5.0630052240000003</v>
      </c>
      <c r="O741">
        <v>0.115145915</v>
      </c>
      <c r="P741">
        <v>43.7</v>
      </c>
      <c r="Q741">
        <v>39.780999999999999</v>
      </c>
      <c r="R741">
        <v>2.515598454</v>
      </c>
      <c r="S741">
        <v>23.597254</v>
      </c>
      <c r="T741">
        <v>1.752</v>
      </c>
      <c r="U741">
        <v>2.8660000000000001</v>
      </c>
      <c r="V741" s="1" t="str">
        <f>IF(Energy_data_1990___2020[[#This Row],[CO2 emissions from fuel combustion (MtCO2)]]&gt;Energy_data_1990___2020[[#Totals],[CO2 emissions from fuel combustion (MtCO2)]],"Above Average","")</f>
        <v/>
      </c>
      <c r="W741" s="1">
        <f>SUM(Energy_data_1990___2020[[#This Row],[Coal and lignite production (Mt)]]-Energy_data_1990___2020[[#This Row],[Coal and lignite domestic consumption (Mt)]])</f>
        <v>0.35040154600000006</v>
      </c>
    </row>
    <row r="742" spans="1:23">
      <c r="A742" t="s">
        <v>52</v>
      </c>
      <c r="B742">
        <v>2017</v>
      </c>
      <c r="C742" t="s">
        <v>28</v>
      </c>
      <c r="D742">
        <v>32.733009209999999</v>
      </c>
      <c r="E742">
        <v>1.5826509479999999</v>
      </c>
      <c r="F742">
        <v>0.17781169199999999</v>
      </c>
      <c r="G742">
        <v>15.995532559999999</v>
      </c>
      <c r="H742">
        <v>20.6823932</v>
      </c>
      <c r="I742">
        <v>81.118622999999999</v>
      </c>
      <c r="J742">
        <v>22.330648310000001</v>
      </c>
      <c r="K742">
        <v>6.728383</v>
      </c>
      <c r="L742">
        <v>5.524</v>
      </c>
      <c r="M742">
        <v>4.9900026950000003</v>
      </c>
      <c r="N742">
        <v>5.1692509629999996</v>
      </c>
      <c r="O742">
        <v>0.112350542</v>
      </c>
      <c r="P742">
        <v>44.192332999999998</v>
      </c>
      <c r="Q742">
        <v>39.662982999999997</v>
      </c>
      <c r="R742">
        <v>2.6317106269999999</v>
      </c>
      <c r="S742">
        <v>22.89686992</v>
      </c>
      <c r="T742">
        <v>1.585</v>
      </c>
      <c r="U742">
        <v>2.9185629999999998</v>
      </c>
      <c r="V742" s="1" t="str">
        <f>IF(Energy_data_1990___2020[[#This Row],[CO2 emissions from fuel combustion (MtCO2)]]&gt;Energy_data_1990___2020[[#Totals],[CO2 emissions from fuel combustion (MtCO2)]],"Above Average","")</f>
        <v/>
      </c>
      <c r="W742" s="1">
        <f>SUM(Energy_data_1990___2020[[#This Row],[Coal and lignite production (Mt)]]-Energy_data_1990___2020[[#This Row],[Coal and lignite domestic consumption (Mt)]])</f>
        <v>0.28685237299999988</v>
      </c>
    </row>
    <row r="743" spans="1:23">
      <c r="A743" t="s">
        <v>52</v>
      </c>
      <c r="B743">
        <v>2018</v>
      </c>
      <c r="C743" t="s">
        <v>28</v>
      </c>
      <c r="D743">
        <v>32.156835289999997</v>
      </c>
      <c r="E743">
        <v>1.5735058749999999</v>
      </c>
      <c r="F743">
        <v>0.16996763600000001</v>
      </c>
      <c r="G743">
        <v>15.44902598</v>
      </c>
      <c r="H743">
        <v>20.4364253</v>
      </c>
      <c r="I743">
        <v>83.375657910000001</v>
      </c>
      <c r="J743">
        <v>22.720861750000001</v>
      </c>
      <c r="K743">
        <v>6.7787420000000003</v>
      </c>
      <c r="L743">
        <v>5.5140000000000002</v>
      </c>
      <c r="M743">
        <v>4.4080006349999996</v>
      </c>
      <c r="N743">
        <v>4.5829953090000002</v>
      </c>
      <c r="O743">
        <v>0.108018431</v>
      </c>
      <c r="P743">
        <v>44.380042000000003</v>
      </c>
      <c r="Q743">
        <v>39.543334000000002</v>
      </c>
      <c r="R743">
        <v>2.621948481</v>
      </c>
      <c r="S743">
        <v>22.938711959999999</v>
      </c>
      <c r="T743">
        <v>1.2589999999999999</v>
      </c>
      <c r="U743">
        <v>3.2385989999999998</v>
      </c>
      <c r="V743" s="1" t="str">
        <f>IF(Energy_data_1990___2020[[#This Row],[CO2 emissions from fuel combustion (MtCO2)]]&gt;Energy_data_1990___2020[[#Totals],[CO2 emissions from fuel combustion (MtCO2)]],"Above Average","")</f>
        <v/>
      </c>
      <c r="W743" s="1">
        <f>SUM(Energy_data_1990___2020[[#This Row],[Coal and lignite production (Mt)]]-Energy_data_1990___2020[[#This Row],[Coal and lignite domestic consumption (Mt)]])</f>
        <v>0.61665051899999979</v>
      </c>
    </row>
    <row r="744" spans="1:23">
      <c r="A744" t="s">
        <v>52</v>
      </c>
      <c r="B744">
        <v>2019</v>
      </c>
      <c r="C744" t="s">
        <v>28</v>
      </c>
      <c r="D744">
        <v>32.083722549999997</v>
      </c>
      <c r="E744">
        <v>1.547578401</v>
      </c>
      <c r="F744">
        <v>0.16589662899999999</v>
      </c>
      <c r="G744">
        <v>15.6818005</v>
      </c>
      <c r="H744">
        <v>20.731565209999999</v>
      </c>
      <c r="I744">
        <v>81.681178930000002</v>
      </c>
      <c r="J744">
        <v>22.26833096</v>
      </c>
      <c r="K744">
        <v>6.9772993760000004</v>
      </c>
      <c r="L744">
        <v>5.6519082799999998</v>
      </c>
      <c r="M744">
        <v>4.728642153</v>
      </c>
      <c r="N744">
        <v>4.926470739</v>
      </c>
      <c r="O744">
        <v>0.10719756</v>
      </c>
      <c r="P744">
        <v>44.781132040000003</v>
      </c>
      <c r="Q744">
        <v>39.74586266</v>
      </c>
      <c r="R744">
        <v>2.9715604</v>
      </c>
      <c r="S744">
        <v>23.346839809999999</v>
      </c>
      <c r="T744">
        <v>1.3006144829999999</v>
      </c>
      <c r="U744">
        <v>3.0413087760000002</v>
      </c>
      <c r="V744" s="1" t="str">
        <f>IF(Energy_data_1990___2020[[#This Row],[CO2 emissions from fuel combustion (MtCO2)]]&gt;Energy_data_1990___2020[[#Totals],[CO2 emissions from fuel combustion (MtCO2)]],"Above Average","")</f>
        <v/>
      </c>
      <c r="W744" s="1">
        <f>SUM(Energy_data_1990___2020[[#This Row],[Coal and lignite production (Mt)]]-Energy_data_1990___2020[[#This Row],[Coal and lignite domestic consumption (Mt)]])</f>
        <v>6.9748376000000167E-2</v>
      </c>
    </row>
    <row r="745" spans="1:23">
      <c r="A745" t="s">
        <v>52</v>
      </c>
      <c r="B745">
        <v>2020</v>
      </c>
      <c r="C745" t="s">
        <v>28</v>
      </c>
      <c r="D745">
        <v>30.004304309999998</v>
      </c>
      <c r="E745">
        <v>1.443832242</v>
      </c>
      <c r="F745">
        <v>0.17030131200000001</v>
      </c>
      <c r="G745">
        <v>15.19973315</v>
      </c>
      <c r="H745">
        <v>20.781018339999999</v>
      </c>
      <c r="I745">
        <v>80.029880219999995</v>
      </c>
      <c r="J745">
        <v>23.4529158</v>
      </c>
      <c r="K745">
        <v>6.4076234899999998</v>
      </c>
      <c r="L745">
        <v>4.026153742</v>
      </c>
      <c r="M745">
        <v>4.6511591599999997</v>
      </c>
      <c r="N745">
        <v>4.8808744669999999</v>
      </c>
      <c r="O745">
        <v>0.1179509</v>
      </c>
      <c r="P745">
        <v>44.150343550000002</v>
      </c>
      <c r="Q745">
        <v>38.929244930000003</v>
      </c>
      <c r="R745">
        <v>2.8127704470000001</v>
      </c>
      <c r="S745">
        <v>23.91162611</v>
      </c>
      <c r="T745">
        <v>1.1182137569999999</v>
      </c>
      <c r="U745">
        <v>2.8254879160000002</v>
      </c>
      <c r="V745" s="1" t="str">
        <f>IF(Energy_data_1990___2020[[#This Row],[CO2 emissions from fuel combustion (MtCO2)]]&gt;Energy_data_1990___2020[[#Totals],[CO2 emissions from fuel combustion (MtCO2)]],"Above Average","")</f>
        <v/>
      </c>
      <c r="W745" s="1">
        <f>SUM(Energy_data_1990___2020[[#This Row],[Coal and lignite production (Mt)]]-Energy_data_1990___2020[[#This Row],[Coal and lignite domestic consumption (Mt)]])</f>
        <v>1.2717469000000037E-2</v>
      </c>
    </row>
    <row r="746" spans="1:23">
      <c r="A746" t="s">
        <v>53</v>
      </c>
      <c r="B746">
        <v>1990</v>
      </c>
      <c r="C746" t="s">
        <v>54</v>
      </c>
      <c r="D746">
        <v>28.320678319999999</v>
      </c>
      <c r="E746">
        <v>0.42630720999999999</v>
      </c>
      <c r="F746">
        <v>9.2771675999999997E-2</v>
      </c>
      <c r="G746">
        <v>146.30307970000001</v>
      </c>
      <c r="H746">
        <v>66.432557750000001</v>
      </c>
      <c r="I746">
        <v>32.58560499</v>
      </c>
      <c r="J746">
        <v>1.141129206</v>
      </c>
      <c r="K746">
        <v>7.0860000000000003</v>
      </c>
      <c r="L746">
        <v>12.849</v>
      </c>
      <c r="M746">
        <v>4</v>
      </c>
      <c r="N746">
        <v>4</v>
      </c>
      <c r="O746">
        <v>0.217616953</v>
      </c>
      <c r="P746">
        <v>13.462999999999999</v>
      </c>
      <c r="Q746">
        <v>7.8710000000000004</v>
      </c>
      <c r="R746">
        <v>7.4999999999999997E-2</v>
      </c>
      <c r="S746">
        <v>0</v>
      </c>
      <c r="T746">
        <v>88.322000000000003</v>
      </c>
      <c r="U746">
        <v>0.09</v>
      </c>
      <c r="V746" s="1" t="str">
        <f>IF(Energy_data_1990___2020[[#This Row],[CO2 emissions from fuel combustion (MtCO2)]]&gt;Energy_data_1990___2020[[#Totals],[CO2 emissions from fuel combustion (MtCO2)]],"Above Average","")</f>
        <v/>
      </c>
      <c r="W746" s="1">
        <f>SUM(Energy_data_1990___2020[[#This Row],[Coal and lignite production (Mt)]]-Energy_data_1990___2020[[#This Row],[Coal and lignite domestic consumption (Mt)]])</f>
        <v>1.4999999999999999E-2</v>
      </c>
    </row>
    <row r="747" spans="1:23">
      <c r="A747" t="s">
        <v>53</v>
      </c>
      <c r="B747">
        <v>1991</v>
      </c>
      <c r="C747" t="s">
        <v>54</v>
      </c>
      <c r="D747">
        <v>33.591432210000001</v>
      </c>
      <c r="E747">
        <v>0.48252142799999997</v>
      </c>
      <c r="F747">
        <v>0.10964447400000001</v>
      </c>
      <c r="G747">
        <v>152.48683149999999</v>
      </c>
      <c r="H747">
        <v>69.616456889999995</v>
      </c>
      <c r="I747">
        <v>41.864897300000003</v>
      </c>
      <c r="J747">
        <v>1.1465298230000001</v>
      </c>
      <c r="K747">
        <v>8.516</v>
      </c>
      <c r="L747">
        <v>13.901999999999999</v>
      </c>
      <c r="M747">
        <v>4.8780038479999996</v>
      </c>
      <c r="N747">
        <v>4.8780038479999996</v>
      </c>
      <c r="O747">
        <v>0.227232342</v>
      </c>
      <c r="P747">
        <v>14.167</v>
      </c>
      <c r="Q747">
        <v>8.2919999999999998</v>
      </c>
      <c r="R747">
        <v>7.2999999999999995E-2</v>
      </c>
      <c r="S747">
        <v>0</v>
      </c>
      <c r="T747">
        <v>92.144000000000005</v>
      </c>
      <c r="U747">
        <v>0.1</v>
      </c>
      <c r="V747" s="1" t="str">
        <f>IF(Energy_data_1990___2020[[#This Row],[CO2 emissions from fuel combustion (MtCO2)]]&gt;Energy_data_1990___2020[[#Totals],[CO2 emissions from fuel combustion (MtCO2)]],"Above Average","")</f>
        <v/>
      </c>
      <c r="W747" s="1">
        <f>SUM(Energy_data_1990___2020[[#This Row],[Coal and lignite production (Mt)]]-Energy_data_1990___2020[[#This Row],[Coal and lignite domestic consumption (Mt)]])</f>
        <v>2.700000000000001E-2</v>
      </c>
    </row>
    <row r="748" spans="1:23">
      <c r="A748" t="s">
        <v>53</v>
      </c>
      <c r="B748">
        <v>1992</v>
      </c>
      <c r="C748" t="s">
        <v>54</v>
      </c>
      <c r="D748">
        <v>40.145987689999998</v>
      </c>
      <c r="E748">
        <v>0.55475004100000003</v>
      </c>
      <c r="F748">
        <v>0.12523888699999999</v>
      </c>
      <c r="G748">
        <v>157.6720157</v>
      </c>
      <c r="H748">
        <v>72.367705709999996</v>
      </c>
      <c r="I748">
        <v>40.845355259999998</v>
      </c>
      <c r="J748">
        <v>1.1497438980000001</v>
      </c>
      <c r="K748">
        <v>10.358000000000001</v>
      </c>
      <c r="L748">
        <v>12.723000000000001</v>
      </c>
      <c r="M748">
        <v>5.13199761</v>
      </c>
      <c r="N748">
        <v>5.13199761</v>
      </c>
      <c r="O748">
        <v>0.22575732800000001</v>
      </c>
      <c r="P748">
        <v>14.834</v>
      </c>
      <c r="Q748">
        <v>8.6989999999999998</v>
      </c>
      <c r="R748">
        <v>5.1999999999999998E-2</v>
      </c>
      <c r="S748">
        <v>0</v>
      </c>
      <c r="T748">
        <v>95.575000000000003</v>
      </c>
      <c r="U748">
        <v>8.6999999999999994E-2</v>
      </c>
      <c r="V748" s="1" t="str">
        <f>IF(Energy_data_1990___2020[[#This Row],[CO2 emissions from fuel combustion (MtCO2)]]&gt;Energy_data_1990___2020[[#Totals],[CO2 emissions from fuel combustion (MtCO2)]],"Above Average","")</f>
        <v/>
      </c>
      <c r="W748" s="1">
        <f>SUM(Energy_data_1990___2020[[#This Row],[Coal and lignite production (Mt)]]-Energy_data_1990___2020[[#This Row],[Coal and lignite domestic consumption (Mt)]])</f>
        <v>3.4999999999999996E-2</v>
      </c>
    </row>
    <row r="749" spans="1:23">
      <c r="A749" t="s">
        <v>53</v>
      </c>
      <c r="B749">
        <v>1993</v>
      </c>
      <c r="C749" t="s">
        <v>54</v>
      </c>
      <c r="D749">
        <v>36.639817610000001</v>
      </c>
      <c r="E749">
        <v>0.49829899900000002</v>
      </c>
      <c r="F749">
        <v>0.11667557200000001</v>
      </c>
      <c r="G749">
        <v>160.4593079</v>
      </c>
      <c r="H749">
        <v>73.529783660000007</v>
      </c>
      <c r="I749">
        <v>38.41433988</v>
      </c>
      <c r="J749">
        <v>1.3155242110000001</v>
      </c>
      <c r="K749">
        <v>9.0120000000000005</v>
      </c>
      <c r="L749">
        <v>12.432</v>
      </c>
      <c r="M749">
        <v>5.6049976580000003</v>
      </c>
      <c r="N749">
        <v>5.6049976580000003</v>
      </c>
      <c r="O749">
        <v>0.23414771500000001</v>
      </c>
      <c r="P749">
        <v>14.505000000000001</v>
      </c>
      <c r="Q749">
        <v>9.9979999999999993</v>
      </c>
      <c r="R749">
        <v>8.0000000000000002E-3</v>
      </c>
      <c r="S749">
        <v>0</v>
      </c>
      <c r="T749">
        <v>96.509</v>
      </c>
      <c r="U749">
        <v>2.8000000000000001E-2</v>
      </c>
      <c r="V749" s="1" t="str">
        <f>IF(Energy_data_1990___2020[[#This Row],[CO2 emissions from fuel combustion (MtCO2)]]&gt;Energy_data_1990___2020[[#Totals],[CO2 emissions from fuel combustion (MtCO2)]],"Above Average","")</f>
        <v/>
      </c>
      <c r="W749" s="1">
        <f>SUM(Energy_data_1990___2020[[#This Row],[Coal and lignite production (Mt)]]-Energy_data_1990___2020[[#This Row],[Coal and lignite domestic consumption (Mt)]])</f>
        <v>0.02</v>
      </c>
    </row>
    <row r="750" spans="1:23">
      <c r="A750" t="s">
        <v>53</v>
      </c>
      <c r="B750">
        <v>1994</v>
      </c>
      <c r="C750" t="s">
        <v>54</v>
      </c>
      <c r="D750">
        <v>30.849902570000001</v>
      </c>
      <c r="E750">
        <v>0.430108029</v>
      </c>
      <c r="F750">
        <v>0.100054115</v>
      </c>
      <c r="G750">
        <v>161.6838904</v>
      </c>
      <c r="H750">
        <v>71.725939710000006</v>
      </c>
      <c r="I750">
        <v>35.812246469999998</v>
      </c>
      <c r="J750">
        <v>1.266052526</v>
      </c>
      <c r="K750">
        <v>7.1559999999999997</v>
      </c>
      <c r="L750">
        <v>8.0039999999999996</v>
      </c>
      <c r="M750">
        <v>5.4929988869999997</v>
      </c>
      <c r="N750">
        <v>5.4929988869999997</v>
      </c>
      <c r="O750">
        <v>0.23262554499999999</v>
      </c>
      <c r="P750">
        <v>15.531000000000001</v>
      </c>
      <c r="Q750">
        <v>9.5950000000000006</v>
      </c>
      <c r="R750">
        <v>2.5000000000000001E-2</v>
      </c>
      <c r="S750">
        <v>0</v>
      </c>
      <c r="T750">
        <v>96.215999999999994</v>
      </c>
      <c r="U750">
        <v>2.5000000000000001E-2</v>
      </c>
      <c r="V750" s="1" t="str">
        <f>IF(Energy_data_1990___2020[[#This Row],[CO2 emissions from fuel combustion (MtCO2)]]&gt;Energy_data_1990___2020[[#Totals],[CO2 emissions from fuel combustion (MtCO2)]],"Above Average","")</f>
        <v/>
      </c>
      <c r="W750" s="1">
        <f>SUM(Energy_data_1990___2020[[#This Row],[Coal and lignite production (Mt)]]-Energy_data_1990___2020[[#This Row],[Coal and lignite domestic consumption (Mt)]])</f>
        <v>0</v>
      </c>
    </row>
    <row r="751" spans="1:23">
      <c r="A751" t="s">
        <v>53</v>
      </c>
      <c r="B751">
        <v>1995</v>
      </c>
      <c r="C751" t="s">
        <v>54</v>
      </c>
      <c r="D751">
        <v>33.200786290000003</v>
      </c>
      <c r="E751">
        <v>0.45497779399999999</v>
      </c>
      <c r="F751">
        <v>0.107756932</v>
      </c>
      <c r="G751">
        <v>164.6169884</v>
      </c>
      <c r="H751">
        <v>72.972322439999999</v>
      </c>
      <c r="I751">
        <v>34.684997160000002</v>
      </c>
      <c r="J751">
        <v>1.204604837</v>
      </c>
      <c r="K751">
        <v>8.0050000000000008</v>
      </c>
      <c r="L751">
        <v>9.15</v>
      </c>
      <c r="M751">
        <v>5.3849959859999998</v>
      </c>
      <c r="N751">
        <v>5.3849959859999998</v>
      </c>
      <c r="O751">
        <v>0.236839982</v>
      </c>
      <c r="P751">
        <v>15.856999999999999</v>
      </c>
      <c r="Q751">
        <v>9.4359999999999999</v>
      </c>
      <c r="R751">
        <v>0.02</v>
      </c>
      <c r="S751">
        <v>0</v>
      </c>
      <c r="T751">
        <v>97.540999999999997</v>
      </c>
      <c r="U751">
        <v>0.02</v>
      </c>
      <c r="V751" s="1" t="str">
        <f>IF(Energy_data_1990___2020[[#This Row],[CO2 emissions from fuel combustion (MtCO2)]]&gt;Energy_data_1990___2020[[#Totals],[CO2 emissions from fuel combustion (MtCO2)]],"Above Average","")</f>
        <v/>
      </c>
      <c r="W751" s="1">
        <f>SUM(Energy_data_1990___2020[[#This Row],[Coal and lignite production (Mt)]]-Energy_data_1990___2020[[#This Row],[Coal and lignite domestic consumption (Mt)]])</f>
        <v>0</v>
      </c>
    </row>
    <row r="752" spans="1:23">
      <c r="A752" t="s">
        <v>53</v>
      </c>
      <c r="B752">
        <v>1996</v>
      </c>
      <c r="C752" t="s">
        <v>54</v>
      </c>
      <c r="D752">
        <v>36.929341669999999</v>
      </c>
      <c r="E752">
        <v>0.48623514400000001</v>
      </c>
      <c r="F752">
        <v>0.11503173899999999</v>
      </c>
      <c r="G752">
        <v>177.12520079999999</v>
      </c>
      <c r="H752">
        <v>75.949552699999998</v>
      </c>
      <c r="I752">
        <v>33.860740010000001</v>
      </c>
      <c r="J752">
        <v>1.112922237</v>
      </c>
      <c r="K752">
        <v>9.2360000000000007</v>
      </c>
      <c r="L752">
        <v>10.959</v>
      </c>
      <c r="M752">
        <v>5.4570023340000002</v>
      </c>
      <c r="N752">
        <v>5.4570023340000002</v>
      </c>
      <c r="O752">
        <v>0.23657635699999999</v>
      </c>
      <c r="P752">
        <v>16.242999999999999</v>
      </c>
      <c r="Q752">
        <v>9.0519999999999996</v>
      </c>
      <c r="R752">
        <v>8.0000000000000002E-3</v>
      </c>
      <c r="S752">
        <v>0</v>
      </c>
      <c r="T752">
        <v>108.032</v>
      </c>
      <c r="U752">
        <v>8.0000000000000002E-3</v>
      </c>
      <c r="V752" s="1" t="str">
        <f>IF(Energy_data_1990___2020[[#This Row],[CO2 emissions from fuel combustion (MtCO2)]]&gt;Energy_data_1990___2020[[#Totals],[CO2 emissions from fuel combustion (MtCO2)]],"Above Average","")</f>
        <v/>
      </c>
      <c r="W752" s="1">
        <f>SUM(Energy_data_1990___2020[[#This Row],[Coal and lignite production (Mt)]]-Energy_data_1990___2020[[#This Row],[Coal and lignite domestic consumption (Mt)]])</f>
        <v>0</v>
      </c>
    </row>
    <row r="753" spans="1:23">
      <c r="A753" t="s">
        <v>53</v>
      </c>
      <c r="B753">
        <v>1997</v>
      </c>
      <c r="C753" t="s">
        <v>54</v>
      </c>
      <c r="D753">
        <v>41.584129789999999</v>
      </c>
      <c r="E753">
        <v>0.52587768000000001</v>
      </c>
      <c r="F753">
        <v>0.125835104</v>
      </c>
      <c r="G753">
        <v>188.7734031</v>
      </c>
      <c r="H753">
        <v>79.075669770000005</v>
      </c>
      <c r="I753">
        <v>34.70248806</v>
      </c>
      <c r="J753">
        <v>1.04492473</v>
      </c>
      <c r="K753">
        <v>9.7110000000000003</v>
      </c>
      <c r="L753">
        <v>9.9469999999999992</v>
      </c>
      <c r="M753">
        <v>5.7059964369999996</v>
      </c>
      <c r="N753">
        <v>6.1779993099999997</v>
      </c>
      <c r="O753">
        <v>0.23928588000000001</v>
      </c>
      <c r="P753">
        <v>16.117000000000001</v>
      </c>
      <c r="Q753">
        <v>8.843</v>
      </c>
      <c r="R753">
        <v>0.01</v>
      </c>
      <c r="S753">
        <v>0</v>
      </c>
      <c r="T753">
        <v>117.458</v>
      </c>
      <c r="U753">
        <v>0.01</v>
      </c>
      <c r="V753" s="1" t="str">
        <f>IF(Energy_data_1990___2020[[#This Row],[CO2 emissions from fuel combustion (MtCO2)]]&gt;Energy_data_1990___2020[[#Totals],[CO2 emissions from fuel combustion (MtCO2)]],"Above Average","")</f>
        <v/>
      </c>
      <c r="W753" s="1">
        <f>SUM(Energy_data_1990___2020[[#This Row],[Coal and lignite production (Mt)]]-Energy_data_1990___2020[[#This Row],[Coal and lignite domestic consumption (Mt)]])</f>
        <v>0</v>
      </c>
    </row>
    <row r="754" spans="1:23">
      <c r="A754" t="s">
        <v>53</v>
      </c>
      <c r="B754">
        <v>1998</v>
      </c>
      <c r="C754" t="s">
        <v>54</v>
      </c>
      <c r="D754">
        <v>37.631568870000002</v>
      </c>
      <c r="E754">
        <v>0.47025753399999998</v>
      </c>
      <c r="F754">
        <v>0.11100908299999999</v>
      </c>
      <c r="G754">
        <v>184.62544249999999</v>
      </c>
      <c r="H754">
        <v>80.023319380000004</v>
      </c>
      <c r="I754">
        <v>38.217192769999997</v>
      </c>
      <c r="J754">
        <v>0.99795321199999998</v>
      </c>
      <c r="K754">
        <v>8.5229999999999997</v>
      </c>
      <c r="L754">
        <v>7.2629999999999999</v>
      </c>
      <c r="M754">
        <v>5.9</v>
      </c>
      <c r="N754">
        <v>6.2689929209999997</v>
      </c>
      <c r="O754">
        <v>0.23606019</v>
      </c>
      <c r="P754">
        <v>15.111000000000001</v>
      </c>
      <c r="Q754">
        <v>8.5210000000000008</v>
      </c>
      <c r="R754">
        <v>1.2E-2</v>
      </c>
      <c r="S754">
        <v>0</v>
      </c>
      <c r="T754">
        <v>111.375</v>
      </c>
      <c r="U754">
        <v>1.2E-2</v>
      </c>
      <c r="V754" s="1" t="str">
        <f>IF(Energy_data_1990___2020[[#This Row],[CO2 emissions from fuel combustion (MtCO2)]]&gt;Energy_data_1990___2020[[#Totals],[CO2 emissions from fuel combustion (MtCO2)]],"Above Average","")</f>
        <v/>
      </c>
      <c r="W754" s="1">
        <f>SUM(Energy_data_1990___2020[[#This Row],[Coal and lignite production (Mt)]]-Energy_data_1990___2020[[#This Row],[Coal and lignite domestic consumption (Mt)]])</f>
        <v>0</v>
      </c>
    </row>
    <row r="755" spans="1:23">
      <c r="A755" t="s">
        <v>53</v>
      </c>
      <c r="B755">
        <v>1999</v>
      </c>
      <c r="C755" t="s">
        <v>54</v>
      </c>
      <c r="D755">
        <v>39.463835629999998</v>
      </c>
      <c r="E755">
        <v>0.47728449699999997</v>
      </c>
      <c r="F755">
        <v>0.115738016</v>
      </c>
      <c r="G755">
        <v>183.10614039999999</v>
      </c>
      <c r="H755">
        <v>82.684092750000005</v>
      </c>
      <c r="I755">
        <v>38.212443280000002</v>
      </c>
      <c r="J755">
        <v>0.97832463300000005</v>
      </c>
      <c r="K755">
        <v>8.8170000000000002</v>
      </c>
      <c r="L755">
        <v>8.5939999999999994</v>
      </c>
      <c r="M755">
        <v>6.95</v>
      </c>
      <c r="N755">
        <v>6.6400008420000001</v>
      </c>
      <c r="O755">
        <v>0.24249271999999999</v>
      </c>
      <c r="P755">
        <v>16.088999999999999</v>
      </c>
      <c r="Q755">
        <v>8.5760000000000005</v>
      </c>
      <c r="R755">
        <v>1.6E-2</v>
      </c>
      <c r="S755">
        <v>0</v>
      </c>
      <c r="T755">
        <v>107.066</v>
      </c>
      <c r="U755">
        <v>1.6E-2</v>
      </c>
      <c r="V755" s="1" t="str">
        <f>IF(Energy_data_1990___2020[[#This Row],[CO2 emissions from fuel combustion (MtCO2)]]&gt;Energy_data_1990___2020[[#Totals],[CO2 emissions from fuel combustion (MtCO2)]],"Above Average","")</f>
        <v/>
      </c>
      <c r="W755" s="1">
        <f>SUM(Energy_data_1990___2020[[#This Row],[Coal and lignite production (Mt)]]-Energy_data_1990___2020[[#This Row],[Coal and lignite domestic consumption (Mt)]])</f>
        <v>0</v>
      </c>
    </row>
    <row r="756" spans="1:23">
      <c r="A756" t="s">
        <v>53</v>
      </c>
      <c r="B756">
        <v>2000</v>
      </c>
      <c r="C756" t="s">
        <v>54</v>
      </c>
      <c r="D756">
        <v>43.994851920000002</v>
      </c>
      <c r="E756">
        <v>0.50529150599999995</v>
      </c>
      <c r="F756">
        <v>0.12286364499999999</v>
      </c>
      <c r="G756">
        <v>197.9377135</v>
      </c>
      <c r="H756">
        <v>87.068259330000004</v>
      </c>
      <c r="I756">
        <v>38.21552251</v>
      </c>
      <c r="J756">
        <v>0.94858386800000005</v>
      </c>
      <c r="K756">
        <v>9.6649999999999991</v>
      </c>
      <c r="L756">
        <v>4.9800000000000004</v>
      </c>
      <c r="M756">
        <v>12.46</v>
      </c>
      <c r="N756">
        <v>7.6459968790000001</v>
      </c>
      <c r="O756">
        <v>0.24315398899999999</v>
      </c>
      <c r="P756">
        <v>14.727</v>
      </c>
      <c r="Q756">
        <v>8.6880000000000006</v>
      </c>
      <c r="R756">
        <v>3.0000000000000001E-3</v>
      </c>
      <c r="S756">
        <v>0</v>
      </c>
      <c r="T756">
        <v>115.178</v>
      </c>
      <c r="U756">
        <v>3.0000000000000001E-3</v>
      </c>
      <c r="V756" s="1" t="str">
        <f>IF(Energy_data_1990___2020[[#This Row],[CO2 emissions from fuel combustion (MtCO2)]]&gt;Energy_data_1990___2020[[#Totals],[CO2 emissions from fuel combustion (MtCO2)]],"Above Average","")</f>
        <v/>
      </c>
      <c r="W756" s="1">
        <f>SUM(Energy_data_1990___2020[[#This Row],[Coal and lignite production (Mt)]]-Energy_data_1990___2020[[#This Row],[Coal and lignite domestic consumption (Mt)]])</f>
        <v>0</v>
      </c>
    </row>
    <row r="757" spans="1:23">
      <c r="A757" t="s">
        <v>53</v>
      </c>
      <c r="B757">
        <v>2001</v>
      </c>
      <c r="C757" t="s">
        <v>54</v>
      </c>
      <c r="D757">
        <v>49.661372640000003</v>
      </c>
      <c r="E757">
        <v>0.54716406299999998</v>
      </c>
      <c r="F757">
        <v>0.13093983100000001</v>
      </c>
      <c r="G757">
        <v>207.78696550000001</v>
      </c>
      <c r="H757">
        <v>90.761393209999994</v>
      </c>
      <c r="I757">
        <v>38.216272150000002</v>
      </c>
      <c r="J757">
        <v>0.93714379599999997</v>
      </c>
      <c r="K757">
        <v>12.015000000000001</v>
      </c>
      <c r="L757">
        <v>11.045999999999999</v>
      </c>
      <c r="M757">
        <v>14.9</v>
      </c>
      <c r="N757">
        <v>7.2020042259999997</v>
      </c>
      <c r="O757">
        <v>0.239306344</v>
      </c>
      <c r="P757">
        <v>15.462</v>
      </c>
      <c r="Q757">
        <v>9.0340000000000007</v>
      </c>
      <c r="R757">
        <v>3.0000000000000001E-3</v>
      </c>
      <c r="S757">
        <v>0</v>
      </c>
      <c r="T757">
        <v>120.72</v>
      </c>
      <c r="U757">
        <v>3.0000000000000001E-3</v>
      </c>
      <c r="V757" s="1" t="str">
        <f>IF(Energy_data_1990___2020[[#This Row],[CO2 emissions from fuel combustion (MtCO2)]]&gt;Energy_data_1990___2020[[#Totals],[CO2 emissions from fuel combustion (MtCO2)]],"Above Average","")</f>
        <v/>
      </c>
      <c r="W757" s="1">
        <f>SUM(Energy_data_1990___2020[[#This Row],[Coal and lignite production (Mt)]]-Energy_data_1990___2020[[#This Row],[Coal and lignite domestic consumption (Mt)]])</f>
        <v>0</v>
      </c>
    </row>
    <row r="758" spans="1:23">
      <c r="A758" t="s">
        <v>53</v>
      </c>
      <c r="B758">
        <v>2002</v>
      </c>
      <c r="C758" t="s">
        <v>54</v>
      </c>
      <c r="D758">
        <v>51.360037200000001</v>
      </c>
      <c r="E758">
        <v>0.54916594100000005</v>
      </c>
      <c r="F758">
        <v>0.11741924300000001</v>
      </c>
      <c r="G758">
        <v>192.2127318</v>
      </c>
      <c r="H758">
        <v>93.523711719999994</v>
      </c>
      <c r="I758">
        <v>38.217683919999999</v>
      </c>
      <c r="J758">
        <v>1.296693466</v>
      </c>
      <c r="K758">
        <v>12.301</v>
      </c>
      <c r="L758">
        <v>10.696999999999999</v>
      </c>
      <c r="M758">
        <v>14.2</v>
      </c>
      <c r="N758">
        <v>7.6440001369999999</v>
      </c>
      <c r="O758">
        <v>0.21381377400000001</v>
      </c>
      <c r="P758">
        <v>21.545000000000002</v>
      </c>
      <c r="Q758">
        <v>12.843</v>
      </c>
      <c r="R758">
        <v>4.2999999999999997E-2</v>
      </c>
      <c r="S758">
        <v>0</v>
      </c>
      <c r="T758">
        <v>103.61799999999999</v>
      </c>
      <c r="U758">
        <v>4.2999999999999997E-2</v>
      </c>
      <c r="V758" s="1" t="str">
        <f>IF(Energy_data_1990___2020[[#This Row],[CO2 emissions from fuel combustion (MtCO2)]]&gt;Energy_data_1990___2020[[#Totals],[CO2 emissions from fuel combustion (MtCO2)]],"Above Average","")</f>
        <v/>
      </c>
      <c r="W758" s="1">
        <f>SUM(Energy_data_1990___2020[[#This Row],[Coal and lignite production (Mt)]]-Energy_data_1990___2020[[#This Row],[Coal and lignite domestic consumption (Mt)]])</f>
        <v>0</v>
      </c>
    </row>
    <row r="759" spans="1:23">
      <c r="A759" t="s">
        <v>53</v>
      </c>
      <c r="B759">
        <v>2003</v>
      </c>
      <c r="C759" t="s">
        <v>54</v>
      </c>
      <c r="D759">
        <v>55.621154529999998</v>
      </c>
      <c r="E759">
        <v>0.56729407600000004</v>
      </c>
      <c r="F759">
        <v>0.11845768600000001</v>
      </c>
      <c r="G759">
        <v>215.63097590000001</v>
      </c>
      <c r="H759">
        <v>98.046422210000003</v>
      </c>
      <c r="I759">
        <v>36.900515259999999</v>
      </c>
      <c r="J759">
        <v>1.228908039</v>
      </c>
      <c r="K759">
        <v>11.656000000000001</v>
      </c>
      <c r="L759">
        <v>6.44</v>
      </c>
      <c r="M759">
        <v>22.02998358</v>
      </c>
      <c r="N759">
        <v>10.69399269</v>
      </c>
      <c r="O759">
        <v>0.20881178</v>
      </c>
      <c r="P759">
        <v>20.184000000000001</v>
      </c>
      <c r="Q759">
        <v>12.867000000000001</v>
      </c>
      <c r="R759">
        <v>2.3E-2</v>
      </c>
      <c r="S759">
        <v>0</v>
      </c>
      <c r="T759">
        <v>117.93899999999999</v>
      </c>
      <c r="U759">
        <v>2.3E-2</v>
      </c>
      <c r="V759" s="1" t="str">
        <f>IF(Energy_data_1990___2020[[#This Row],[CO2 emissions from fuel combustion (MtCO2)]]&gt;Energy_data_1990___2020[[#Totals],[CO2 emissions from fuel combustion (MtCO2)]],"Above Average","")</f>
        <v/>
      </c>
      <c r="W759" s="1">
        <f>SUM(Energy_data_1990___2020[[#This Row],[Coal and lignite production (Mt)]]-Energy_data_1990___2020[[#This Row],[Coal and lignite domestic consumption (Mt)]])</f>
        <v>0</v>
      </c>
    </row>
    <row r="760" spans="1:23">
      <c r="A760" t="s">
        <v>53</v>
      </c>
      <c r="B760">
        <v>2004</v>
      </c>
      <c r="C760" t="s">
        <v>54</v>
      </c>
      <c r="D760">
        <v>55.879330889999999</v>
      </c>
      <c r="E760">
        <v>0.56173514800000002</v>
      </c>
      <c r="F760">
        <v>0.108930821</v>
      </c>
      <c r="G760">
        <v>229.5232766</v>
      </c>
      <c r="H760">
        <v>99.476294289999998</v>
      </c>
      <c r="I760">
        <v>33.400617920000002</v>
      </c>
      <c r="J760">
        <v>1.5089033359999999</v>
      </c>
      <c r="K760">
        <v>11.512</v>
      </c>
      <c r="L760">
        <v>5.5439999999999996</v>
      </c>
      <c r="M760">
        <v>24.06898348</v>
      </c>
      <c r="N760">
        <v>11.027003410000001</v>
      </c>
      <c r="O760">
        <v>0.19391847100000001</v>
      </c>
      <c r="P760">
        <v>24.274999999999999</v>
      </c>
      <c r="Q760">
        <v>16.036000000000001</v>
      </c>
      <c r="R760">
        <v>8.0000000000000002E-3</v>
      </c>
      <c r="S760">
        <v>0</v>
      </c>
      <c r="T760">
        <v>127.48099999999999</v>
      </c>
      <c r="U760">
        <v>8.0000000000000002E-3</v>
      </c>
      <c r="V760" s="1" t="str">
        <f>IF(Energy_data_1990___2020[[#This Row],[CO2 emissions from fuel combustion (MtCO2)]]&gt;Energy_data_1990___2020[[#Totals],[CO2 emissions from fuel combustion (MtCO2)]],"Above Average","")</f>
        <v/>
      </c>
      <c r="W760" s="1">
        <f>SUM(Energy_data_1990___2020[[#This Row],[Coal and lignite production (Mt)]]-Energy_data_1990___2020[[#This Row],[Coal and lignite domestic consumption (Mt)]])</f>
        <v>0</v>
      </c>
    </row>
    <row r="761" spans="1:23">
      <c r="A761" t="s">
        <v>53</v>
      </c>
      <c r="B761">
        <v>2005</v>
      </c>
      <c r="C761" t="s">
        <v>54</v>
      </c>
      <c r="D761">
        <v>58.3584763</v>
      </c>
      <c r="E761">
        <v>0.55449032200000004</v>
      </c>
      <c r="F761">
        <v>0.106882034</v>
      </c>
      <c r="G761">
        <v>233.55198039999999</v>
      </c>
      <c r="H761">
        <v>105.24706020000001</v>
      </c>
      <c r="I761">
        <v>33.00055227</v>
      </c>
      <c r="J761">
        <v>1.5792114850000001</v>
      </c>
      <c r="K761">
        <v>12.382</v>
      </c>
      <c r="L761">
        <v>10.122</v>
      </c>
      <c r="M761">
        <v>24.21100693</v>
      </c>
      <c r="N761">
        <v>11.036014460000001</v>
      </c>
      <c r="O761">
        <v>0.19275725799999999</v>
      </c>
      <c r="P761">
        <v>23.539000000000001</v>
      </c>
      <c r="Q761">
        <v>17.286000000000001</v>
      </c>
      <c r="R761">
        <v>8.0000000000000002E-3</v>
      </c>
      <c r="S761">
        <v>0</v>
      </c>
      <c r="T761">
        <v>128.648</v>
      </c>
      <c r="U761">
        <v>8.0000000000000002E-3</v>
      </c>
      <c r="V761" s="1" t="str">
        <f>IF(Energy_data_1990___2020[[#This Row],[CO2 emissions from fuel combustion (MtCO2)]]&gt;Energy_data_1990___2020[[#Totals],[CO2 emissions from fuel combustion (MtCO2)]],"Above Average","")</f>
        <v/>
      </c>
      <c r="W761" s="1">
        <f>SUM(Energy_data_1990___2020[[#This Row],[Coal and lignite production (Mt)]]-Energy_data_1990___2020[[#This Row],[Coal and lignite domestic consumption (Mt)]])</f>
        <v>0</v>
      </c>
    </row>
    <row r="762" spans="1:23">
      <c r="A762" t="s">
        <v>53</v>
      </c>
      <c r="B762">
        <v>2006</v>
      </c>
      <c r="C762" t="s">
        <v>54</v>
      </c>
      <c r="D762">
        <v>53.12627054</v>
      </c>
      <c r="E762">
        <v>0.50158914700000001</v>
      </c>
      <c r="F762">
        <v>9.1740439000000007E-2</v>
      </c>
      <c r="G762">
        <v>233.21208329999999</v>
      </c>
      <c r="H762">
        <v>105.91590909999999</v>
      </c>
      <c r="I762">
        <v>27.100822149999999</v>
      </c>
      <c r="J762">
        <v>1.3811854130000001</v>
      </c>
      <c r="K762">
        <v>10.35</v>
      </c>
      <c r="L762">
        <v>6.1029999999999998</v>
      </c>
      <c r="M762">
        <v>28.288000719999999</v>
      </c>
      <c r="N762">
        <v>11.564001620000001</v>
      </c>
      <c r="O762">
        <v>0.18289957000000001</v>
      </c>
      <c r="P762">
        <v>23.11</v>
      </c>
      <c r="Q762">
        <v>15.268000000000001</v>
      </c>
      <c r="R762">
        <v>8.0000000000000002E-3</v>
      </c>
      <c r="S762">
        <v>0</v>
      </c>
      <c r="T762">
        <v>122.31399999999999</v>
      </c>
      <c r="U762">
        <v>8.0000000000000002E-3</v>
      </c>
      <c r="V762" s="1" t="str">
        <f>IF(Energy_data_1990___2020[[#This Row],[CO2 emissions from fuel combustion (MtCO2)]]&gt;Energy_data_1990___2020[[#Totals],[CO2 emissions from fuel combustion (MtCO2)]],"Above Average","")</f>
        <v/>
      </c>
      <c r="W762" s="1">
        <f>SUM(Energy_data_1990___2020[[#This Row],[Coal and lignite production (Mt)]]-Energy_data_1990___2020[[#This Row],[Coal and lignite domestic consumption (Mt)]])</f>
        <v>0</v>
      </c>
    </row>
    <row r="763" spans="1:23">
      <c r="A763" t="s">
        <v>53</v>
      </c>
      <c r="B763">
        <v>2007</v>
      </c>
      <c r="C763" t="s">
        <v>54</v>
      </c>
      <c r="D763">
        <v>49.124516730000003</v>
      </c>
      <c r="E763">
        <v>0.44717043400000001</v>
      </c>
      <c r="F763">
        <v>7.9584539999999995E-2</v>
      </c>
      <c r="G763">
        <v>236.04016820000001</v>
      </c>
      <c r="H763">
        <v>109.8563613</v>
      </c>
      <c r="I763">
        <v>27.099834619999999</v>
      </c>
      <c r="J763">
        <v>1.742988843</v>
      </c>
      <c r="K763">
        <v>8.7159999999999993</v>
      </c>
      <c r="L763">
        <v>3.0030000000000001</v>
      </c>
      <c r="M763">
        <v>35.39604052</v>
      </c>
      <c r="N763">
        <v>11.89400418</v>
      </c>
      <c r="O763">
        <v>0.177973618</v>
      </c>
      <c r="P763">
        <v>22.978000000000002</v>
      </c>
      <c r="Q763">
        <v>19.670999999999999</v>
      </c>
      <c r="R763">
        <v>2.3E-2</v>
      </c>
      <c r="S763">
        <v>0</v>
      </c>
      <c r="T763">
        <v>114.17400000000001</v>
      </c>
      <c r="U763">
        <v>2.3E-2</v>
      </c>
      <c r="V763" s="1" t="str">
        <f>IF(Energy_data_1990___2020[[#This Row],[CO2 emissions from fuel combustion (MtCO2)]]&gt;Energy_data_1990___2020[[#Totals],[CO2 emissions from fuel combustion (MtCO2)]],"Above Average","")</f>
        <v/>
      </c>
      <c r="W763" s="1">
        <f>SUM(Energy_data_1990___2020[[#This Row],[Coal and lignite production (Mt)]]-Energy_data_1990___2020[[#This Row],[Coal and lignite domestic consumption (Mt)]])</f>
        <v>0</v>
      </c>
    </row>
    <row r="764" spans="1:23">
      <c r="A764" t="s">
        <v>53</v>
      </c>
      <c r="B764">
        <v>2008</v>
      </c>
      <c r="C764" t="s">
        <v>54</v>
      </c>
      <c r="D764">
        <v>54.056912150000002</v>
      </c>
      <c r="E764">
        <v>0.47767718799999997</v>
      </c>
      <c r="F764">
        <v>8.2026634000000001E-2</v>
      </c>
      <c r="G764">
        <v>231.99473939999999</v>
      </c>
      <c r="H764">
        <v>113.1661998</v>
      </c>
      <c r="I764">
        <v>27.10090005</v>
      </c>
      <c r="J764">
        <v>1.57813223</v>
      </c>
      <c r="K764">
        <v>10.808999999999999</v>
      </c>
      <c r="L764">
        <v>5.1920000000000002</v>
      </c>
      <c r="M764">
        <v>34.518040740000004</v>
      </c>
      <c r="N764">
        <v>11.076995139999999</v>
      </c>
      <c r="O764">
        <v>0.171719807</v>
      </c>
      <c r="P764">
        <v>21.11</v>
      </c>
      <c r="Q764">
        <v>18.516999999999999</v>
      </c>
      <c r="R764">
        <v>3.2000000000000001E-2</v>
      </c>
      <c r="S764">
        <v>0</v>
      </c>
      <c r="T764">
        <v>109.214</v>
      </c>
      <c r="U764">
        <v>3.2000000000000001E-2</v>
      </c>
      <c r="V764" s="1" t="str">
        <f>IF(Energy_data_1990___2020[[#This Row],[CO2 emissions from fuel combustion (MtCO2)]]&gt;Energy_data_1990___2020[[#Totals],[CO2 emissions from fuel combustion (MtCO2)]],"Above Average","")</f>
        <v/>
      </c>
      <c r="W764" s="1">
        <f>SUM(Energy_data_1990___2020[[#This Row],[Coal and lignite production (Mt)]]-Energy_data_1990___2020[[#This Row],[Coal and lignite domestic consumption (Mt)]])</f>
        <v>0</v>
      </c>
    </row>
    <row r="765" spans="1:23">
      <c r="A765" t="s">
        <v>53</v>
      </c>
      <c r="B765">
        <v>2009</v>
      </c>
      <c r="C765" t="s">
        <v>54</v>
      </c>
      <c r="D765">
        <v>45.80562484</v>
      </c>
      <c r="E765">
        <v>0.41233142299999997</v>
      </c>
      <c r="F765">
        <v>6.4335436999999995E-2</v>
      </c>
      <c r="G765">
        <v>225.35709929999999</v>
      </c>
      <c r="H765">
        <v>111.089338</v>
      </c>
      <c r="I765">
        <v>22.900338779999998</v>
      </c>
      <c r="J765">
        <v>1.5393277919999999</v>
      </c>
      <c r="K765">
        <v>9.0719999999999992</v>
      </c>
      <c r="L765">
        <v>2.7789999999999999</v>
      </c>
      <c r="M765">
        <v>24.408988399999998</v>
      </c>
      <c r="N765">
        <v>9.6579964</v>
      </c>
      <c r="O765">
        <v>0.15602846000000001</v>
      </c>
      <c r="P765">
        <v>19.777000000000001</v>
      </c>
      <c r="Q765">
        <v>18.050999999999998</v>
      </c>
      <c r="R765">
        <v>3.4000000000000002E-2</v>
      </c>
      <c r="S765">
        <v>0</v>
      </c>
      <c r="T765">
        <v>109.45099999999999</v>
      </c>
      <c r="U765">
        <v>3.4000000000000002E-2</v>
      </c>
      <c r="V765" s="1" t="str">
        <f>IF(Energy_data_1990___2020[[#This Row],[CO2 emissions from fuel combustion (MtCO2)]]&gt;Energy_data_1990___2020[[#Totals],[CO2 emissions from fuel combustion (MtCO2)]],"Above Average","")</f>
        <v/>
      </c>
      <c r="W765" s="1">
        <f>SUM(Energy_data_1990___2020[[#This Row],[Coal and lignite production (Mt)]]-Energy_data_1990___2020[[#This Row],[Coal and lignite domestic consumption (Mt)]])</f>
        <v>0</v>
      </c>
    </row>
    <row r="766" spans="1:23">
      <c r="A766" t="s">
        <v>53</v>
      </c>
      <c r="B766">
        <v>2010</v>
      </c>
      <c r="C766" t="s">
        <v>54</v>
      </c>
      <c r="D766">
        <v>57.930611089999999</v>
      </c>
      <c r="E766">
        <v>0.45478750000000001</v>
      </c>
      <c r="F766">
        <v>7.5334351999999993E-2</v>
      </c>
      <c r="G766">
        <v>253.986288</v>
      </c>
      <c r="H766">
        <v>127.3795149</v>
      </c>
      <c r="I766">
        <v>24.401822289999998</v>
      </c>
      <c r="J766">
        <v>1.6699171390000001</v>
      </c>
      <c r="K766">
        <v>12.15</v>
      </c>
      <c r="L766">
        <v>5.2539999999999996</v>
      </c>
      <c r="M766">
        <v>32.539959899999999</v>
      </c>
      <c r="N766">
        <v>10.785995290000001</v>
      </c>
      <c r="O766">
        <v>0.16564736599999999</v>
      </c>
      <c r="P766">
        <v>26.120999999999999</v>
      </c>
      <c r="Q766">
        <v>20.876000000000001</v>
      </c>
      <c r="R766">
        <v>3.7999999999999999E-2</v>
      </c>
      <c r="S766">
        <v>0</v>
      </c>
      <c r="T766">
        <v>126.511</v>
      </c>
      <c r="U766">
        <v>3.7999999999999999E-2</v>
      </c>
      <c r="V766" s="1" t="str">
        <f>IF(Energy_data_1990___2020[[#This Row],[CO2 emissions from fuel combustion (MtCO2)]]&gt;Energy_data_1990___2020[[#Totals],[CO2 emissions from fuel combustion (MtCO2)]],"Above Average","")</f>
        <v/>
      </c>
      <c r="W766" s="1">
        <f>SUM(Energy_data_1990___2020[[#This Row],[Coal and lignite production (Mt)]]-Energy_data_1990___2020[[#This Row],[Coal and lignite domestic consumption (Mt)]])</f>
        <v>0</v>
      </c>
    </row>
    <row r="767" spans="1:23">
      <c r="A767" t="s">
        <v>53</v>
      </c>
      <c r="B767">
        <v>2011</v>
      </c>
      <c r="C767" t="s">
        <v>54</v>
      </c>
      <c r="D767">
        <v>67.900806889999998</v>
      </c>
      <c r="E767">
        <v>0.48878399099999997</v>
      </c>
      <c r="F767">
        <v>8.3849181999999994E-2</v>
      </c>
      <c r="G767">
        <v>259.11026340000001</v>
      </c>
      <c r="H767">
        <v>138.91782069999999</v>
      </c>
      <c r="I767">
        <v>21.761485539999999</v>
      </c>
      <c r="J767">
        <v>1.78351288</v>
      </c>
      <c r="K767">
        <v>12.829000000000001</v>
      </c>
      <c r="L767">
        <v>6.3819999999999997</v>
      </c>
      <c r="M767">
        <v>38.340995630000002</v>
      </c>
      <c r="N767">
        <v>15.008342109999999</v>
      </c>
      <c r="O767">
        <v>0.17154649699999999</v>
      </c>
      <c r="P767">
        <v>27.033999999999999</v>
      </c>
      <c r="Q767">
        <v>23.678999999999998</v>
      </c>
      <c r="R767">
        <v>3.2000000000000001E-2</v>
      </c>
      <c r="S767">
        <v>0</v>
      </c>
      <c r="T767">
        <v>122.56</v>
      </c>
      <c r="U767">
        <v>3.2000000000000001E-2</v>
      </c>
      <c r="V767" s="1" t="str">
        <f>IF(Energy_data_1990___2020[[#This Row],[CO2 emissions from fuel combustion (MtCO2)]]&gt;Energy_data_1990___2020[[#Totals],[CO2 emissions from fuel combustion (MtCO2)]],"Above Average","")</f>
        <v/>
      </c>
      <c r="W767" s="1">
        <f>SUM(Energy_data_1990___2020[[#This Row],[Coal and lignite production (Mt)]]-Energy_data_1990___2020[[#This Row],[Coal and lignite domestic consumption (Mt)]])</f>
        <v>0</v>
      </c>
    </row>
    <row r="768" spans="1:23">
      <c r="A768" t="s">
        <v>53</v>
      </c>
      <c r="B768">
        <v>2012</v>
      </c>
      <c r="C768" t="s">
        <v>54</v>
      </c>
      <c r="D768">
        <v>72.292739100000006</v>
      </c>
      <c r="E768">
        <v>0.51534647899999997</v>
      </c>
      <c r="F768">
        <v>8.5649647999999995E-2</v>
      </c>
      <c r="G768">
        <v>265.90416340000002</v>
      </c>
      <c r="H768">
        <v>140.27987379999999</v>
      </c>
      <c r="I768">
        <v>19.77233961</v>
      </c>
      <c r="J768">
        <v>1.822595561</v>
      </c>
      <c r="K768">
        <v>14.015000000000001</v>
      </c>
      <c r="L768">
        <v>5.04</v>
      </c>
      <c r="M768">
        <v>41.201003159999999</v>
      </c>
      <c r="N768">
        <v>15.44598073</v>
      </c>
      <c r="O768">
        <v>0.166198181</v>
      </c>
      <c r="P768">
        <v>28.727</v>
      </c>
      <c r="Q768">
        <v>25.399000000000001</v>
      </c>
      <c r="R768">
        <v>4.8000000000000001E-2</v>
      </c>
      <c r="S768">
        <v>7.3101959999999994E-2</v>
      </c>
      <c r="T768">
        <v>121.294</v>
      </c>
      <c r="U768">
        <v>4.8000000000000001E-2</v>
      </c>
      <c r="V768" s="1" t="str">
        <f>IF(Energy_data_1990___2020[[#This Row],[CO2 emissions from fuel combustion (MtCO2)]]&gt;Energy_data_1990___2020[[#Totals],[CO2 emissions from fuel combustion (MtCO2)]],"Above Average","")</f>
        <v/>
      </c>
      <c r="W768" s="1">
        <f>SUM(Energy_data_1990___2020[[#This Row],[Coal and lignite production (Mt)]]-Energy_data_1990___2020[[#This Row],[Coal and lignite domestic consumption (Mt)]])</f>
        <v>0</v>
      </c>
    </row>
    <row r="769" spans="1:23">
      <c r="A769" t="s">
        <v>53</v>
      </c>
      <c r="B769">
        <v>2013</v>
      </c>
      <c r="C769" t="s">
        <v>54</v>
      </c>
      <c r="D769">
        <v>82.753689339999994</v>
      </c>
      <c r="E769">
        <v>0.578885596</v>
      </c>
      <c r="F769">
        <v>9.1911644000000001E-2</v>
      </c>
      <c r="G769">
        <v>251.45522270000001</v>
      </c>
      <c r="H769">
        <v>142.95344360000001</v>
      </c>
      <c r="I769">
        <v>18.50198928</v>
      </c>
      <c r="J769">
        <v>1.6345717310000001</v>
      </c>
      <c r="K769">
        <v>17.498999999999999</v>
      </c>
      <c r="L769">
        <v>5.2380000000000004</v>
      </c>
      <c r="M769">
        <v>37.166045169999997</v>
      </c>
      <c r="N769">
        <v>15.160997460000001</v>
      </c>
      <c r="O769">
        <v>0.158773416</v>
      </c>
      <c r="P769">
        <v>28.905000000000001</v>
      </c>
      <c r="Q769">
        <v>23.689</v>
      </c>
      <c r="R769">
        <v>4.3999999999999997E-2</v>
      </c>
      <c r="S769">
        <v>7.6111398999999996E-2</v>
      </c>
      <c r="T769">
        <v>109.797</v>
      </c>
      <c r="U769">
        <v>4.3999999999999997E-2</v>
      </c>
      <c r="V769" s="1" t="str">
        <f>IF(Energy_data_1990___2020[[#This Row],[CO2 emissions from fuel combustion (MtCO2)]]&gt;Energy_data_1990___2020[[#Totals],[CO2 emissions from fuel combustion (MtCO2)]],"Above Average","")</f>
        <v/>
      </c>
      <c r="W769" s="1">
        <f>SUM(Energy_data_1990___2020[[#This Row],[Coal and lignite production (Mt)]]-Energy_data_1990___2020[[#This Row],[Coal and lignite domestic consumption (Mt)]])</f>
        <v>0</v>
      </c>
    </row>
    <row r="770" spans="1:23">
      <c r="A770" t="s">
        <v>53</v>
      </c>
      <c r="B770">
        <v>2014</v>
      </c>
      <c r="C770" t="s">
        <v>54</v>
      </c>
      <c r="D770">
        <v>91.344825330000006</v>
      </c>
      <c r="E770">
        <v>0.62315502199999995</v>
      </c>
      <c r="F770">
        <v>9.5432027000000003E-2</v>
      </c>
      <c r="G770">
        <v>255.8514189</v>
      </c>
      <c r="H770">
        <v>146.58443270000001</v>
      </c>
      <c r="I770">
        <v>16.643413020000001</v>
      </c>
      <c r="J770">
        <v>1.6675592749999999</v>
      </c>
      <c r="K770">
        <v>19.321000000000002</v>
      </c>
      <c r="L770">
        <v>3.3359999999999999</v>
      </c>
      <c r="M770">
        <v>42.419967319999998</v>
      </c>
      <c r="N770">
        <v>17.05300166</v>
      </c>
      <c r="O770">
        <v>0.153143317</v>
      </c>
      <c r="P770">
        <v>32.253</v>
      </c>
      <c r="Q770">
        <v>24.625</v>
      </c>
      <c r="R770">
        <v>4.5999999999999999E-2</v>
      </c>
      <c r="S770">
        <v>6.8210708999999994E-2</v>
      </c>
      <c r="T770">
        <v>109.809</v>
      </c>
      <c r="U770">
        <v>4.5999999999999999E-2</v>
      </c>
      <c r="V770" s="1" t="str">
        <f>IF(Energy_data_1990___2020[[#This Row],[CO2 emissions from fuel combustion (MtCO2)]]&gt;Energy_data_1990___2020[[#Totals],[CO2 emissions from fuel combustion (MtCO2)]],"Above Average","")</f>
        <v/>
      </c>
      <c r="W770" s="1">
        <f>SUM(Energy_data_1990___2020[[#This Row],[Coal and lignite production (Mt)]]-Energy_data_1990___2020[[#This Row],[Coal and lignite domestic consumption (Mt)]])</f>
        <v>0</v>
      </c>
    </row>
    <row r="771" spans="1:23">
      <c r="A771" t="s">
        <v>53</v>
      </c>
      <c r="B771">
        <v>2015</v>
      </c>
      <c r="C771" t="s">
        <v>54</v>
      </c>
      <c r="D771">
        <v>84.943364880000004</v>
      </c>
      <c r="E771">
        <v>0.58486732699999999</v>
      </c>
      <c r="F771">
        <v>8.6450859000000005E-2</v>
      </c>
      <c r="G771">
        <v>256.24713919999999</v>
      </c>
      <c r="H771">
        <v>145.23527129999999</v>
      </c>
      <c r="I771">
        <v>17.708525980000001</v>
      </c>
      <c r="J771">
        <v>1.684678347</v>
      </c>
      <c r="K771">
        <v>17.375</v>
      </c>
      <c r="L771">
        <v>1.6180000000000001</v>
      </c>
      <c r="M771">
        <v>43.6880028</v>
      </c>
      <c r="N771">
        <v>17.223010219999999</v>
      </c>
      <c r="O771">
        <v>0.14781276900000001</v>
      </c>
      <c r="P771">
        <v>32.442</v>
      </c>
      <c r="Q771">
        <v>25.026</v>
      </c>
      <c r="R771">
        <v>4.7E-2</v>
      </c>
      <c r="S771">
        <v>7.3978176000000007E-2</v>
      </c>
      <c r="T771">
        <v>106.298</v>
      </c>
      <c r="U771">
        <v>4.7E-2</v>
      </c>
      <c r="V771" s="1" t="str">
        <f>IF(Energy_data_1990___2020[[#This Row],[CO2 emissions from fuel combustion (MtCO2)]]&gt;Energy_data_1990___2020[[#Totals],[CO2 emissions from fuel combustion (MtCO2)]],"Above Average","")</f>
        <v/>
      </c>
      <c r="W771" s="1">
        <f>SUM(Energy_data_1990___2020[[#This Row],[Coal and lignite production (Mt)]]-Energy_data_1990___2020[[#This Row],[Coal and lignite domestic consumption (Mt)]])</f>
        <v>0</v>
      </c>
    </row>
    <row r="772" spans="1:23">
      <c r="A772" t="s">
        <v>53</v>
      </c>
      <c r="B772">
        <v>2016</v>
      </c>
      <c r="C772" t="s">
        <v>54</v>
      </c>
      <c r="D772">
        <v>86.432250120000006</v>
      </c>
      <c r="E772">
        <v>0.57754422500000002</v>
      </c>
      <c r="F772">
        <v>8.9411840000000006E-2</v>
      </c>
      <c r="G772">
        <v>241.5431853</v>
      </c>
      <c r="H772">
        <v>149.65477340000001</v>
      </c>
      <c r="I772">
        <v>24.34943131</v>
      </c>
      <c r="J772">
        <v>1.660781914</v>
      </c>
      <c r="K772">
        <v>18.277999999999999</v>
      </c>
      <c r="L772">
        <v>3.351</v>
      </c>
      <c r="M772">
        <v>40.299999999999997</v>
      </c>
      <c r="N772">
        <v>16.517018329999999</v>
      </c>
      <c r="O772">
        <v>0.15481384100000001</v>
      </c>
      <c r="P772">
        <v>33.585999999999999</v>
      </c>
      <c r="Q772">
        <v>25.241</v>
      </c>
      <c r="R772">
        <v>4.5999999999999999E-2</v>
      </c>
      <c r="S772">
        <v>8.0390639E-2</v>
      </c>
      <c r="T772">
        <v>91.849000000000004</v>
      </c>
      <c r="U772">
        <v>4.5999999999999999E-2</v>
      </c>
      <c r="V772" s="1" t="str">
        <f>IF(Energy_data_1990___2020[[#This Row],[CO2 emissions from fuel combustion (MtCO2)]]&gt;Energy_data_1990___2020[[#Totals],[CO2 emissions from fuel combustion (MtCO2)]],"Above Average","")</f>
        <v/>
      </c>
      <c r="W772" s="1">
        <f>SUM(Energy_data_1990___2020[[#This Row],[Coal and lignite production (Mt)]]-Energy_data_1990___2020[[#This Row],[Coal and lignite domestic consumption (Mt)]])</f>
        <v>0</v>
      </c>
    </row>
    <row r="773" spans="1:23">
      <c r="A773" t="s">
        <v>53</v>
      </c>
      <c r="B773">
        <v>2017</v>
      </c>
      <c r="C773" t="s">
        <v>54</v>
      </c>
      <c r="D773">
        <v>88.138918959999998</v>
      </c>
      <c r="E773">
        <v>0.57861337999999995</v>
      </c>
      <c r="F773">
        <v>9.0448430999999996E-2</v>
      </c>
      <c r="G773">
        <v>249.75892110000001</v>
      </c>
      <c r="H773">
        <v>152.32782710000001</v>
      </c>
      <c r="I773">
        <v>22.572096049999999</v>
      </c>
      <c r="J773">
        <v>1.6671673819999999</v>
      </c>
      <c r="K773">
        <v>18.330857000000002</v>
      </c>
      <c r="L773">
        <v>4.3795919999999997</v>
      </c>
      <c r="M773">
        <v>45.1</v>
      </c>
      <c r="N773">
        <v>17.255801890000001</v>
      </c>
      <c r="O773">
        <v>0.156319287</v>
      </c>
      <c r="P773">
        <v>34.443877000000001</v>
      </c>
      <c r="Q773">
        <v>25.912269999999999</v>
      </c>
      <c r="R773">
        <v>4.6371000000000002E-2</v>
      </c>
      <c r="S773">
        <v>8.1131982000000005E-2</v>
      </c>
      <c r="T773">
        <v>93.28604</v>
      </c>
      <c r="U773">
        <v>4.6371000000000002E-2</v>
      </c>
      <c r="V773" s="1" t="str">
        <f>IF(Energy_data_1990___2020[[#This Row],[CO2 emissions from fuel combustion (MtCO2)]]&gt;Energy_data_1990___2020[[#Totals],[CO2 emissions from fuel combustion (MtCO2)]],"Above Average","")</f>
        <v/>
      </c>
      <c r="W773" s="1">
        <f>SUM(Energy_data_1990___2020[[#This Row],[Coal and lignite production (Mt)]]-Energy_data_1990___2020[[#This Row],[Coal and lignite domestic consumption (Mt)]])</f>
        <v>0</v>
      </c>
    </row>
    <row r="774" spans="1:23">
      <c r="A774" t="s">
        <v>53</v>
      </c>
      <c r="B774">
        <v>2018</v>
      </c>
      <c r="C774" t="s">
        <v>54</v>
      </c>
      <c r="D774">
        <v>106.6690498</v>
      </c>
      <c r="E774">
        <v>0.66631438499999995</v>
      </c>
      <c r="F774">
        <v>0.107383796</v>
      </c>
      <c r="G774">
        <v>256.47120050000001</v>
      </c>
      <c r="H774">
        <v>160.0881689</v>
      </c>
      <c r="I774">
        <v>17.879148470000001</v>
      </c>
      <c r="J774">
        <v>1.6061302340000001</v>
      </c>
      <c r="K774">
        <v>23.503011999999998</v>
      </c>
      <c r="L774">
        <v>2.693038</v>
      </c>
      <c r="M774">
        <v>46.7</v>
      </c>
      <c r="N774">
        <v>18.412762579999999</v>
      </c>
      <c r="O774">
        <v>0.16116085599999999</v>
      </c>
      <c r="P774">
        <v>36.277437999999997</v>
      </c>
      <c r="Q774">
        <v>26.543859000000001</v>
      </c>
      <c r="R774">
        <v>4.7268999999999999E-2</v>
      </c>
      <c r="S774">
        <v>7.7031348999999999E-2</v>
      </c>
      <c r="T774">
        <v>95.741906</v>
      </c>
      <c r="U774">
        <v>4.7268999999999999E-2</v>
      </c>
      <c r="V774" s="1" t="str">
        <f>IF(Energy_data_1990___2020[[#This Row],[CO2 emissions from fuel combustion (MtCO2)]]&gt;Energy_data_1990___2020[[#Totals],[CO2 emissions from fuel combustion (MtCO2)]],"Above Average","")</f>
        <v/>
      </c>
      <c r="W774" s="1">
        <f>SUM(Energy_data_1990___2020[[#This Row],[Coal and lignite production (Mt)]]-Energy_data_1990___2020[[#This Row],[Coal and lignite domestic consumption (Mt)]])</f>
        <v>0</v>
      </c>
    </row>
    <row r="775" spans="1:23">
      <c r="A775" t="s">
        <v>53</v>
      </c>
      <c r="B775">
        <v>2019</v>
      </c>
      <c r="C775" t="s">
        <v>54</v>
      </c>
      <c r="D775">
        <v>89.018437809999995</v>
      </c>
      <c r="E775">
        <v>0.56563226099999997</v>
      </c>
      <c r="F775">
        <v>8.7678962999999999E-2</v>
      </c>
      <c r="G775">
        <v>265.71503749999999</v>
      </c>
      <c r="H775">
        <v>157.3786432</v>
      </c>
      <c r="I775">
        <v>20.39601635</v>
      </c>
      <c r="J775">
        <v>1.708937988</v>
      </c>
      <c r="K775">
        <v>18.009401310000001</v>
      </c>
      <c r="L775">
        <v>0.75632127299999996</v>
      </c>
      <c r="M775">
        <v>47.16723872</v>
      </c>
      <c r="N775">
        <v>18.281371570000001</v>
      </c>
      <c r="O775">
        <v>0.155010542</v>
      </c>
      <c r="P775">
        <v>37.84443916</v>
      </c>
      <c r="Q775">
        <v>27.690418959999999</v>
      </c>
      <c r="R775">
        <v>4.4999999999999998E-2</v>
      </c>
      <c r="S775">
        <v>9.1330597999999999E-2</v>
      </c>
      <c r="T775">
        <v>101.2973045</v>
      </c>
      <c r="U775">
        <v>4.4999999999999998E-2</v>
      </c>
      <c r="V775" s="1" t="str">
        <f>IF(Energy_data_1990___2020[[#This Row],[CO2 emissions from fuel combustion (MtCO2)]]&gt;Energy_data_1990___2020[[#Totals],[CO2 emissions from fuel combustion (MtCO2)]],"Above Average","")</f>
        <v/>
      </c>
      <c r="W775" s="1">
        <f>SUM(Energy_data_1990___2020[[#This Row],[Coal and lignite production (Mt)]]-Energy_data_1990___2020[[#This Row],[Coal and lignite domestic consumption (Mt)]])</f>
        <v>0</v>
      </c>
    </row>
    <row r="776" spans="1:23">
      <c r="A776" t="s">
        <v>53</v>
      </c>
      <c r="B776">
        <v>2020</v>
      </c>
      <c r="C776" t="s">
        <v>54</v>
      </c>
      <c r="D776">
        <v>89.361181090000002</v>
      </c>
      <c r="E776">
        <v>0.56334534199999997</v>
      </c>
      <c r="F776">
        <v>9.0926187000000006E-2</v>
      </c>
      <c r="G776">
        <v>252.68767819999999</v>
      </c>
      <c r="H776">
        <v>158.62593409999999</v>
      </c>
      <c r="I776">
        <v>19.211438439999998</v>
      </c>
      <c r="J776">
        <v>1.8082218889999999</v>
      </c>
      <c r="K776">
        <v>17.731403279999999</v>
      </c>
      <c r="L776">
        <v>1.3356666999999999E-2</v>
      </c>
      <c r="M776">
        <v>47.90263092</v>
      </c>
      <c r="N776">
        <v>18.931373220000001</v>
      </c>
      <c r="O776">
        <v>0.161403992</v>
      </c>
      <c r="P776">
        <v>40.288030280000001</v>
      </c>
      <c r="Q776">
        <v>29.47837152</v>
      </c>
      <c r="R776">
        <v>4.2839915999999999E-2</v>
      </c>
      <c r="S776">
        <v>8.5791120999999998E-2</v>
      </c>
      <c r="T776">
        <v>86.808176489999994</v>
      </c>
      <c r="U776">
        <v>4.2839915999999999E-2</v>
      </c>
      <c r="V776" s="1" t="str">
        <f>IF(Energy_data_1990___2020[[#This Row],[CO2 emissions from fuel combustion (MtCO2)]]&gt;Energy_data_1990___2020[[#Totals],[CO2 emissions from fuel combustion (MtCO2)]],"Above Average","")</f>
        <v/>
      </c>
      <c r="W776" s="1">
        <f>SUM(Energy_data_1990___2020[[#This Row],[Coal and lignite production (Mt)]]-Energy_data_1990___2020[[#This Row],[Coal and lignite domestic consumption (Mt)]])</f>
        <v>0</v>
      </c>
    </row>
    <row r="777" spans="1:23">
      <c r="A777" t="s">
        <v>55</v>
      </c>
      <c r="B777">
        <v>1990</v>
      </c>
      <c r="C777" t="s">
        <v>30</v>
      </c>
      <c r="D777">
        <v>27.87981186</v>
      </c>
      <c r="E777">
        <v>1.3230099900000001</v>
      </c>
      <c r="F777">
        <v>0.16271896899999999</v>
      </c>
      <c r="G777">
        <v>119.48310530000001</v>
      </c>
      <c r="H777">
        <v>21.073016890000002</v>
      </c>
      <c r="I777">
        <v>99.792364259999999</v>
      </c>
      <c r="J777">
        <v>47.587182830000003</v>
      </c>
      <c r="K777">
        <v>8.0500000000000007</v>
      </c>
      <c r="L777">
        <v>13.766999999999999</v>
      </c>
      <c r="M777">
        <v>27.641981139999999</v>
      </c>
      <c r="N777">
        <v>2.2619976230000001</v>
      </c>
      <c r="O777">
        <v>0.122991489</v>
      </c>
      <c r="P777">
        <v>121.848</v>
      </c>
      <c r="Q777">
        <v>97.697999999999993</v>
      </c>
      <c r="R777">
        <v>1.2769999999999999</v>
      </c>
      <c r="S777">
        <v>5.3345151E-2</v>
      </c>
      <c r="T777">
        <v>82.087999999999994</v>
      </c>
      <c r="U777">
        <v>0.30299999999999999</v>
      </c>
      <c r="V777" s="1" t="str">
        <f>IF(Energy_data_1990___2020[[#This Row],[CO2 emissions from fuel combustion (MtCO2)]]&gt;Energy_data_1990___2020[[#Totals],[CO2 emissions from fuel combustion (MtCO2)]],"Above Average","")</f>
        <v/>
      </c>
      <c r="W777" s="1">
        <f>SUM(Energy_data_1990___2020[[#This Row],[Coal and lignite production (Mt)]]-Energy_data_1990___2020[[#This Row],[Coal and lignite domestic consumption (Mt)]])</f>
        <v>-0.97399999999999998</v>
      </c>
    </row>
    <row r="778" spans="1:23">
      <c r="A778" t="s">
        <v>55</v>
      </c>
      <c r="B778">
        <v>1991</v>
      </c>
      <c r="C778" t="s">
        <v>30</v>
      </c>
      <c r="D778">
        <v>26.3861867</v>
      </c>
      <c r="E778">
        <v>1.2125372249999999</v>
      </c>
      <c r="F778">
        <v>0.149393146</v>
      </c>
      <c r="G778">
        <v>131.47818789999999</v>
      </c>
      <c r="H778">
        <v>21.761135370000002</v>
      </c>
      <c r="I778">
        <v>99.801817869999994</v>
      </c>
      <c r="J778">
        <v>49.240741229999998</v>
      </c>
      <c r="K778">
        <v>7.6669999999999998</v>
      </c>
      <c r="L778">
        <v>13.279</v>
      </c>
      <c r="M778">
        <v>27.4249963</v>
      </c>
      <c r="N778">
        <v>2.2160001579999999</v>
      </c>
      <c r="O778">
        <v>0.12320705999999999</v>
      </c>
      <c r="P778">
        <v>111.009</v>
      </c>
      <c r="Q778">
        <v>99.903000000000006</v>
      </c>
      <c r="R778">
        <v>1.1559999999999999</v>
      </c>
      <c r="S778">
        <v>3.7834769999999997E-2</v>
      </c>
      <c r="T778">
        <v>93.715999999999994</v>
      </c>
      <c r="U778">
        <v>0.33</v>
      </c>
      <c r="V778" s="1" t="str">
        <f>IF(Energy_data_1990___2020[[#This Row],[CO2 emissions from fuel combustion (MtCO2)]]&gt;Energy_data_1990___2020[[#Totals],[CO2 emissions from fuel combustion (MtCO2)]],"Above Average","")</f>
        <v/>
      </c>
      <c r="W778" s="1">
        <f>SUM(Energy_data_1990___2020[[#This Row],[Coal and lignite production (Mt)]]-Energy_data_1990___2020[[#This Row],[Coal and lignite domestic consumption (Mt)]])</f>
        <v>-0.82599999999999985</v>
      </c>
    </row>
    <row r="779" spans="1:23">
      <c r="A779" t="s">
        <v>55</v>
      </c>
      <c r="B779">
        <v>1992</v>
      </c>
      <c r="C779" t="s">
        <v>30</v>
      </c>
      <c r="D779">
        <v>29.27201457</v>
      </c>
      <c r="E779">
        <v>1.3232530709999999</v>
      </c>
      <c r="F779">
        <v>0.16001262399999999</v>
      </c>
      <c r="G779">
        <v>147.1551584</v>
      </c>
      <c r="H779">
        <v>22.121251940000001</v>
      </c>
      <c r="I779">
        <v>99.817876990000002</v>
      </c>
      <c r="J779">
        <v>50.011500179999999</v>
      </c>
      <c r="K779">
        <v>7.5519999999999996</v>
      </c>
      <c r="L779">
        <v>14.792</v>
      </c>
      <c r="M779">
        <v>29.41900717</v>
      </c>
      <c r="N779">
        <v>3.696998115</v>
      </c>
      <c r="O779">
        <v>0.12092367499999999</v>
      </c>
      <c r="P779">
        <v>117.503</v>
      </c>
      <c r="Q779">
        <v>100.441</v>
      </c>
      <c r="R779">
        <v>1.159</v>
      </c>
      <c r="S779">
        <v>3.6594809999999998E-2</v>
      </c>
      <c r="T779">
        <v>106.86199999999999</v>
      </c>
      <c r="U779">
        <v>0.35899999999999999</v>
      </c>
      <c r="V779" s="1" t="str">
        <f>IF(Energy_data_1990___2020[[#This Row],[CO2 emissions from fuel combustion (MtCO2)]]&gt;Energy_data_1990___2020[[#Totals],[CO2 emissions from fuel combustion (MtCO2)]],"Above Average","")</f>
        <v/>
      </c>
      <c r="W779" s="1">
        <f>SUM(Energy_data_1990___2020[[#This Row],[Coal and lignite production (Mt)]]-Energy_data_1990___2020[[#This Row],[Coal and lignite domestic consumption (Mt)]])</f>
        <v>-0.8</v>
      </c>
    </row>
    <row r="780" spans="1:23">
      <c r="A780" t="s">
        <v>55</v>
      </c>
      <c r="B780">
        <v>1993</v>
      </c>
      <c r="C780" t="s">
        <v>30</v>
      </c>
      <c r="D780">
        <v>31.194730710000002</v>
      </c>
      <c r="E780">
        <v>1.324723074</v>
      </c>
      <c r="F780">
        <v>0.16580526800000001</v>
      </c>
      <c r="G780">
        <v>155.35070429999999</v>
      </c>
      <c r="H780">
        <v>23.548114569999999</v>
      </c>
      <c r="I780">
        <v>99.804341129999997</v>
      </c>
      <c r="J780">
        <v>49.324154110000002</v>
      </c>
      <c r="K780">
        <v>7.7469999999999999</v>
      </c>
      <c r="L780">
        <v>14.849</v>
      </c>
      <c r="M780">
        <v>28.866969690000001</v>
      </c>
      <c r="N780">
        <v>4.1959960269999996</v>
      </c>
      <c r="O780">
        <v>0.12516221</v>
      </c>
      <c r="P780">
        <v>120.107</v>
      </c>
      <c r="Q780">
        <v>101.932</v>
      </c>
      <c r="R780">
        <v>1.2390000000000001</v>
      </c>
      <c r="S780">
        <v>5.2453228999999997E-2</v>
      </c>
      <c r="T780">
        <v>114.471</v>
      </c>
      <c r="U780">
        <v>0.26800000000000002</v>
      </c>
      <c r="V780" s="1" t="str">
        <f>IF(Energy_data_1990___2020[[#This Row],[CO2 emissions from fuel combustion (MtCO2)]]&gt;Energy_data_1990___2020[[#Totals],[CO2 emissions from fuel combustion (MtCO2)]],"Above Average","")</f>
        <v/>
      </c>
      <c r="W780" s="1">
        <f>SUM(Energy_data_1990___2020[[#This Row],[Coal and lignite production (Mt)]]-Energy_data_1990___2020[[#This Row],[Coal and lignite domestic consumption (Mt)]])</f>
        <v>-0.97100000000000009</v>
      </c>
    </row>
    <row r="781" spans="1:23">
      <c r="A781" t="s">
        <v>55</v>
      </c>
      <c r="B781">
        <v>1994</v>
      </c>
      <c r="C781" t="s">
        <v>30</v>
      </c>
      <c r="D781">
        <v>32.7032606</v>
      </c>
      <c r="E781">
        <v>1.418387544</v>
      </c>
      <c r="F781">
        <v>0.16545871400000001</v>
      </c>
      <c r="G781">
        <v>170.54339179999999</v>
      </c>
      <c r="H781">
        <v>23.056646780000001</v>
      </c>
      <c r="I781">
        <v>99.646247220000006</v>
      </c>
      <c r="J781">
        <v>48.70648036</v>
      </c>
      <c r="K781">
        <v>7.9269999999999996</v>
      </c>
      <c r="L781">
        <v>15.388</v>
      </c>
      <c r="M781">
        <v>30.92700043</v>
      </c>
      <c r="N781">
        <v>4.4050041960000001</v>
      </c>
      <c r="O781">
        <v>0.11665268400000001</v>
      </c>
      <c r="P781">
        <v>113.35599999999999</v>
      </c>
      <c r="Q781">
        <v>102.923</v>
      </c>
      <c r="R781">
        <v>1.403</v>
      </c>
      <c r="S781">
        <v>5.6459295999999999E-2</v>
      </c>
      <c r="T781">
        <v>128.51400000000001</v>
      </c>
      <c r="U781">
        <v>0.30099999999999999</v>
      </c>
      <c r="V781" s="1" t="str">
        <f>IF(Energy_data_1990___2020[[#This Row],[CO2 emissions from fuel combustion (MtCO2)]]&gt;Energy_data_1990___2020[[#Totals],[CO2 emissions from fuel combustion (MtCO2)]],"Above Average","")</f>
        <v/>
      </c>
      <c r="W781" s="1">
        <f>SUM(Energy_data_1990___2020[[#This Row],[Coal and lignite production (Mt)]]-Energy_data_1990___2020[[#This Row],[Coal and lignite domestic consumption (Mt)]])</f>
        <v>-1.1020000000000001</v>
      </c>
    </row>
    <row r="782" spans="1:23">
      <c r="A782" t="s">
        <v>55</v>
      </c>
      <c r="B782">
        <v>1995</v>
      </c>
      <c r="C782" t="s">
        <v>30</v>
      </c>
      <c r="D782">
        <v>32.137132620000003</v>
      </c>
      <c r="E782">
        <v>1.367063527</v>
      </c>
      <c r="F782">
        <v>0.156107419</v>
      </c>
      <c r="G782">
        <v>185.01844510000001</v>
      </c>
      <c r="H782">
        <v>23.508148649999999</v>
      </c>
      <c r="I782">
        <v>99.664770009999998</v>
      </c>
      <c r="J782">
        <v>47.852450789999999</v>
      </c>
      <c r="K782">
        <v>8.2620000000000005</v>
      </c>
      <c r="L782">
        <v>13.819000000000001</v>
      </c>
      <c r="M782">
        <v>31.44899522</v>
      </c>
      <c r="N782">
        <v>3.8510031260000002</v>
      </c>
      <c r="O782">
        <v>0.11419178100000001</v>
      </c>
      <c r="P782">
        <v>123.199</v>
      </c>
      <c r="Q782">
        <v>104.965</v>
      </c>
      <c r="R782">
        <v>1.5229999999999999</v>
      </c>
      <c r="S782">
        <v>4.4643219999999997E-2</v>
      </c>
      <c r="T782">
        <v>138.5</v>
      </c>
      <c r="U782">
        <v>0.29199999999999998</v>
      </c>
      <c r="V782" s="1" t="str">
        <f>IF(Energy_data_1990___2020[[#This Row],[CO2 emissions from fuel combustion (MtCO2)]]&gt;Energy_data_1990___2020[[#Totals],[CO2 emissions from fuel combustion (MtCO2)]],"Above Average","")</f>
        <v/>
      </c>
      <c r="W782" s="1">
        <f>SUM(Energy_data_1990___2020[[#This Row],[Coal and lignite production (Mt)]]-Energy_data_1990___2020[[#This Row],[Coal and lignite domestic consumption (Mt)]])</f>
        <v>-1.2309999999999999</v>
      </c>
    </row>
    <row r="783" spans="1:23">
      <c r="A783" t="s">
        <v>55</v>
      </c>
      <c r="B783">
        <v>1996</v>
      </c>
      <c r="C783" t="s">
        <v>30</v>
      </c>
      <c r="D783">
        <v>33.00589463</v>
      </c>
      <c r="E783">
        <v>1.447778657</v>
      </c>
      <c r="F783">
        <v>0.15265219299999999</v>
      </c>
      <c r="G783">
        <v>207.884073</v>
      </c>
      <c r="H783">
        <v>22.797611</v>
      </c>
      <c r="I783">
        <v>99.500876320000003</v>
      </c>
      <c r="J783">
        <v>46.718481609999998</v>
      </c>
      <c r="K783">
        <v>8.8119999999999994</v>
      </c>
      <c r="L783">
        <v>15.271000000000001</v>
      </c>
      <c r="M783">
        <v>41.293999759999998</v>
      </c>
      <c r="N783">
        <v>3.371996706</v>
      </c>
      <c r="O783">
        <v>0.105438903</v>
      </c>
      <c r="P783">
        <v>104.98399999999999</v>
      </c>
      <c r="Q783">
        <v>104.14100000000001</v>
      </c>
      <c r="R783">
        <v>1.5129999999999999</v>
      </c>
      <c r="S783">
        <v>5.4293988000000001E-2</v>
      </c>
      <c r="T783">
        <v>156.804</v>
      </c>
      <c r="U783">
        <v>0.23</v>
      </c>
      <c r="V783" s="1" t="str">
        <f>IF(Energy_data_1990___2020[[#This Row],[CO2 emissions from fuel combustion (MtCO2)]]&gt;Energy_data_1990___2020[[#Totals],[CO2 emissions from fuel combustion (MtCO2)]],"Above Average","")</f>
        <v/>
      </c>
      <c r="W783" s="1">
        <f>SUM(Energy_data_1990___2020[[#This Row],[Coal and lignite production (Mt)]]-Energy_data_1990___2020[[#This Row],[Coal and lignite domestic consumption (Mt)]])</f>
        <v>-1.2829999999999999</v>
      </c>
    </row>
    <row r="784" spans="1:23">
      <c r="A784" t="s">
        <v>55</v>
      </c>
      <c r="B784">
        <v>1997</v>
      </c>
      <c r="C784" t="s">
        <v>30</v>
      </c>
      <c r="D784">
        <v>34.754310879999998</v>
      </c>
      <c r="E784">
        <v>1.438014371</v>
      </c>
      <c r="F784">
        <v>0.15267059499999999</v>
      </c>
      <c r="G784">
        <v>213.32233780000001</v>
      </c>
      <c r="H784">
        <v>24.16826395</v>
      </c>
      <c r="I784">
        <v>99.581754840000002</v>
      </c>
      <c r="J784">
        <v>47.231327559999997</v>
      </c>
      <c r="K784">
        <v>8.6530000000000005</v>
      </c>
      <c r="L784">
        <v>16.076000000000001</v>
      </c>
      <c r="M784">
        <v>46.727036759999997</v>
      </c>
      <c r="N784">
        <v>4.4269972649999998</v>
      </c>
      <c r="O784">
        <v>0.10616764200000001</v>
      </c>
      <c r="P784">
        <v>111.657</v>
      </c>
      <c r="Q784">
        <v>104.89400000000001</v>
      </c>
      <c r="R784">
        <v>1.504</v>
      </c>
      <c r="S784">
        <v>5.0153595000000002E-2</v>
      </c>
      <c r="T784">
        <v>156.50200000000001</v>
      </c>
      <c r="U784">
        <v>0.38600000000000001</v>
      </c>
      <c r="V784" s="1" t="str">
        <f>IF(Energy_data_1990___2020[[#This Row],[CO2 emissions from fuel combustion (MtCO2)]]&gt;Energy_data_1990___2020[[#Totals],[CO2 emissions from fuel combustion (MtCO2)]],"Above Average","")</f>
        <v/>
      </c>
      <c r="W784" s="1">
        <f>SUM(Energy_data_1990___2020[[#This Row],[Coal and lignite production (Mt)]]-Energy_data_1990___2020[[#This Row],[Coal and lignite domestic consumption (Mt)]])</f>
        <v>-1.1179999999999999</v>
      </c>
    </row>
    <row r="785" spans="1:23">
      <c r="A785" t="s">
        <v>55</v>
      </c>
      <c r="B785">
        <v>1998</v>
      </c>
      <c r="C785" t="s">
        <v>30</v>
      </c>
      <c r="D785">
        <v>36.413407749999998</v>
      </c>
      <c r="E785">
        <v>1.445078018</v>
      </c>
      <c r="F785">
        <v>0.155868121</v>
      </c>
      <c r="G785">
        <v>206.53300780000001</v>
      </c>
      <c r="H785">
        <v>25.198229640000001</v>
      </c>
      <c r="I785">
        <v>99.617974840000002</v>
      </c>
      <c r="J785">
        <v>47.845147789999999</v>
      </c>
      <c r="K785">
        <v>8.75</v>
      </c>
      <c r="L785">
        <v>15.552</v>
      </c>
      <c r="M785">
        <v>47.597957350000001</v>
      </c>
      <c r="N785">
        <v>4.9529978979999996</v>
      </c>
      <c r="O785">
        <v>0.107861388</v>
      </c>
      <c r="P785">
        <v>117.008</v>
      </c>
      <c r="Q785">
        <v>110.455</v>
      </c>
      <c r="R785">
        <v>1.639</v>
      </c>
      <c r="S785">
        <v>5.5551757E-2</v>
      </c>
      <c r="T785">
        <v>149.82599999999999</v>
      </c>
      <c r="U785">
        <v>0.32800000000000001</v>
      </c>
      <c r="V785" s="1" t="str">
        <f>IF(Energy_data_1990___2020[[#This Row],[CO2 emissions from fuel combustion (MtCO2)]]&gt;Energy_data_1990___2020[[#Totals],[CO2 emissions from fuel combustion (MtCO2)]],"Above Average","")</f>
        <v/>
      </c>
      <c r="W785" s="1">
        <f>SUM(Energy_data_1990___2020[[#This Row],[Coal and lignite production (Mt)]]-Energy_data_1990___2020[[#This Row],[Coal and lignite domestic consumption (Mt)]])</f>
        <v>-1.3109999999999999</v>
      </c>
    </row>
    <row r="786" spans="1:23">
      <c r="A786" t="s">
        <v>55</v>
      </c>
      <c r="B786">
        <v>1999</v>
      </c>
      <c r="C786" t="s">
        <v>30</v>
      </c>
      <c r="D786">
        <v>37.730151970000001</v>
      </c>
      <c r="E786">
        <v>1.4296999889999999</v>
      </c>
      <c r="F786">
        <v>0.15831774400000001</v>
      </c>
      <c r="G786">
        <v>210.1743084</v>
      </c>
      <c r="H786">
        <v>26.390258280000001</v>
      </c>
      <c r="I786">
        <v>99.562407820000004</v>
      </c>
      <c r="J786">
        <v>47.263618800000003</v>
      </c>
      <c r="K786">
        <v>8.81</v>
      </c>
      <c r="L786">
        <v>15.952999999999999</v>
      </c>
      <c r="M786">
        <v>50.990054260000001</v>
      </c>
      <c r="N786">
        <v>5.4910013080000004</v>
      </c>
      <c r="O786">
        <v>0.110734941</v>
      </c>
      <c r="P786">
        <v>122.717</v>
      </c>
      <c r="Q786">
        <v>110.224</v>
      </c>
      <c r="R786">
        <v>1.554</v>
      </c>
      <c r="S786">
        <v>6.6820407999999998E-2</v>
      </c>
      <c r="T786">
        <v>149.35</v>
      </c>
      <c r="U786">
        <v>0.40400000000000003</v>
      </c>
      <c r="V786" s="1" t="str">
        <f>IF(Energy_data_1990___2020[[#This Row],[CO2 emissions from fuel combustion (MtCO2)]]&gt;Energy_data_1990___2020[[#Totals],[CO2 emissions from fuel combustion (MtCO2)]],"Above Average","")</f>
        <v/>
      </c>
      <c r="W786" s="1">
        <f>SUM(Energy_data_1990___2020[[#This Row],[Coal and lignite production (Mt)]]-Energy_data_1990___2020[[#This Row],[Coal and lignite domestic consumption (Mt)]])</f>
        <v>-1.1499999999999999</v>
      </c>
    </row>
    <row r="787" spans="1:23">
      <c r="A787" t="s">
        <v>55</v>
      </c>
      <c r="B787">
        <v>2000</v>
      </c>
      <c r="C787" t="s">
        <v>30</v>
      </c>
      <c r="D787">
        <v>33.02799452</v>
      </c>
      <c r="E787">
        <v>1.262179607</v>
      </c>
      <c r="F787">
        <v>0.13428348100000001</v>
      </c>
      <c r="G787">
        <v>228.03684899999999</v>
      </c>
      <c r="H787">
        <v>26.167428430000001</v>
      </c>
      <c r="I787">
        <v>99.716048169999993</v>
      </c>
      <c r="J787">
        <v>47.395189690000002</v>
      </c>
      <c r="K787">
        <v>8.2750000000000004</v>
      </c>
      <c r="L787">
        <v>15.756</v>
      </c>
      <c r="M787">
        <v>53.293019800000003</v>
      </c>
      <c r="N787">
        <v>4.1089980170000002</v>
      </c>
      <c r="O787">
        <v>0.106390153</v>
      </c>
      <c r="P787">
        <v>142.982</v>
      </c>
      <c r="Q787">
        <v>110.91800000000001</v>
      </c>
      <c r="R787">
        <v>1.571</v>
      </c>
      <c r="S787">
        <v>3.5668825000000001E-2</v>
      </c>
      <c r="T787">
        <v>160.99</v>
      </c>
      <c r="U787">
        <v>0.63200000000000001</v>
      </c>
      <c r="V787" s="1" t="str">
        <f>IF(Energy_data_1990___2020[[#This Row],[CO2 emissions from fuel combustion (MtCO2)]]&gt;Energy_data_1990___2020[[#Totals],[CO2 emissions from fuel combustion (MtCO2)]],"Above Average","")</f>
        <v/>
      </c>
      <c r="W787" s="1">
        <f>SUM(Energy_data_1990___2020[[#This Row],[Coal and lignite production (Mt)]]-Energy_data_1990___2020[[#This Row],[Coal and lignite domestic consumption (Mt)]])</f>
        <v>-0.93899999999999995</v>
      </c>
    </row>
    <row r="788" spans="1:23">
      <c r="A788" t="s">
        <v>55</v>
      </c>
      <c r="B788">
        <v>2001</v>
      </c>
      <c r="C788" t="s">
        <v>30</v>
      </c>
      <c r="D788">
        <v>34.360428519999999</v>
      </c>
      <c r="E788">
        <v>1.278155272</v>
      </c>
      <c r="F788">
        <v>0.136861237</v>
      </c>
      <c r="G788">
        <v>226.8508506</v>
      </c>
      <c r="H788">
        <v>26.882828140000001</v>
      </c>
      <c r="I788">
        <v>99.522520310000004</v>
      </c>
      <c r="J788">
        <v>47.19027577</v>
      </c>
      <c r="K788">
        <v>8.6790000000000003</v>
      </c>
      <c r="L788">
        <v>15.209</v>
      </c>
      <c r="M788">
        <v>57.663980100000003</v>
      </c>
      <c r="N788">
        <v>4.5750034199999998</v>
      </c>
      <c r="O788">
        <v>0.107077161</v>
      </c>
      <c r="P788">
        <v>121.89</v>
      </c>
      <c r="Q788">
        <v>113.785</v>
      </c>
      <c r="R788">
        <v>1.401</v>
      </c>
      <c r="S788">
        <v>7.7118714000000005E-2</v>
      </c>
      <c r="T788">
        <v>162.59200000000001</v>
      </c>
      <c r="U788">
        <v>1.788</v>
      </c>
      <c r="V788" s="1" t="str">
        <f>IF(Energy_data_1990___2020[[#This Row],[CO2 emissions from fuel combustion (MtCO2)]]&gt;Energy_data_1990___2020[[#Totals],[CO2 emissions from fuel combustion (MtCO2)]],"Above Average","")</f>
        <v/>
      </c>
      <c r="W788" s="1">
        <f>SUM(Energy_data_1990___2020[[#This Row],[Coal and lignite production (Mt)]]-Energy_data_1990___2020[[#This Row],[Coal and lignite domestic consumption (Mt)]])</f>
        <v>0.38700000000000001</v>
      </c>
    </row>
    <row r="789" spans="1:23">
      <c r="A789" t="s">
        <v>55</v>
      </c>
      <c r="B789">
        <v>2002</v>
      </c>
      <c r="C789" t="s">
        <v>30</v>
      </c>
      <c r="D789">
        <v>34.021670749999998</v>
      </c>
      <c r="E789">
        <v>1.3503030110000001</v>
      </c>
      <c r="F789">
        <v>0.13358002299999999</v>
      </c>
      <c r="G789">
        <v>235.55638590000001</v>
      </c>
      <c r="H789">
        <v>25.195582389999998</v>
      </c>
      <c r="I789">
        <v>99.58456065</v>
      </c>
      <c r="J789">
        <v>46.83483193</v>
      </c>
      <c r="K789">
        <v>8.6760000000000002</v>
      </c>
      <c r="L789">
        <v>13.875</v>
      </c>
      <c r="M789">
        <v>69.358008740000002</v>
      </c>
      <c r="N789">
        <v>4.5180016590000003</v>
      </c>
      <c r="O789">
        <v>9.8925961000000007E-2</v>
      </c>
      <c r="P789">
        <v>130.70500000000001</v>
      </c>
      <c r="Q789">
        <v>110.464</v>
      </c>
      <c r="R789">
        <v>1.21</v>
      </c>
      <c r="S789">
        <v>8.4158984000000006E-2</v>
      </c>
      <c r="T789">
        <v>157.773</v>
      </c>
      <c r="U789">
        <v>2.1320000000000001</v>
      </c>
      <c r="V789" s="1" t="str">
        <f>IF(Energy_data_1990___2020[[#This Row],[CO2 emissions from fuel combustion (MtCO2)]]&gt;Energy_data_1990___2020[[#Totals],[CO2 emissions from fuel combustion (MtCO2)]],"Above Average","")</f>
        <v/>
      </c>
      <c r="W789" s="1">
        <f>SUM(Energy_data_1990___2020[[#This Row],[Coal and lignite production (Mt)]]-Energy_data_1990___2020[[#This Row],[Coal and lignite domestic consumption (Mt)]])</f>
        <v>0.92200000000000015</v>
      </c>
    </row>
    <row r="790" spans="1:23">
      <c r="A790" t="s">
        <v>55</v>
      </c>
      <c r="B790">
        <v>2003</v>
      </c>
      <c r="C790" t="s">
        <v>30</v>
      </c>
      <c r="D790">
        <v>36.834239420000003</v>
      </c>
      <c r="E790">
        <v>1.348538665</v>
      </c>
      <c r="F790">
        <v>0.14331872000000001</v>
      </c>
      <c r="G790">
        <v>235.16379380000001</v>
      </c>
      <c r="H790">
        <v>27.314188590000001</v>
      </c>
      <c r="I790">
        <v>99.402459149999999</v>
      </c>
      <c r="J790">
        <v>43.759103019999998</v>
      </c>
      <c r="K790">
        <v>9.2840000000000007</v>
      </c>
      <c r="L790">
        <v>15.8</v>
      </c>
      <c r="M790">
        <v>77.114992650000005</v>
      </c>
      <c r="N790">
        <v>5.0030025389999997</v>
      </c>
      <c r="O790">
        <v>0.10627705699999999</v>
      </c>
      <c r="P790">
        <v>107.273</v>
      </c>
      <c r="Q790">
        <v>104.559</v>
      </c>
      <c r="R790">
        <v>1.1759999999999999</v>
      </c>
      <c r="S790">
        <v>0.23771126000000001</v>
      </c>
      <c r="T790">
        <v>153.74799999999999</v>
      </c>
      <c r="U790">
        <v>2.944</v>
      </c>
      <c r="V790" s="1" t="str">
        <f>IF(Energy_data_1990___2020[[#This Row],[CO2 emissions from fuel combustion (MtCO2)]]&gt;Energy_data_1990___2020[[#Totals],[CO2 emissions from fuel combustion (MtCO2)]],"Above Average","")</f>
        <v/>
      </c>
      <c r="W790" s="1">
        <f>SUM(Energy_data_1990___2020[[#This Row],[Coal and lignite production (Mt)]]-Energy_data_1990___2020[[#This Row],[Coal and lignite domestic consumption (Mt)]])</f>
        <v>1.768</v>
      </c>
    </row>
    <row r="791" spans="1:23">
      <c r="A791" t="s">
        <v>55</v>
      </c>
      <c r="B791">
        <v>2004</v>
      </c>
      <c r="C791" t="s">
        <v>30</v>
      </c>
      <c r="D791">
        <v>37.197134519999999</v>
      </c>
      <c r="E791">
        <v>1.3906551519999999</v>
      </c>
      <c r="F791">
        <v>0.13920508500000001</v>
      </c>
      <c r="G791">
        <v>229.05855450000001</v>
      </c>
      <c r="H791">
        <v>26.74792128</v>
      </c>
      <c r="I791">
        <v>99.353625570000005</v>
      </c>
      <c r="J791">
        <v>45.129096099999998</v>
      </c>
      <c r="K791">
        <v>8.9559999999999995</v>
      </c>
      <c r="L791">
        <v>15.074999999999999</v>
      </c>
      <c r="M791">
        <v>80.957989679999997</v>
      </c>
      <c r="N791">
        <v>5.3340010610000004</v>
      </c>
      <c r="O791">
        <v>0.100100363</v>
      </c>
      <c r="P791">
        <v>110.617</v>
      </c>
      <c r="Q791">
        <v>109.69199999999999</v>
      </c>
      <c r="R791">
        <v>1.347</v>
      </c>
      <c r="S791">
        <v>0.26306987199999998</v>
      </c>
      <c r="T791">
        <v>144.04300000000001</v>
      </c>
      <c r="U791">
        <v>2.9039999999999999</v>
      </c>
      <c r="V791" s="1" t="str">
        <f>IF(Energy_data_1990___2020[[#This Row],[CO2 emissions from fuel combustion (MtCO2)]]&gt;Energy_data_1990___2020[[#Totals],[CO2 emissions from fuel combustion (MtCO2)]],"Above Average","")</f>
        <v/>
      </c>
      <c r="W791" s="1">
        <f>SUM(Energy_data_1990___2020[[#This Row],[Coal and lignite production (Mt)]]-Energy_data_1990___2020[[#This Row],[Coal and lignite domestic consumption (Mt)]])</f>
        <v>1.5569999999999999</v>
      </c>
    </row>
    <row r="792" spans="1:23">
      <c r="A792" t="s">
        <v>55</v>
      </c>
      <c r="B792">
        <v>2005</v>
      </c>
      <c r="C792" t="s">
        <v>30</v>
      </c>
      <c r="D792">
        <v>36.803012940000002</v>
      </c>
      <c r="E792">
        <v>1.3582936299999999</v>
      </c>
      <c r="F792">
        <v>0.13420660300000001</v>
      </c>
      <c r="G792">
        <v>224.40894829999999</v>
      </c>
      <c r="H792">
        <v>27.09503462</v>
      </c>
      <c r="I792">
        <v>99.474671939999993</v>
      </c>
      <c r="J792">
        <v>46.291220729999999</v>
      </c>
      <c r="K792">
        <v>8.8219999999999992</v>
      </c>
      <c r="L792">
        <v>16.344999999999999</v>
      </c>
      <c r="M792">
        <v>86.946002489999998</v>
      </c>
      <c r="N792">
        <v>5.1859969909999997</v>
      </c>
      <c r="O792">
        <v>9.8805295000000001E-2</v>
      </c>
      <c r="P792">
        <v>138.00899999999999</v>
      </c>
      <c r="Q792">
        <v>114.241</v>
      </c>
      <c r="R792">
        <v>1.153</v>
      </c>
      <c r="S792">
        <v>0.39780014299999999</v>
      </c>
      <c r="T792">
        <v>133.01599999999999</v>
      </c>
      <c r="U792">
        <v>1.4710000000000001</v>
      </c>
      <c r="V792" s="1" t="str">
        <f>IF(Energy_data_1990___2020[[#This Row],[CO2 emissions from fuel combustion (MtCO2)]]&gt;Energy_data_1990___2020[[#Totals],[CO2 emissions from fuel combustion (MtCO2)]],"Above Average","")</f>
        <v/>
      </c>
      <c r="W792" s="1">
        <f>SUM(Energy_data_1990___2020[[#This Row],[Coal and lignite production (Mt)]]-Energy_data_1990___2020[[#This Row],[Coal and lignite domestic consumption (Mt)]])</f>
        <v>0.31800000000000006</v>
      </c>
    </row>
    <row r="793" spans="1:23">
      <c r="A793" t="s">
        <v>55</v>
      </c>
      <c r="B793">
        <v>2006</v>
      </c>
      <c r="C793" t="s">
        <v>30</v>
      </c>
      <c r="D793">
        <v>37.250259630000002</v>
      </c>
      <c r="E793">
        <v>1.356195399</v>
      </c>
      <c r="F793">
        <v>0.13265411999999999</v>
      </c>
      <c r="G793">
        <v>215.6417386</v>
      </c>
      <c r="H793">
        <v>27.466735</v>
      </c>
      <c r="I793">
        <v>99.318155649999994</v>
      </c>
      <c r="J793">
        <v>45.082949769999999</v>
      </c>
      <c r="K793">
        <v>9.2040000000000006</v>
      </c>
      <c r="L793">
        <v>18.434999999999999</v>
      </c>
      <c r="M793">
        <v>89.27600391</v>
      </c>
      <c r="N793">
        <v>5.3729995480000001</v>
      </c>
      <c r="O793">
        <v>9.7813426999999994E-2</v>
      </c>
      <c r="P793">
        <v>121.58199999999999</v>
      </c>
      <c r="Q793">
        <v>111.22</v>
      </c>
      <c r="R793">
        <v>1.0129999999999999</v>
      </c>
      <c r="S793">
        <v>0.56011580699999997</v>
      </c>
      <c r="T793">
        <v>123.75700000000001</v>
      </c>
      <c r="U793">
        <v>2.395</v>
      </c>
      <c r="V793" s="1" t="str">
        <f>IF(Energy_data_1990___2020[[#This Row],[CO2 emissions from fuel combustion (MtCO2)]]&gt;Energy_data_1990___2020[[#Totals],[CO2 emissions from fuel combustion (MtCO2)]],"Above Average","")</f>
        <v/>
      </c>
      <c r="W793" s="1">
        <f>SUM(Energy_data_1990___2020[[#This Row],[Coal and lignite production (Mt)]]-Energy_data_1990___2020[[#This Row],[Coal and lignite domestic consumption (Mt)]])</f>
        <v>1.3820000000000001</v>
      </c>
    </row>
    <row r="794" spans="1:23">
      <c r="A794" t="s">
        <v>55</v>
      </c>
      <c r="B794">
        <v>2007</v>
      </c>
      <c r="C794" t="s">
        <v>30</v>
      </c>
      <c r="D794">
        <v>37.703915960000003</v>
      </c>
      <c r="E794">
        <v>1.3522938929999999</v>
      </c>
      <c r="F794">
        <v>0.130366171</v>
      </c>
      <c r="G794">
        <v>215.4903516</v>
      </c>
      <c r="H794">
        <v>27.881451030000001</v>
      </c>
      <c r="I794">
        <v>99.141349349999999</v>
      </c>
      <c r="J794">
        <v>45.210026069999998</v>
      </c>
      <c r="K794">
        <v>9.3810000000000002</v>
      </c>
      <c r="L794">
        <v>18.146999999999998</v>
      </c>
      <c r="M794">
        <v>91.573989109999999</v>
      </c>
      <c r="N794">
        <v>5.4270000879999998</v>
      </c>
      <c r="O794">
        <v>9.6403726999999995E-2</v>
      </c>
      <c r="P794">
        <v>137.19200000000001</v>
      </c>
      <c r="Q794">
        <v>114.947</v>
      </c>
      <c r="R794">
        <v>1.1200000000000001</v>
      </c>
      <c r="S794">
        <v>0.68808676899999999</v>
      </c>
      <c r="T794">
        <v>119.53</v>
      </c>
      <c r="U794">
        <v>4.0730000000000004</v>
      </c>
      <c r="V794" s="1" t="str">
        <f>IF(Energy_data_1990___2020[[#This Row],[CO2 emissions from fuel combustion (MtCO2)]]&gt;Energy_data_1990___2020[[#Totals],[CO2 emissions from fuel combustion (MtCO2)]],"Above Average","")</f>
        <v/>
      </c>
      <c r="W794" s="1">
        <f>SUM(Energy_data_1990___2020[[#This Row],[Coal and lignite production (Mt)]]-Energy_data_1990___2020[[#This Row],[Coal and lignite domestic consumption (Mt)]])</f>
        <v>2.9530000000000003</v>
      </c>
    </row>
    <row r="795" spans="1:23">
      <c r="A795" t="s">
        <v>55</v>
      </c>
      <c r="B795">
        <v>2008</v>
      </c>
      <c r="C795" t="s">
        <v>30</v>
      </c>
      <c r="D795">
        <v>37.264542050000003</v>
      </c>
      <c r="E795">
        <v>1.1503513990000001</v>
      </c>
      <c r="F795">
        <v>0.128236088</v>
      </c>
      <c r="G795">
        <v>221.79266150000001</v>
      </c>
      <c r="H795">
        <v>32.394051140000002</v>
      </c>
      <c r="I795">
        <v>99.406897720000003</v>
      </c>
      <c r="J795">
        <v>45.80173722</v>
      </c>
      <c r="K795">
        <v>9.0519999999999996</v>
      </c>
      <c r="L795">
        <v>15.871</v>
      </c>
      <c r="M795">
        <v>104.66005440000001</v>
      </c>
      <c r="N795">
        <v>5.6350051480000003</v>
      </c>
      <c r="O795">
        <v>0.11147557900000001</v>
      </c>
      <c r="P795">
        <v>142.13399999999999</v>
      </c>
      <c r="Q795">
        <v>116.592</v>
      </c>
      <c r="R795">
        <v>1.137</v>
      </c>
      <c r="S795">
        <v>0.671901164</v>
      </c>
      <c r="T795">
        <v>114.628</v>
      </c>
      <c r="U795">
        <v>3.43</v>
      </c>
      <c r="V795" s="1" t="str">
        <f>IF(Energy_data_1990___2020[[#This Row],[CO2 emissions from fuel combustion (MtCO2)]]&gt;Energy_data_1990___2020[[#Totals],[CO2 emissions from fuel combustion (MtCO2)]],"Above Average","")</f>
        <v/>
      </c>
      <c r="W795" s="1">
        <f>SUM(Energy_data_1990___2020[[#This Row],[Coal and lignite production (Mt)]]-Energy_data_1990___2020[[#This Row],[Coal and lignite domestic consumption (Mt)]])</f>
        <v>2.2930000000000001</v>
      </c>
    </row>
    <row r="796" spans="1:23">
      <c r="A796" t="s">
        <v>55</v>
      </c>
      <c r="B796">
        <v>2009</v>
      </c>
      <c r="C796" t="s">
        <v>30</v>
      </c>
      <c r="D796">
        <v>37.33155215</v>
      </c>
      <c r="E796">
        <v>1.1808923920000001</v>
      </c>
      <c r="F796">
        <v>0.130724321</v>
      </c>
      <c r="G796">
        <v>217.3702341</v>
      </c>
      <c r="H796">
        <v>31.613000809999999</v>
      </c>
      <c r="I796">
        <v>96.591107429999994</v>
      </c>
      <c r="J796">
        <v>45.957468339999998</v>
      </c>
      <c r="K796">
        <v>8.9429999999999996</v>
      </c>
      <c r="L796">
        <v>15.313000000000001</v>
      </c>
      <c r="M796">
        <v>108.8628793</v>
      </c>
      <c r="N796">
        <v>5.9590000759999997</v>
      </c>
      <c r="O796">
        <v>0.11069960500000001</v>
      </c>
      <c r="P796">
        <v>131.773</v>
      </c>
      <c r="Q796">
        <v>113.423</v>
      </c>
      <c r="R796">
        <v>0.81699999999999995</v>
      </c>
      <c r="S796">
        <v>0.74522094800000005</v>
      </c>
      <c r="T796">
        <v>109.976</v>
      </c>
      <c r="U796">
        <v>2.641</v>
      </c>
      <c r="V796" s="1" t="str">
        <f>IF(Energy_data_1990___2020[[#This Row],[CO2 emissions from fuel combustion (MtCO2)]]&gt;Energy_data_1990___2020[[#Totals],[CO2 emissions from fuel combustion (MtCO2)]],"Above Average","")</f>
        <v/>
      </c>
      <c r="W796" s="1">
        <f>SUM(Energy_data_1990___2020[[#This Row],[Coal and lignite production (Mt)]]-Energy_data_1990___2020[[#This Row],[Coal and lignite domestic consumption (Mt)]])</f>
        <v>1.8240000000000001</v>
      </c>
    </row>
    <row r="797" spans="1:23">
      <c r="A797" t="s">
        <v>55</v>
      </c>
      <c r="B797">
        <v>2010</v>
      </c>
      <c r="C797" t="s">
        <v>30</v>
      </c>
      <c r="D797">
        <v>42.040554960000001</v>
      </c>
      <c r="E797">
        <v>1.284429145</v>
      </c>
      <c r="F797">
        <v>0.14618789400000001</v>
      </c>
      <c r="G797">
        <v>207.14944170000001</v>
      </c>
      <c r="H797">
        <v>32.730925730000003</v>
      </c>
      <c r="I797">
        <v>95.749757360000004</v>
      </c>
      <c r="J797">
        <v>45.180899920000002</v>
      </c>
      <c r="K797">
        <v>9.2829999999999995</v>
      </c>
      <c r="L797">
        <v>15.324</v>
      </c>
      <c r="M797">
        <v>110.35291410000001</v>
      </c>
      <c r="N797">
        <v>6.7279954540000002</v>
      </c>
      <c r="O797">
        <v>0.11381545999999999</v>
      </c>
      <c r="P797">
        <v>123.64</v>
      </c>
      <c r="Q797">
        <v>120.178</v>
      </c>
      <c r="R797">
        <v>1.0680000000000001</v>
      </c>
      <c r="S797">
        <v>0.71093497299999997</v>
      </c>
      <c r="T797">
        <v>99.647999999999996</v>
      </c>
      <c r="U797">
        <v>1.9350000000000001</v>
      </c>
      <c r="V797" s="1" t="str">
        <f>IF(Energy_data_1990___2020[[#This Row],[CO2 emissions from fuel combustion (MtCO2)]]&gt;Energy_data_1990___2020[[#Totals],[CO2 emissions from fuel combustion (MtCO2)]],"Above Average","")</f>
        <v/>
      </c>
      <c r="W797" s="1">
        <f>SUM(Energy_data_1990___2020[[#This Row],[Coal and lignite production (Mt)]]-Energy_data_1990___2020[[#This Row],[Coal and lignite domestic consumption (Mt)]])</f>
        <v>0.86699999999999999</v>
      </c>
    </row>
    <row r="798" spans="1:23">
      <c r="A798" t="s">
        <v>55</v>
      </c>
      <c r="B798">
        <v>2011</v>
      </c>
      <c r="C798" t="s">
        <v>30</v>
      </c>
      <c r="D798">
        <v>40.228239039999998</v>
      </c>
      <c r="E798">
        <v>1.4176554619999999</v>
      </c>
      <c r="F798">
        <v>0.13852632200000001</v>
      </c>
      <c r="G798">
        <v>198.6144003</v>
      </c>
      <c r="H798">
        <v>28.376597919999998</v>
      </c>
      <c r="I798">
        <v>96.578301539999998</v>
      </c>
      <c r="J798">
        <v>44.666716469999997</v>
      </c>
      <c r="K798">
        <v>8.9039999999999999</v>
      </c>
      <c r="L798">
        <v>16.123999999999999</v>
      </c>
      <c r="M798">
        <v>105.75000249999999</v>
      </c>
      <c r="N798">
        <v>6.2440018659999996</v>
      </c>
      <c r="O798">
        <v>9.7715083999999994E-2</v>
      </c>
      <c r="P798">
        <v>127.539</v>
      </c>
      <c r="Q798">
        <v>114.57899999999999</v>
      </c>
      <c r="R798">
        <v>1.101968388</v>
      </c>
      <c r="S798">
        <v>1.0059668020000001</v>
      </c>
      <c r="T798">
        <v>94.234999999999999</v>
      </c>
      <c r="U798">
        <v>1.3859999999999999</v>
      </c>
      <c r="V798" s="1" t="str">
        <f>IF(Energy_data_1990___2020[[#This Row],[CO2 emissions from fuel combustion (MtCO2)]]&gt;Energy_data_1990___2020[[#Totals],[CO2 emissions from fuel combustion (MtCO2)]],"Above Average","")</f>
        <v/>
      </c>
      <c r="W798" s="1">
        <f>SUM(Energy_data_1990___2020[[#This Row],[Coal and lignite production (Mt)]]-Energy_data_1990___2020[[#This Row],[Coal and lignite domestic consumption (Mt)]])</f>
        <v>0.28403161199999993</v>
      </c>
    </row>
    <row r="799" spans="1:23">
      <c r="A799" t="s">
        <v>55</v>
      </c>
      <c r="B799">
        <v>2012</v>
      </c>
      <c r="C799" t="s">
        <v>30</v>
      </c>
      <c r="D799">
        <v>38.798025289999998</v>
      </c>
      <c r="E799">
        <v>1.2593641799999999</v>
      </c>
      <c r="F799">
        <v>0.130085072</v>
      </c>
      <c r="G799">
        <v>203.5066301</v>
      </c>
      <c r="H799">
        <v>30.807629689999999</v>
      </c>
      <c r="I799">
        <v>97.982568420000007</v>
      </c>
      <c r="J799">
        <v>45.629163820000002</v>
      </c>
      <c r="K799">
        <v>8.766</v>
      </c>
      <c r="L799">
        <v>16.148</v>
      </c>
      <c r="M799">
        <v>119.16406600000001</v>
      </c>
      <c r="N799">
        <v>5.8249995959999996</v>
      </c>
      <c r="O799">
        <v>0.10329424500000001</v>
      </c>
      <c r="P799">
        <v>147.66300000000001</v>
      </c>
      <c r="Q799">
        <v>118.35599999999999</v>
      </c>
      <c r="R799">
        <v>1.1319999999999999</v>
      </c>
      <c r="S799">
        <v>1.0483330289999999</v>
      </c>
      <c r="T799">
        <v>87.647999999999996</v>
      </c>
      <c r="U799">
        <v>1.2290000000000001</v>
      </c>
      <c r="V799" s="1" t="str">
        <f>IF(Energy_data_1990___2020[[#This Row],[CO2 emissions from fuel combustion (MtCO2)]]&gt;Energy_data_1990___2020[[#Totals],[CO2 emissions from fuel combustion (MtCO2)]],"Above Average","")</f>
        <v/>
      </c>
      <c r="W799" s="1">
        <f>SUM(Energy_data_1990___2020[[#This Row],[Coal and lignite production (Mt)]]-Energy_data_1990___2020[[#This Row],[Coal and lignite domestic consumption (Mt)]])</f>
        <v>9.7000000000000197E-2</v>
      </c>
    </row>
    <row r="800" spans="1:23">
      <c r="A800" t="s">
        <v>55</v>
      </c>
      <c r="B800">
        <v>2013</v>
      </c>
      <c r="C800" t="s">
        <v>30</v>
      </c>
      <c r="D800">
        <v>38.639478310000001</v>
      </c>
      <c r="E800">
        <v>1.177230416</v>
      </c>
      <c r="F800">
        <v>0.12822751700000001</v>
      </c>
      <c r="G800">
        <v>194.68250219999999</v>
      </c>
      <c r="H800">
        <v>32.822358129999998</v>
      </c>
      <c r="I800">
        <v>97.690793009999993</v>
      </c>
      <c r="J800">
        <v>45.796613909999998</v>
      </c>
      <c r="K800">
        <v>8.6379999999999999</v>
      </c>
      <c r="L800">
        <v>17.02</v>
      </c>
      <c r="M800">
        <v>113.15491299999999</v>
      </c>
      <c r="N800">
        <v>5.765995846</v>
      </c>
      <c r="O800">
        <v>0.108923041</v>
      </c>
      <c r="P800">
        <v>134.072</v>
      </c>
      <c r="Q800">
        <v>119.09399999999999</v>
      </c>
      <c r="R800">
        <v>1.136031612</v>
      </c>
      <c r="S800">
        <v>1.402977505</v>
      </c>
      <c r="T800">
        <v>83.451999999999998</v>
      </c>
      <c r="U800">
        <v>1.855</v>
      </c>
      <c r="V800" s="1" t="str">
        <f>IF(Energy_data_1990___2020[[#This Row],[CO2 emissions from fuel combustion (MtCO2)]]&gt;Energy_data_1990___2020[[#Totals],[CO2 emissions from fuel combustion (MtCO2)]],"Above Average","")</f>
        <v/>
      </c>
      <c r="W800" s="1">
        <f>SUM(Energy_data_1990___2020[[#This Row],[Coal and lignite production (Mt)]]-Energy_data_1990___2020[[#This Row],[Coal and lignite domestic consumption (Mt)]])</f>
        <v>0.71896838799999996</v>
      </c>
    </row>
    <row r="801" spans="1:23">
      <c r="A801" t="s">
        <v>55</v>
      </c>
      <c r="B801">
        <v>2014</v>
      </c>
      <c r="C801" t="s">
        <v>30</v>
      </c>
      <c r="D801">
        <v>38.912763210000001</v>
      </c>
      <c r="E801">
        <v>1.34380393</v>
      </c>
      <c r="F801">
        <v>0.12664019600000001</v>
      </c>
      <c r="G801">
        <v>196.86940820000001</v>
      </c>
      <c r="H801">
        <v>28.957173260000001</v>
      </c>
      <c r="I801">
        <v>97.668521519999999</v>
      </c>
      <c r="J801">
        <v>45.925096779999997</v>
      </c>
      <c r="K801">
        <v>8.4719999999999995</v>
      </c>
      <c r="L801">
        <v>15.656000000000001</v>
      </c>
      <c r="M801">
        <v>112.8770694</v>
      </c>
      <c r="N801">
        <v>6.183006808</v>
      </c>
      <c r="O801">
        <v>9.4240084000000002E-2</v>
      </c>
      <c r="P801">
        <v>141.97</v>
      </c>
      <c r="Q801">
        <v>116.57</v>
      </c>
      <c r="R801">
        <v>1.157968388</v>
      </c>
      <c r="S801">
        <v>1.5615975209999999</v>
      </c>
      <c r="T801">
        <v>84.262</v>
      </c>
      <c r="U801">
        <v>1.675</v>
      </c>
      <c r="V801" s="1" t="str">
        <f>IF(Energy_data_1990___2020[[#This Row],[CO2 emissions from fuel combustion (MtCO2)]]&gt;Energy_data_1990___2020[[#Totals],[CO2 emissions from fuel combustion (MtCO2)]],"Above Average","")</f>
        <v/>
      </c>
      <c r="W801" s="1">
        <f>SUM(Energy_data_1990___2020[[#This Row],[Coal and lignite production (Mt)]]-Energy_data_1990___2020[[#This Row],[Coal and lignite domestic consumption (Mt)]])</f>
        <v>0.51703161200000003</v>
      </c>
    </row>
    <row r="802" spans="1:23">
      <c r="A802" t="s">
        <v>55</v>
      </c>
      <c r="B802">
        <v>2015</v>
      </c>
      <c r="C802" t="s">
        <v>30</v>
      </c>
      <c r="D802">
        <v>39.126054969999998</v>
      </c>
      <c r="E802">
        <v>1.323291268</v>
      </c>
      <c r="F802">
        <v>0.124877839</v>
      </c>
      <c r="G802">
        <v>207.56313080000001</v>
      </c>
      <c r="H802">
        <v>29.567228270000001</v>
      </c>
      <c r="I802">
        <v>97.699694210000004</v>
      </c>
      <c r="J802">
        <v>46.453760610000003</v>
      </c>
      <c r="K802">
        <v>8.5129999999999999</v>
      </c>
      <c r="L802">
        <v>16.623000000000001</v>
      </c>
      <c r="M802">
        <v>121.2779403</v>
      </c>
      <c r="N802">
        <v>6.4149955920000004</v>
      </c>
      <c r="O802">
        <v>9.4369124999999998E-2</v>
      </c>
      <c r="P802">
        <v>144.54599999999999</v>
      </c>
      <c r="Q802">
        <v>119.526</v>
      </c>
      <c r="R802">
        <v>1.1299999999999999</v>
      </c>
      <c r="S802">
        <v>1.7399305410000001</v>
      </c>
      <c r="T802">
        <v>87.820999999999998</v>
      </c>
      <c r="U802">
        <v>1.1060000000000001</v>
      </c>
      <c r="V802" s="1" t="str">
        <f>IF(Energy_data_1990___2020[[#This Row],[CO2 emissions from fuel combustion (MtCO2)]]&gt;Energy_data_1990___2020[[#Totals],[CO2 emissions from fuel combustion (MtCO2)]],"Above Average","")</f>
        <v/>
      </c>
      <c r="W802" s="1">
        <f>SUM(Energy_data_1990___2020[[#This Row],[Coal and lignite production (Mt)]]-Energy_data_1990___2020[[#This Row],[Coal and lignite domestic consumption (Mt)]])</f>
        <v>-2.3999999999999799E-2</v>
      </c>
    </row>
    <row r="803" spans="1:23">
      <c r="A803" t="s">
        <v>55</v>
      </c>
      <c r="B803">
        <v>2016</v>
      </c>
      <c r="C803" t="s">
        <v>30</v>
      </c>
      <c r="D803">
        <v>38.167026759999999</v>
      </c>
      <c r="E803">
        <v>1.337567288</v>
      </c>
      <c r="F803">
        <v>0.120525427</v>
      </c>
      <c r="G803">
        <v>210.0416821</v>
      </c>
      <c r="H803">
        <v>28.534659220000002</v>
      </c>
      <c r="I803">
        <v>97.801961860000006</v>
      </c>
      <c r="J803">
        <v>47.179351709999999</v>
      </c>
      <c r="K803">
        <v>8.2720000000000002</v>
      </c>
      <c r="L803">
        <v>13.1</v>
      </c>
      <c r="M803">
        <v>120.59801040000001</v>
      </c>
      <c r="N803">
        <v>6.1839954309999996</v>
      </c>
      <c r="O803">
        <v>9.0107935E-2</v>
      </c>
      <c r="P803">
        <v>149.042</v>
      </c>
      <c r="Q803">
        <v>122.26300000000001</v>
      </c>
      <c r="R803">
        <v>1.1599999999999999</v>
      </c>
      <c r="S803">
        <v>1.4197340350000001</v>
      </c>
      <c r="T803">
        <v>90.183999999999997</v>
      </c>
      <c r="U803">
        <v>0.81799999999999995</v>
      </c>
      <c r="V803" s="1" t="str">
        <f>IF(Energy_data_1990___2020[[#This Row],[CO2 emissions from fuel combustion (MtCO2)]]&gt;Energy_data_1990___2020[[#Totals],[CO2 emissions from fuel combustion (MtCO2)]],"Above Average","")</f>
        <v/>
      </c>
      <c r="W803" s="1">
        <f>SUM(Energy_data_1990___2020[[#This Row],[Coal and lignite production (Mt)]]-Energy_data_1990___2020[[#This Row],[Coal and lignite domestic consumption (Mt)]])</f>
        <v>-0.34199999999999997</v>
      </c>
    </row>
    <row r="804" spans="1:23">
      <c r="A804" t="s">
        <v>55</v>
      </c>
      <c r="B804">
        <v>2017</v>
      </c>
      <c r="C804" t="s">
        <v>30</v>
      </c>
      <c r="D804">
        <v>37.816797790000003</v>
      </c>
      <c r="E804">
        <v>1.258167528</v>
      </c>
      <c r="F804">
        <v>0.11670803</v>
      </c>
      <c r="G804">
        <v>215.8394255</v>
      </c>
      <c r="H804">
        <v>30.05704484</v>
      </c>
      <c r="I804">
        <v>97.82245116</v>
      </c>
      <c r="J804">
        <v>47.119583890000001</v>
      </c>
      <c r="K804">
        <v>7.9710000000000001</v>
      </c>
      <c r="L804">
        <v>16.620999999999999</v>
      </c>
      <c r="M804">
        <v>128.2161065</v>
      </c>
      <c r="N804">
        <v>6.4480057100000003</v>
      </c>
      <c r="O804">
        <v>9.2760326000000004E-2</v>
      </c>
      <c r="P804">
        <v>149.47999999999999</v>
      </c>
      <c r="Q804">
        <v>122.988</v>
      </c>
      <c r="R804">
        <v>1.2130000000000001</v>
      </c>
      <c r="S804">
        <v>1.9092855230000001</v>
      </c>
      <c r="T804">
        <v>88.984999999999999</v>
      </c>
      <c r="U804">
        <v>0.13100000000000001</v>
      </c>
      <c r="V804" s="1" t="str">
        <f>IF(Energy_data_1990___2020[[#This Row],[CO2 emissions from fuel combustion (MtCO2)]]&gt;Energy_data_1990___2020[[#Totals],[CO2 emissions from fuel combustion (MtCO2)]],"Above Average","")</f>
        <v/>
      </c>
      <c r="W804" s="1">
        <f>SUM(Energy_data_1990___2020[[#This Row],[Coal and lignite production (Mt)]]-Energy_data_1990___2020[[#This Row],[Coal and lignite domestic consumption (Mt)]])</f>
        <v>-1.0820000000000001</v>
      </c>
    </row>
    <row r="805" spans="1:23">
      <c r="A805" t="s">
        <v>55</v>
      </c>
      <c r="B805">
        <v>2018</v>
      </c>
      <c r="C805" t="s">
        <v>30</v>
      </c>
      <c r="D805">
        <v>38.028288570000001</v>
      </c>
      <c r="E805">
        <v>1.3221382189999999</v>
      </c>
      <c r="F805">
        <v>0.115866565</v>
      </c>
      <c r="G805">
        <v>206.9635729</v>
      </c>
      <c r="H805">
        <v>28.762717859999999</v>
      </c>
      <c r="I805">
        <v>97.753679210000001</v>
      </c>
      <c r="J805">
        <v>47.489754419999997</v>
      </c>
      <c r="K805">
        <v>8.2242069999999998</v>
      </c>
      <c r="L805">
        <v>17.694478</v>
      </c>
      <c r="M805">
        <v>125.8093686</v>
      </c>
      <c r="N805">
        <v>6.500283928</v>
      </c>
      <c r="O805">
        <v>8.7635743000000002E-2</v>
      </c>
      <c r="P805">
        <v>146.89077399999999</v>
      </c>
      <c r="Q805">
        <v>126.144508</v>
      </c>
      <c r="R805">
        <v>1.184854388</v>
      </c>
      <c r="S805">
        <v>2.6401916839999999</v>
      </c>
      <c r="T805">
        <v>83.796999999999997</v>
      </c>
      <c r="U805">
        <v>0.15035399999999999</v>
      </c>
      <c r="V805" s="1" t="str">
        <f>IF(Energy_data_1990___2020[[#This Row],[CO2 emissions from fuel combustion (MtCO2)]]&gt;Energy_data_1990___2020[[#Totals],[CO2 emissions from fuel combustion (MtCO2)]],"Above Average","")</f>
        <v/>
      </c>
      <c r="W805" s="1">
        <f>SUM(Energy_data_1990___2020[[#This Row],[Coal and lignite production (Mt)]]-Energy_data_1990___2020[[#This Row],[Coal and lignite domestic consumption (Mt)]])</f>
        <v>-1.0345003880000001</v>
      </c>
    </row>
    <row r="806" spans="1:23">
      <c r="A806" t="s">
        <v>55</v>
      </c>
      <c r="B806">
        <v>2019</v>
      </c>
      <c r="C806" t="s">
        <v>30</v>
      </c>
      <c r="D806">
        <v>38.124195780000001</v>
      </c>
      <c r="E806">
        <v>1.355011561</v>
      </c>
      <c r="F806">
        <v>0.11483246499999999</v>
      </c>
      <c r="G806">
        <v>196.08823889999999</v>
      </c>
      <c r="H806">
        <v>28.135697799999999</v>
      </c>
      <c r="I806">
        <v>97.67128203</v>
      </c>
      <c r="J806">
        <v>47.393313720000002</v>
      </c>
      <c r="K806">
        <v>7.7860068780000002</v>
      </c>
      <c r="L806">
        <v>16.327640890000001</v>
      </c>
      <c r="M806">
        <v>118.7678552</v>
      </c>
      <c r="N806">
        <v>6.7451184179999997</v>
      </c>
      <c r="O806">
        <v>8.4746483999999997E-2</v>
      </c>
      <c r="P806">
        <v>134.74474720000001</v>
      </c>
      <c r="Q806">
        <v>125.2394978</v>
      </c>
      <c r="R806">
        <v>1.147754036</v>
      </c>
      <c r="S806">
        <v>4.1086917740000004</v>
      </c>
      <c r="T806">
        <v>79.640691349999997</v>
      </c>
      <c r="U806">
        <v>0.12128556</v>
      </c>
      <c r="V806" s="1" t="str">
        <f>IF(Energy_data_1990___2020[[#This Row],[CO2 emissions from fuel combustion (MtCO2)]]&gt;Energy_data_1990___2020[[#Totals],[CO2 emissions from fuel combustion (MtCO2)]],"Above Average","")</f>
        <v/>
      </c>
      <c r="W806" s="1">
        <f>SUM(Energy_data_1990___2020[[#This Row],[Coal and lignite production (Mt)]]-Energy_data_1990___2020[[#This Row],[Coal and lignite domestic consumption (Mt)]])</f>
        <v>-1.026468476</v>
      </c>
    </row>
    <row r="807" spans="1:23">
      <c r="A807" t="s">
        <v>55</v>
      </c>
      <c r="B807">
        <v>2020</v>
      </c>
      <c r="C807" t="s">
        <v>30</v>
      </c>
      <c r="D807">
        <v>34.922626100000002</v>
      </c>
      <c r="E807">
        <v>1.289324685</v>
      </c>
      <c r="F807">
        <v>0.11190333700000001</v>
      </c>
      <c r="G807">
        <v>210.4639157</v>
      </c>
      <c r="H807">
        <v>27.085982680000001</v>
      </c>
      <c r="I807">
        <v>98.370864229999995</v>
      </c>
      <c r="J807">
        <v>48.229040060000003</v>
      </c>
      <c r="K807">
        <v>7.2001992149999996</v>
      </c>
      <c r="L807">
        <v>14.75753664</v>
      </c>
      <c r="M807">
        <v>115.93071209999999</v>
      </c>
      <c r="N807">
        <v>6.1348574490000001</v>
      </c>
      <c r="O807">
        <v>8.6792208999999995E-2</v>
      </c>
      <c r="P807">
        <v>154.29890610000001</v>
      </c>
      <c r="Q807">
        <v>123.3995462</v>
      </c>
      <c r="R807">
        <v>1.156951871</v>
      </c>
      <c r="S807">
        <v>6.4164017099999997</v>
      </c>
      <c r="T807">
        <v>94.632687540000006</v>
      </c>
      <c r="U807">
        <v>7.0429087000000001E-2</v>
      </c>
      <c r="V807" s="1" t="str">
        <f>IF(Energy_data_1990___2020[[#This Row],[CO2 emissions from fuel combustion (MtCO2)]]&gt;Energy_data_1990___2020[[#Totals],[CO2 emissions from fuel combustion (MtCO2)]],"Above Average","")</f>
        <v/>
      </c>
      <c r="W807" s="1">
        <f>SUM(Energy_data_1990___2020[[#This Row],[Coal and lignite production (Mt)]]-Energy_data_1990___2020[[#This Row],[Coal and lignite domestic consumption (Mt)]])</f>
        <v>-1.086522784</v>
      </c>
    </row>
    <row r="808" spans="1:23">
      <c r="A808" t="s">
        <v>56</v>
      </c>
      <c r="B808">
        <v>1990</v>
      </c>
      <c r="C808" t="s">
        <v>30</v>
      </c>
      <c r="D808">
        <v>355.72661870000002</v>
      </c>
      <c r="E808">
        <v>3.4499982089999999</v>
      </c>
      <c r="F808">
        <v>0.85589651300000003</v>
      </c>
      <c r="G808">
        <v>103.8794564</v>
      </c>
      <c r="H808">
        <v>103.1092184</v>
      </c>
      <c r="I808">
        <v>2.4708204029999998</v>
      </c>
      <c r="J808">
        <v>12.97072137</v>
      </c>
      <c r="K808">
        <v>12.885</v>
      </c>
      <c r="L808">
        <v>12.811999999999999</v>
      </c>
      <c r="M808">
        <v>4.0949962429999998</v>
      </c>
      <c r="N808">
        <v>12.0960144</v>
      </c>
      <c r="O808">
        <v>0.24808607499999999</v>
      </c>
      <c r="P808">
        <v>136.31100000000001</v>
      </c>
      <c r="Q808">
        <v>109.19499999999999</v>
      </c>
      <c r="R808">
        <v>183.6386813</v>
      </c>
      <c r="S808">
        <v>0</v>
      </c>
      <c r="T808">
        <v>0.17799999999999999</v>
      </c>
      <c r="U808">
        <v>215.32</v>
      </c>
      <c r="V808" s="1" t="str">
        <f>IF(Energy_data_1990___2020[[#This Row],[CO2 emissions from fuel combustion (MtCO2)]]&gt;Energy_data_1990___2020[[#Totals],[CO2 emissions from fuel combustion (MtCO2)]],"Above Average","")</f>
        <v/>
      </c>
      <c r="W808" s="1">
        <f>SUM(Energy_data_1990___2020[[#This Row],[Coal and lignite production (Mt)]]-Energy_data_1990___2020[[#This Row],[Coal and lignite domestic consumption (Mt)]])</f>
        <v>31.681318699999991</v>
      </c>
    </row>
    <row r="809" spans="1:23">
      <c r="A809" t="s">
        <v>56</v>
      </c>
      <c r="B809">
        <v>1991</v>
      </c>
      <c r="C809" t="s">
        <v>30</v>
      </c>
      <c r="D809">
        <v>353.98620529999999</v>
      </c>
      <c r="E809">
        <v>3.505498657</v>
      </c>
      <c r="F809">
        <v>0.91596955499999999</v>
      </c>
      <c r="G809">
        <v>99.834761159999999</v>
      </c>
      <c r="H809">
        <v>100.9802713</v>
      </c>
      <c r="I809">
        <v>2.5936428290000002</v>
      </c>
      <c r="J809">
        <v>12.14869215</v>
      </c>
      <c r="K809">
        <v>12.574</v>
      </c>
      <c r="L809">
        <v>11.57</v>
      </c>
      <c r="M809">
        <v>4.3759974799999997</v>
      </c>
      <c r="N809">
        <v>10.95199197</v>
      </c>
      <c r="O809">
        <v>0.26129508099999998</v>
      </c>
      <c r="P809">
        <v>134.714</v>
      </c>
      <c r="Q809">
        <v>102.833</v>
      </c>
      <c r="R809">
        <v>183.1855912</v>
      </c>
      <c r="S809">
        <v>0</v>
      </c>
      <c r="T809">
        <v>0.17299999999999999</v>
      </c>
      <c r="U809">
        <v>209.78200000000001</v>
      </c>
      <c r="V809" s="1" t="str">
        <f>IF(Energy_data_1990___2020[[#This Row],[CO2 emissions from fuel combustion (MtCO2)]]&gt;Energy_data_1990___2020[[#Totals],[CO2 emissions from fuel combustion (MtCO2)]],"Above Average","")</f>
        <v/>
      </c>
      <c r="W809" s="1">
        <f>SUM(Energy_data_1990___2020[[#This Row],[Coal and lignite production (Mt)]]-Energy_data_1990___2020[[#This Row],[Coal and lignite domestic consumption (Mt)]])</f>
        <v>26.596408800000006</v>
      </c>
    </row>
    <row r="810" spans="1:23">
      <c r="A810" t="s">
        <v>56</v>
      </c>
      <c r="B810">
        <v>1992</v>
      </c>
      <c r="C810" t="s">
        <v>30</v>
      </c>
      <c r="D810">
        <v>345.3481918</v>
      </c>
      <c r="E810">
        <v>3.5040390000000001</v>
      </c>
      <c r="F810">
        <v>0.87169501400000005</v>
      </c>
      <c r="G810">
        <v>97.671924309999994</v>
      </c>
      <c r="H810">
        <v>98.557176979999994</v>
      </c>
      <c r="I810">
        <v>2.7728813560000001</v>
      </c>
      <c r="J810">
        <v>11.90720739</v>
      </c>
      <c r="K810">
        <v>12.867000000000001</v>
      </c>
      <c r="L810">
        <v>12.833</v>
      </c>
      <c r="M810">
        <v>4.2039970489999998</v>
      </c>
      <c r="N810">
        <v>10.564013599999999</v>
      </c>
      <c r="O810">
        <v>0.24876863900000001</v>
      </c>
      <c r="P810">
        <v>132.75</v>
      </c>
      <c r="Q810">
        <v>98.444000000000003</v>
      </c>
      <c r="R810">
        <v>174.24386749999999</v>
      </c>
      <c r="S810">
        <v>0</v>
      </c>
      <c r="T810">
        <v>0.218</v>
      </c>
      <c r="U810">
        <v>198.47200000000001</v>
      </c>
      <c r="V810" s="1" t="str">
        <f>IF(Energy_data_1990___2020[[#This Row],[CO2 emissions from fuel combustion (MtCO2)]]&gt;Energy_data_1990___2020[[#Totals],[CO2 emissions from fuel combustion (MtCO2)]],"Above Average","")</f>
        <v/>
      </c>
      <c r="W810" s="1">
        <f>SUM(Energy_data_1990___2020[[#This Row],[Coal and lignite production (Mt)]]-Energy_data_1990___2020[[#This Row],[Coal and lignite domestic consumption (Mt)]])</f>
        <v>24.228132500000015</v>
      </c>
    </row>
    <row r="811" spans="1:23">
      <c r="A811" t="s">
        <v>56</v>
      </c>
      <c r="B811">
        <v>1993</v>
      </c>
      <c r="C811" t="s">
        <v>30</v>
      </c>
      <c r="D811">
        <v>345.3000222</v>
      </c>
      <c r="E811">
        <v>3.4204396899999998</v>
      </c>
      <c r="F811">
        <v>0.84016543799999999</v>
      </c>
      <c r="G811">
        <v>97.357324770000005</v>
      </c>
      <c r="H811">
        <v>100.95193999999999</v>
      </c>
      <c r="I811">
        <v>2.7168757050000001</v>
      </c>
      <c r="J811">
        <v>11.232754829999999</v>
      </c>
      <c r="K811">
        <v>13.569000000000001</v>
      </c>
      <c r="L811">
        <v>13.821999999999999</v>
      </c>
      <c r="M811">
        <v>5.165999545</v>
      </c>
      <c r="N811">
        <v>10.817009199999999</v>
      </c>
      <c r="O811">
        <v>0.24563082899999999</v>
      </c>
      <c r="P811">
        <v>133.86699999999999</v>
      </c>
      <c r="Q811">
        <v>99.334999999999994</v>
      </c>
      <c r="R811">
        <v>175.8086649</v>
      </c>
      <c r="S811">
        <v>0</v>
      </c>
      <c r="T811">
        <v>0.25600000000000001</v>
      </c>
      <c r="U811">
        <v>198.584</v>
      </c>
      <c r="V811" s="1" t="str">
        <f>IF(Energy_data_1990___2020[[#This Row],[CO2 emissions from fuel combustion (MtCO2)]]&gt;Energy_data_1990___2020[[#Totals],[CO2 emissions from fuel combustion (MtCO2)]],"Above Average","")</f>
        <v/>
      </c>
      <c r="W811" s="1">
        <f>SUM(Energy_data_1990___2020[[#This Row],[Coal and lignite production (Mt)]]-Energy_data_1990___2020[[#This Row],[Coal and lignite domestic consumption (Mt)]])</f>
        <v>22.775335100000007</v>
      </c>
    </row>
    <row r="812" spans="1:23">
      <c r="A812" t="s">
        <v>56</v>
      </c>
      <c r="B812">
        <v>1994</v>
      </c>
      <c r="C812" t="s">
        <v>30</v>
      </c>
      <c r="D812">
        <v>338.37784449999998</v>
      </c>
      <c r="E812">
        <v>3.516984039</v>
      </c>
      <c r="F812">
        <v>0.78193641999999997</v>
      </c>
      <c r="G812">
        <v>97.436218080000003</v>
      </c>
      <c r="H812">
        <v>96.212505030000003</v>
      </c>
      <c r="I812">
        <v>2.8349353879999999</v>
      </c>
      <c r="J812">
        <v>11.41860288</v>
      </c>
      <c r="K812">
        <v>14</v>
      </c>
      <c r="L812">
        <v>13.643000000000001</v>
      </c>
      <c r="M812">
        <v>4.8889996580000004</v>
      </c>
      <c r="N812">
        <v>11.34001177</v>
      </c>
      <c r="O812">
        <v>0.222331524</v>
      </c>
      <c r="P812">
        <v>135.34700000000001</v>
      </c>
      <c r="Q812">
        <v>100.003</v>
      </c>
      <c r="R812">
        <v>170.72308620000001</v>
      </c>
      <c r="S812">
        <v>0</v>
      </c>
      <c r="T812">
        <v>0.32600000000000001</v>
      </c>
      <c r="U812">
        <v>200.703</v>
      </c>
      <c r="V812" s="1" t="str">
        <f>IF(Energy_data_1990___2020[[#This Row],[CO2 emissions from fuel combustion (MtCO2)]]&gt;Energy_data_1990___2020[[#Totals],[CO2 emissions from fuel combustion (MtCO2)]],"Above Average","")</f>
        <v/>
      </c>
      <c r="W812" s="1">
        <f>SUM(Energy_data_1990___2020[[#This Row],[Coal and lignite production (Mt)]]-Energy_data_1990___2020[[#This Row],[Coal and lignite domestic consumption (Mt)]])</f>
        <v>29.979913799999991</v>
      </c>
    </row>
    <row r="813" spans="1:23">
      <c r="A813" t="s">
        <v>56</v>
      </c>
      <c r="B813">
        <v>1995</v>
      </c>
      <c r="C813" t="s">
        <v>30</v>
      </c>
      <c r="D813">
        <v>338.94386109999999</v>
      </c>
      <c r="E813">
        <v>3.406567023</v>
      </c>
      <c r="F813">
        <v>0.73233361100000005</v>
      </c>
      <c r="G813">
        <v>99.366542600000002</v>
      </c>
      <c r="H813">
        <v>99.497194359999995</v>
      </c>
      <c r="I813">
        <v>2.8193027640000001</v>
      </c>
      <c r="J813">
        <v>11.685720359999999</v>
      </c>
      <c r="K813">
        <v>14.457000000000001</v>
      </c>
      <c r="L813">
        <v>13.683999999999999</v>
      </c>
      <c r="M813">
        <v>5.0659913479999998</v>
      </c>
      <c r="N813">
        <v>11.774002360000001</v>
      </c>
      <c r="O813">
        <v>0.21497701499999999</v>
      </c>
      <c r="P813">
        <v>139.006</v>
      </c>
      <c r="Q813">
        <v>103.81</v>
      </c>
      <c r="R813">
        <v>168.44932420000001</v>
      </c>
      <c r="S813">
        <v>0</v>
      </c>
      <c r="T813">
        <v>0.36499999999999999</v>
      </c>
      <c r="U813">
        <v>200.71299999999999</v>
      </c>
      <c r="V813" s="1" t="str">
        <f>IF(Energy_data_1990___2020[[#This Row],[CO2 emissions from fuel combustion (MtCO2)]]&gt;Energy_data_1990___2020[[#Totals],[CO2 emissions from fuel combustion (MtCO2)]],"Above Average","")</f>
        <v/>
      </c>
      <c r="W813" s="1">
        <f>SUM(Energy_data_1990___2020[[#This Row],[Coal and lignite production (Mt)]]-Energy_data_1990___2020[[#This Row],[Coal and lignite domestic consumption (Mt)]])</f>
        <v>32.263675799999987</v>
      </c>
    </row>
    <row r="814" spans="1:23">
      <c r="A814" t="s">
        <v>56</v>
      </c>
      <c r="B814">
        <v>1996</v>
      </c>
      <c r="C814" t="s">
        <v>30</v>
      </c>
      <c r="D814">
        <v>353.41338029999997</v>
      </c>
      <c r="E814">
        <v>3.4137217450000001</v>
      </c>
      <c r="F814">
        <v>0.71999018699999995</v>
      </c>
      <c r="G814">
        <v>98.96589093</v>
      </c>
      <c r="H814">
        <v>103.5272956</v>
      </c>
      <c r="I814">
        <v>2.8238564529999999</v>
      </c>
      <c r="J814">
        <v>11.69143863</v>
      </c>
      <c r="K814">
        <v>16.457999999999998</v>
      </c>
      <c r="L814">
        <v>15.079000000000001</v>
      </c>
      <c r="M814">
        <v>5.0150023340000001</v>
      </c>
      <c r="N814">
        <v>12.779981879999999</v>
      </c>
      <c r="O814">
        <v>0.21091062499999999</v>
      </c>
      <c r="P814">
        <v>143.173</v>
      </c>
      <c r="Q814">
        <v>107.29300000000001</v>
      </c>
      <c r="R814">
        <v>171.2560034</v>
      </c>
      <c r="S814">
        <v>7.1939300000000003E-4</v>
      </c>
      <c r="T814">
        <v>0.39400000000000002</v>
      </c>
      <c r="U814">
        <v>201.715</v>
      </c>
      <c r="V814" s="1" t="str">
        <f>IF(Energy_data_1990___2020[[#This Row],[CO2 emissions from fuel combustion (MtCO2)]]&gt;Energy_data_1990___2020[[#Totals],[CO2 emissions from fuel combustion (MtCO2)]],"Above Average","")</f>
        <v/>
      </c>
      <c r="W814" s="1">
        <f>SUM(Energy_data_1990___2020[[#This Row],[Coal and lignite production (Mt)]]-Energy_data_1990___2020[[#This Row],[Coal and lignite domestic consumption (Mt)]])</f>
        <v>30.458996600000006</v>
      </c>
    </row>
    <row r="815" spans="1:23">
      <c r="A815" t="s">
        <v>56</v>
      </c>
      <c r="B815">
        <v>1997</v>
      </c>
      <c r="C815" t="s">
        <v>30</v>
      </c>
      <c r="D815">
        <v>342.8916423</v>
      </c>
      <c r="E815">
        <v>3.3548182569999998</v>
      </c>
      <c r="F815">
        <v>0.65617044099999999</v>
      </c>
      <c r="G815">
        <v>100.0497953</v>
      </c>
      <c r="H815">
        <v>102.2087088</v>
      </c>
      <c r="I815">
        <v>2.7922123399999998</v>
      </c>
      <c r="J815">
        <v>12.118397099999999</v>
      </c>
      <c r="K815">
        <v>17.71</v>
      </c>
      <c r="L815">
        <v>15.586</v>
      </c>
      <c r="M815">
        <v>5.1010064709999998</v>
      </c>
      <c r="N815">
        <v>12.92998264</v>
      </c>
      <c r="O815">
        <v>0.19559045899999999</v>
      </c>
      <c r="P815">
        <v>142.79</v>
      </c>
      <c r="Q815">
        <v>108.851</v>
      </c>
      <c r="R815">
        <v>164.6162525</v>
      </c>
      <c r="S815">
        <v>1.4006579999999999E-3</v>
      </c>
      <c r="T815">
        <v>0.40300000000000002</v>
      </c>
      <c r="U815">
        <v>200.92400000000001</v>
      </c>
      <c r="V815" s="1" t="str">
        <f>IF(Energy_data_1990___2020[[#This Row],[CO2 emissions from fuel combustion (MtCO2)]]&gt;Energy_data_1990___2020[[#Totals],[CO2 emissions from fuel combustion (MtCO2)]],"Above Average","")</f>
        <v/>
      </c>
      <c r="W815" s="1">
        <f>SUM(Energy_data_1990___2020[[#This Row],[Coal and lignite production (Mt)]]-Energy_data_1990___2020[[#This Row],[Coal and lignite domestic consumption (Mt)]])</f>
        <v>36.307747500000005</v>
      </c>
    </row>
    <row r="816" spans="1:23">
      <c r="A816" t="s">
        <v>56</v>
      </c>
      <c r="B816">
        <v>1998</v>
      </c>
      <c r="C816" t="s">
        <v>30</v>
      </c>
      <c r="D816">
        <v>317.29720200000003</v>
      </c>
      <c r="E816">
        <v>3.3283795199999999</v>
      </c>
      <c r="F816">
        <v>0.58040739799999996</v>
      </c>
      <c r="G816">
        <v>87.374004569999997</v>
      </c>
      <c r="H816">
        <v>95.330835960000002</v>
      </c>
      <c r="I816">
        <v>3.1872203039999998</v>
      </c>
      <c r="J816">
        <v>13.10975517</v>
      </c>
      <c r="K816">
        <v>18.260000000000002</v>
      </c>
      <c r="L816">
        <v>16.681999999999999</v>
      </c>
      <c r="M816">
        <v>5.1180062380000004</v>
      </c>
      <c r="N816">
        <v>12.796007680000001</v>
      </c>
      <c r="O816">
        <v>0.17438137500000001</v>
      </c>
      <c r="P816">
        <v>142.78899999999999</v>
      </c>
      <c r="Q816">
        <v>108.661</v>
      </c>
      <c r="R816">
        <v>151.9272253</v>
      </c>
      <c r="S816">
        <v>2.8013360000000002E-3</v>
      </c>
      <c r="T816">
        <v>0.55600000000000005</v>
      </c>
      <c r="U816">
        <v>178.54599999999999</v>
      </c>
      <c r="V816" s="1" t="str">
        <f>IF(Energy_data_1990___2020[[#This Row],[CO2 emissions from fuel combustion (MtCO2)]]&gt;Energy_data_1990___2020[[#Totals],[CO2 emissions from fuel combustion (MtCO2)]],"Above Average","")</f>
        <v/>
      </c>
      <c r="W816" s="1">
        <f>SUM(Energy_data_1990___2020[[#This Row],[Coal and lignite production (Mt)]]-Energy_data_1990___2020[[#This Row],[Coal and lignite domestic consumption (Mt)]])</f>
        <v>26.618774699999989</v>
      </c>
    </row>
    <row r="817" spans="1:23">
      <c r="A817" t="s">
        <v>56</v>
      </c>
      <c r="B817">
        <v>1999</v>
      </c>
      <c r="C817" t="s">
        <v>30</v>
      </c>
      <c r="D817">
        <v>308.91869129999998</v>
      </c>
      <c r="E817">
        <v>3.3287551240000002</v>
      </c>
      <c r="F817">
        <v>0.54001361800000003</v>
      </c>
      <c r="G817">
        <v>83.681156619999996</v>
      </c>
      <c r="H817">
        <v>92.803068949999997</v>
      </c>
      <c r="I817">
        <v>3.1513846669999999</v>
      </c>
      <c r="J817">
        <v>13.347069790000001</v>
      </c>
      <c r="K817">
        <v>18.881</v>
      </c>
      <c r="L817">
        <v>17.559000000000001</v>
      </c>
      <c r="M817">
        <v>4.9739950439999996</v>
      </c>
      <c r="N817">
        <v>12.328986199999999</v>
      </c>
      <c r="O817">
        <v>0.16222689800000001</v>
      </c>
      <c r="P817">
        <v>142.12799999999999</v>
      </c>
      <c r="Q817">
        <v>107.026</v>
      </c>
      <c r="R817">
        <v>146.27340229999999</v>
      </c>
      <c r="S817">
        <v>2.8143650000000001E-3</v>
      </c>
      <c r="T817">
        <v>0.61499999999999999</v>
      </c>
      <c r="U817">
        <v>171.06299999999999</v>
      </c>
      <c r="V817" s="1" t="str">
        <f>IF(Energy_data_1990___2020[[#This Row],[CO2 emissions from fuel combustion (MtCO2)]]&gt;Energy_data_1990___2020[[#Totals],[CO2 emissions from fuel combustion (MtCO2)]],"Above Average","")</f>
        <v/>
      </c>
      <c r="W817" s="1">
        <f>SUM(Energy_data_1990___2020[[#This Row],[Coal and lignite production (Mt)]]-Energy_data_1990___2020[[#This Row],[Coal and lignite domestic consumption (Mt)]])</f>
        <v>24.789597700000002</v>
      </c>
    </row>
    <row r="818" spans="1:23">
      <c r="A818" t="s">
        <v>56</v>
      </c>
      <c r="B818">
        <v>2000</v>
      </c>
      <c r="C818" t="s">
        <v>30</v>
      </c>
      <c r="D818">
        <v>295.89984170000002</v>
      </c>
      <c r="E818">
        <v>3.327060393</v>
      </c>
      <c r="F818">
        <v>0.49470071700000001</v>
      </c>
      <c r="G818">
        <v>79.434113440000004</v>
      </c>
      <c r="H818">
        <v>88.93732206</v>
      </c>
      <c r="I818">
        <v>2.9906876790000001</v>
      </c>
      <c r="J818">
        <v>14.25134647</v>
      </c>
      <c r="K818">
        <v>18.585999999999999</v>
      </c>
      <c r="L818">
        <v>18.43</v>
      </c>
      <c r="M818">
        <v>5.224007565</v>
      </c>
      <c r="N818">
        <v>13.345997860000001</v>
      </c>
      <c r="O818">
        <v>0.148690032</v>
      </c>
      <c r="P818">
        <v>145.184</v>
      </c>
      <c r="Q818">
        <v>108.818</v>
      </c>
      <c r="R818">
        <v>141.29300000000001</v>
      </c>
      <c r="S818">
        <v>3.4439060000000001E-3</v>
      </c>
      <c r="T818">
        <v>0.89800000000000002</v>
      </c>
      <c r="U818">
        <v>162.815</v>
      </c>
      <c r="V818" s="1" t="str">
        <f>IF(Energy_data_1990___2020[[#This Row],[CO2 emissions from fuel combustion (MtCO2)]]&gt;Energy_data_1990___2020[[#Totals],[CO2 emissions from fuel combustion (MtCO2)]],"Above Average","")</f>
        <v/>
      </c>
      <c r="W818" s="1">
        <f>SUM(Energy_data_1990___2020[[#This Row],[Coal and lignite production (Mt)]]-Energy_data_1990___2020[[#This Row],[Coal and lignite domestic consumption (Mt)]])</f>
        <v>21.521999999999991</v>
      </c>
    </row>
    <row r="819" spans="1:23">
      <c r="A819" t="s">
        <v>56</v>
      </c>
      <c r="B819">
        <v>2001</v>
      </c>
      <c r="C819" t="s">
        <v>30</v>
      </c>
      <c r="D819">
        <v>295.49082420000002</v>
      </c>
      <c r="E819">
        <v>3.3000809019999999</v>
      </c>
      <c r="F819">
        <v>0.48792773699999997</v>
      </c>
      <c r="G819">
        <v>80.106924030000002</v>
      </c>
      <c r="H819">
        <v>89.540478840000006</v>
      </c>
      <c r="I819">
        <v>3.2125590590000002</v>
      </c>
      <c r="J819">
        <v>14.292991949999999</v>
      </c>
      <c r="K819">
        <v>18.18</v>
      </c>
      <c r="L819">
        <v>18.396000000000001</v>
      </c>
      <c r="M819">
        <v>5.4619944389999997</v>
      </c>
      <c r="N819">
        <v>13.63500305</v>
      </c>
      <c r="O819">
        <v>0.14785326500000001</v>
      </c>
      <c r="P819">
        <v>145.61600000000001</v>
      </c>
      <c r="Q819">
        <v>109.139</v>
      </c>
      <c r="R819">
        <v>140.62012770000001</v>
      </c>
      <c r="S819">
        <v>9.6143280000000001E-3</v>
      </c>
      <c r="T819">
        <v>1.016</v>
      </c>
      <c r="U819">
        <v>163.54400000000001</v>
      </c>
      <c r="V819" s="1" t="str">
        <f>IF(Energy_data_1990___2020[[#This Row],[CO2 emissions from fuel combustion (MtCO2)]]&gt;Energy_data_1990___2020[[#Totals],[CO2 emissions from fuel combustion (MtCO2)]],"Above Average","")</f>
        <v/>
      </c>
      <c r="W819" s="1">
        <f>SUM(Energy_data_1990___2020[[#This Row],[Coal and lignite production (Mt)]]-Energy_data_1990___2020[[#This Row],[Coal and lignite domestic consumption (Mt)]])</f>
        <v>22.923872299999999</v>
      </c>
    </row>
    <row r="820" spans="1:23">
      <c r="A820" t="s">
        <v>56</v>
      </c>
      <c r="B820">
        <v>2002</v>
      </c>
      <c r="C820" t="s">
        <v>30</v>
      </c>
      <c r="D820">
        <v>288.85821140000002</v>
      </c>
      <c r="E820">
        <v>3.2578841089999999</v>
      </c>
      <c r="F820">
        <v>0.46743248500000001</v>
      </c>
      <c r="G820">
        <v>80.023898959999997</v>
      </c>
      <c r="H820">
        <v>88.664360569999999</v>
      </c>
      <c r="I820">
        <v>3.048721258</v>
      </c>
      <c r="J820">
        <v>14.279750719999999</v>
      </c>
      <c r="K820">
        <v>18.120999999999999</v>
      </c>
      <c r="L820">
        <v>17.577000000000002</v>
      </c>
      <c r="M820">
        <v>5.5519999459999996</v>
      </c>
      <c r="N820">
        <v>13.42199359</v>
      </c>
      <c r="O820">
        <v>0.14347732099999999</v>
      </c>
      <c r="P820">
        <v>144.126</v>
      </c>
      <c r="Q820">
        <v>107.657</v>
      </c>
      <c r="R820">
        <v>136.54846420000001</v>
      </c>
      <c r="S820">
        <v>4.2324078000000001E-2</v>
      </c>
      <c r="T820">
        <v>0.99199999999999999</v>
      </c>
      <c r="U820">
        <v>161.91499999999999</v>
      </c>
      <c r="V820" s="1" t="str">
        <f>IF(Energy_data_1990___2020[[#This Row],[CO2 emissions from fuel combustion (MtCO2)]]&gt;Energy_data_1990___2020[[#Totals],[CO2 emissions from fuel combustion (MtCO2)]],"Above Average","")</f>
        <v/>
      </c>
      <c r="W820" s="1">
        <f>SUM(Energy_data_1990___2020[[#This Row],[Coal and lignite production (Mt)]]-Energy_data_1990___2020[[#This Row],[Coal and lignite domestic consumption (Mt)]])</f>
        <v>25.36653579999998</v>
      </c>
    </row>
    <row r="821" spans="1:23">
      <c r="A821" t="s">
        <v>56</v>
      </c>
      <c r="B821">
        <v>2003</v>
      </c>
      <c r="C821" t="s">
        <v>30</v>
      </c>
      <c r="D821">
        <v>301.16916220000002</v>
      </c>
      <c r="E821">
        <v>3.3133740239999998</v>
      </c>
      <c r="F821">
        <v>0.47058960700000002</v>
      </c>
      <c r="G821">
        <v>79.672950380000003</v>
      </c>
      <c r="H821">
        <v>90.895009139999999</v>
      </c>
      <c r="I821">
        <v>2.5535675420000001</v>
      </c>
      <c r="J821">
        <v>14.35850559</v>
      </c>
      <c r="K821">
        <v>19.084</v>
      </c>
      <c r="L821">
        <v>17.974</v>
      </c>
      <c r="M821">
        <v>5.6260046619999997</v>
      </c>
      <c r="N821">
        <v>14.66399912</v>
      </c>
      <c r="O821">
        <v>0.14202731199999999</v>
      </c>
      <c r="P821">
        <v>151.631</v>
      </c>
      <c r="Q821">
        <v>111.462</v>
      </c>
      <c r="R821">
        <v>140.6779836</v>
      </c>
      <c r="S821">
        <v>8.1777473000000003E-2</v>
      </c>
      <c r="T821">
        <v>0.95799999999999996</v>
      </c>
      <c r="U821">
        <v>163.79400000000001</v>
      </c>
      <c r="V821" s="1" t="str">
        <f>IF(Energy_data_1990___2020[[#This Row],[CO2 emissions from fuel combustion (MtCO2)]]&gt;Energy_data_1990___2020[[#Totals],[CO2 emissions from fuel combustion (MtCO2)]],"Above Average","")</f>
        <v/>
      </c>
      <c r="W821" s="1">
        <f>SUM(Energy_data_1990___2020[[#This Row],[Coal and lignite production (Mt)]]-Energy_data_1990___2020[[#This Row],[Coal and lignite domestic consumption (Mt)]])</f>
        <v>23.116016400000007</v>
      </c>
    </row>
    <row r="822" spans="1:23">
      <c r="A822" t="s">
        <v>56</v>
      </c>
      <c r="B822">
        <v>2004</v>
      </c>
      <c r="C822" t="s">
        <v>30</v>
      </c>
      <c r="D822">
        <v>303.55450580000002</v>
      </c>
      <c r="E822">
        <v>3.3299353599999999</v>
      </c>
      <c r="F822">
        <v>0.451147513</v>
      </c>
      <c r="G822">
        <v>78.684495749999996</v>
      </c>
      <c r="H822">
        <v>91.159278779999994</v>
      </c>
      <c r="I822">
        <v>3.1240472499999998</v>
      </c>
      <c r="J822">
        <v>14.413293790000001</v>
      </c>
      <c r="K822">
        <v>20.218</v>
      </c>
      <c r="L822">
        <v>18.530999999999999</v>
      </c>
      <c r="M822">
        <v>5.9390034590000003</v>
      </c>
      <c r="N822">
        <v>15.533000660000001</v>
      </c>
      <c r="O822">
        <v>0.13548236399999999</v>
      </c>
      <c r="P822">
        <v>154.15899999999999</v>
      </c>
      <c r="Q822">
        <v>114.798</v>
      </c>
      <c r="R822">
        <v>139.59700000000001</v>
      </c>
      <c r="S822">
        <v>0.232227765</v>
      </c>
      <c r="T822">
        <v>1.0960000000000001</v>
      </c>
      <c r="U822">
        <v>162.428</v>
      </c>
      <c r="V822" s="1" t="str">
        <f>IF(Energy_data_1990___2020[[#This Row],[CO2 emissions from fuel combustion (MtCO2)]]&gt;Energy_data_1990___2020[[#Totals],[CO2 emissions from fuel combustion (MtCO2)]],"Above Average","")</f>
        <v/>
      </c>
      <c r="W822" s="1">
        <f>SUM(Energy_data_1990___2020[[#This Row],[Coal and lignite production (Mt)]]-Energy_data_1990___2020[[#This Row],[Coal and lignite domestic consumption (Mt)]])</f>
        <v>22.830999999999989</v>
      </c>
    </row>
    <row r="823" spans="1:23">
      <c r="A823" t="s">
        <v>56</v>
      </c>
      <c r="B823">
        <v>2005</v>
      </c>
      <c r="C823" t="s">
        <v>30</v>
      </c>
      <c r="D823">
        <v>303.66216279999998</v>
      </c>
      <c r="E823">
        <v>3.2879626599999998</v>
      </c>
      <c r="F823">
        <v>0.43607258799999998</v>
      </c>
      <c r="G823">
        <v>78.575848519999994</v>
      </c>
      <c r="H823">
        <v>92.355721220000007</v>
      </c>
      <c r="I823">
        <v>3.4561859610000001</v>
      </c>
      <c r="J823">
        <v>14.4262313</v>
      </c>
      <c r="K823">
        <v>20.788</v>
      </c>
      <c r="L823">
        <v>18.457000000000001</v>
      </c>
      <c r="M823">
        <v>6.0569900079999996</v>
      </c>
      <c r="N823">
        <v>16.231009279999999</v>
      </c>
      <c r="O823">
        <v>0.132626989</v>
      </c>
      <c r="P823">
        <v>156.93600000000001</v>
      </c>
      <c r="Q823">
        <v>115.65900000000001</v>
      </c>
      <c r="R823">
        <v>137.24092060000001</v>
      </c>
      <c r="S823">
        <v>0.24404852899999999</v>
      </c>
      <c r="T823">
        <v>1.1000000000000001</v>
      </c>
      <c r="U823">
        <v>159.54</v>
      </c>
      <c r="V823" s="1" t="str">
        <f>IF(Energy_data_1990___2020[[#This Row],[CO2 emissions from fuel combustion (MtCO2)]]&gt;Energy_data_1990___2020[[#Totals],[CO2 emissions from fuel combustion (MtCO2)]],"Above Average","")</f>
        <v/>
      </c>
      <c r="W823" s="1">
        <f>SUM(Energy_data_1990___2020[[#This Row],[Coal and lignite production (Mt)]]-Energy_data_1990___2020[[#This Row],[Coal and lignite domestic consumption (Mt)]])</f>
        <v>22.299079399999982</v>
      </c>
    </row>
    <row r="824" spans="1:23">
      <c r="A824" t="s">
        <v>56</v>
      </c>
      <c r="B824">
        <v>2006</v>
      </c>
      <c r="C824" t="s">
        <v>30</v>
      </c>
      <c r="D824">
        <v>316.75883440000001</v>
      </c>
      <c r="E824">
        <v>3.2648890509999999</v>
      </c>
      <c r="F824">
        <v>0.42840604300000001</v>
      </c>
      <c r="G824">
        <v>77.571949180000004</v>
      </c>
      <c r="H824">
        <v>97.019785200000001</v>
      </c>
      <c r="I824">
        <v>3.257657257</v>
      </c>
      <c r="J824">
        <v>14.464777679999999</v>
      </c>
      <c r="K824">
        <v>21.988</v>
      </c>
      <c r="L824">
        <v>21.047000000000001</v>
      </c>
      <c r="M824">
        <v>5.99499183</v>
      </c>
      <c r="N824">
        <v>16.18498241</v>
      </c>
      <c r="O824">
        <v>0.131216111</v>
      </c>
      <c r="P824">
        <v>161.74199999999999</v>
      </c>
      <c r="Q824">
        <v>121.279</v>
      </c>
      <c r="R824">
        <v>140.23803119999999</v>
      </c>
      <c r="S824">
        <v>0.31408044899999998</v>
      </c>
      <c r="T824">
        <v>1.032</v>
      </c>
      <c r="U824">
        <v>156.06700000000001</v>
      </c>
      <c r="V824" s="1" t="str">
        <f>IF(Energy_data_1990___2020[[#This Row],[CO2 emissions from fuel combustion (MtCO2)]]&gt;Energy_data_1990___2020[[#Totals],[CO2 emissions from fuel combustion (MtCO2)]],"Above Average","")</f>
        <v/>
      </c>
      <c r="W824" s="1">
        <f>SUM(Energy_data_1990___2020[[#This Row],[Coal and lignite production (Mt)]]-Energy_data_1990___2020[[#This Row],[Coal and lignite domestic consumption (Mt)]])</f>
        <v>15.828968800000013</v>
      </c>
    </row>
    <row r="825" spans="1:23">
      <c r="A825" t="s">
        <v>56</v>
      </c>
      <c r="B825">
        <v>2007</v>
      </c>
      <c r="C825" t="s">
        <v>30</v>
      </c>
      <c r="D825">
        <v>314.32156709999998</v>
      </c>
      <c r="E825">
        <v>3.255405761</v>
      </c>
      <c r="F825">
        <v>0.397169524</v>
      </c>
      <c r="G825">
        <v>72.457121029999996</v>
      </c>
      <c r="H825">
        <v>96.55372946</v>
      </c>
      <c r="I825">
        <v>3.77601225</v>
      </c>
      <c r="J825">
        <v>14.828288110000001</v>
      </c>
      <c r="K825">
        <v>22.984999999999999</v>
      </c>
      <c r="L825">
        <v>21.716000000000001</v>
      </c>
      <c r="M825">
        <v>6.0399902709999997</v>
      </c>
      <c r="N825">
        <v>16.158984839999999</v>
      </c>
      <c r="O825">
        <v>0.122003078</v>
      </c>
      <c r="P825">
        <v>159.34800000000001</v>
      </c>
      <c r="Q825">
        <v>124.741</v>
      </c>
      <c r="R825">
        <v>137.32583869999999</v>
      </c>
      <c r="S825">
        <v>0.43803499299999998</v>
      </c>
      <c r="T825">
        <v>0.94399999999999995</v>
      </c>
      <c r="U825">
        <v>145.85</v>
      </c>
      <c r="V825" s="1" t="str">
        <f>IF(Energy_data_1990___2020[[#This Row],[CO2 emissions from fuel combustion (MtCO2)]]&gt;Energy_data_1990___2020[[#Totals],[CO2 emissions from fuel combustion (MtCO2)]],"Above Average","")</f>
        <v/>
      </c>
      <c r="W825" s="1">
        <f>SUM(Energy_data_1990___2020[[#This Row],[Coal and lignite production (Mt)]]-Energy_data_1990___2020[[#This Row],[Coal and lignite domestic consumption (Mt)]])</f>
        <v>8.5241613000000029</v>
      </c>
    </row>
    <row r="826" spans="1:23">
      <c r="A826" t="s">
        <v>56</v>
      </c>
      <c r="B826">
        <v>2008</v>
      </c>
      <c r="C826" t="s">
        <v>30</v>
      </c>
      <c r="D826">
        <v>311.19435140000002</v>
      </c>
      <c r="E826">
        <v>3.1736657410000002</v>
      </c>
      <c r="F826">
        <v>0.37718899099999997</v>
      </c>
      <c r="G826">
        <v>71.301340999999994</v>
      </c>
      <c r="H826">
        <v>98.055175570000003</v>
      </c>
      <c r="I826">
        <v>4.6379704449999997</v>
      </c>
      <c r="J826">
        <v>15.061638609999999</v>
      </c>
      <c r="K826">
        <v>23.32</v>
      </c>
      <c r="L826">
        <v>21.97</v>
      </c>
      <c r="M826">
        <v>5.750004187</v>
      </c>
      <c r="N826">
        <v>16.288008399999999</v>
      </c>
      <c r="O826">
        <v>0.118849627</v>
      </c>
      <c r="P826">
        <v>155.30500000000001</v>
      </c>
      <c r="Q826">
        <v>127.35</v>
      </c>
      <c r="R826">
        <v>134.62013279999999</v>
      </c>
      <c r="S826">
        <v>0.54409065999999995</v>
      </c>
      <c r="T826">
        <v>1.0189999999999999</v>
      </c>
      <c r="U826">
        <v>144.01300000000001</v>
      </c>
      <c r="V826" s="1" t="str">
        <f>IF(Energy_data_1990___2020[[#This Row],[CO2 emissions from fuel combustion (MtCO2)]]&gt;Energy_data_1990___2020[[#Totals],[CO2 emissions from fuel combustion (MtCO2)]],"Above Average","")</f>
        <v/>
      </c>
      <c r="W826" s="1">
        <f>SUM(Energy_data_1990___2020[[#This Row],[Coal and lignite production (Mt)]]-Energy_data_1990___2020[[#This Row],[Coal and lignite domestic consumption (Mt)]])</f>
        <v>9.392867200000012</v>
      </c>
    </row>
    <row r="827" spans="1:23">
      <c r="A827" t="s">
        <v>56</v>
      </c>
      <c r="B827">
        <v>2009</v>
      </c>
      <c r="C827" t="s">
        <v>30</v>
      </c>
      <c r="D827">
        <v>299.52479080000001</v>
      </c>
      <c r="E827">
        <v>3.1744262270000001</v>
      </c>
      <c r="F827">
        <v>0.35308671699999999</v>
      </c>
      <c r="G827">
        <v>67.417873729999997</v>
      </c>
      <c r="H827">
        <v>94.355568349999999</v>
      </c>
      <c r="I827">
        <v>6.1145531240000004</v>
      </c>
      <c r="J827">
        <v>14.7481217</v>
      </c>
      <c r="K827">
        <v>23.457999999999998</v>
      </c>
      <c r="L827">
        <v>22.006</v>
      </c>
      <c r="M827">
        <v>5.8620028030000002</v>
      </c>
      <c r="N827">
        <v>15.99000886</v>
      </c>
      <c r="O827">
        <v>0.111228516</v>
      </c>
      <c r="P827">
        <v>151.72</v>
      </c>
      <c r="Q827">
        <v>122.303</v>
      </c>
      <c r="R827">
        <v>127.52991</v>
      </c>
      <c r="S827">
        <v>0.71513313999999994</v>
      </c>
      <c r="T827">
        <v>0.93100000000000005</v>
      </c>
      <c r="U827">
        <v>135.172</v>
      </c>
      <c r="V827" s="1" t="str">
        <f>IF(Energy_data_1990___2020[[#This Row],[CO2 emissions from fuel combustion (MtCO2)]]&gt;Energy_data_1990___2020[[#Totals],[CO2 emissions from fuel combustion (MtCO2)]],"Above Average","")</f>
        <v/>
      </c>
      <c r="W827" s="1">
        <f>SUM(Energy_data_1990___2020[[#This Row],[Coal and lignite production (Mt)]]-Energy_data_1990___2020[[#This Row],[Coal and lignite domestic consumption (Mt)]])</f>
        <v>7.6420899999999961</v>
      </c>
    </row>
    <row r="828" spans="1:23">
      <c r="A828" t="s">
        <v>56</v>
      </c>
      <c r="B828">
        <v>2010</v>
      </c>
      <c r="C828" t="s">
        <v>30</v>
      </c>
      <c r="D828">
        <v>318.0202539</v>
      </c>
      <c r="E828">
        <v>3.1561203529999999</v>
      </c>
      <c r="F828">
        <v>0.36183834500000001</v>
      </c>
      <c r="G828">
        <v>67.388222369999994</v>
      </c>
      <c r="H828">
        <v>100.76303129999999</v>
      </c>
      <c r="I828">
        <v>7.2664074540000003</v>
      </c>
      <c r="J828">
        <v>14.484812079999999</v>
      </c>
      <c r="K828">
        <v>24.52</v>
      </c>
      <c r="L828">
        <v>23.562999999999999</v>
      </c>
      <c r="M828">
        <v>6.0790072430000004</v>
      </c>
      <c r="N828">
        <v>17.155017699999998</v>
      </c>
      <c r="O828">
        <v>0.11464656099999999</v>
      </c>
      <c r="P828">
        <v>157.65700000000001</v>
      </c>
      <c r="Q828">
        <v>129.42400000000001</v>
      </c>
      <c r="R828">
        <v>133.50097049999999</v>
      </c>
      <c r="S828">
        <v>1.05989585</v>
      </c>
      <c r="T828">
        <v>1.0429999999999999</v>
      </c>
      <c r="U828">
        <v>133.238</v>
      </c>
      <c r="V828" s="1" t="str">
        <f>IF(Energy_data_1990___2020[[#This Row],[CO2 emissions from fuel combustion (MtCO2)]]&gt;Energy_data_1990___2020[[#Totals],[CO2 emissions from fuel combustion (MtCO2)]],"Above Average","")</f>
        <v/>
      </c>
      <c r="W828" s="1">
        <f>SUM(Energy_data_1990___2020[[#This Row],[Coal and lignite production (Mt)]]-Energy_data_1990___2020[[#This Row],[Coal and lignite domestic consumption (Mt)]])</f>
        <v>-0.26297049999999444</v>
      </c>
    </row>
    <row r="829" spans="1:23">
      <c r="A829" t="s">
        <v>56</v>
      </c>
      <c r="B829">
        <v>2011</v>
      </c>
      <c r="C829" t="s">
        <v>30</v>
      </c>
      <c r="D829">
        <v>313.51723659999999</v>
      </c>
      <c r="E829">
        <v>3.096395105</v>
      </c>
      <c r="F829">
        <v>0.33967270500000002</v>
      </c>
      <c r="G829">
        <v>68.387008230000006</v>
      </c>
      <c r="H829">
        <v>101.2523357</v>
      </c>
      <c r="I829">
        <v>8.2954239730000001</v>
      </c>
      <c r="J829">
        <v>15.1297505</v>
      </c>
      <c r="K829">
        <v>24.187999999999999</v>
      </c>
      <c r="L829">
        <v>24.777999999999999</v>
      </c>
      <c r="M829">
        <v>6.2469915240000002</v>
      </c>
      <c r="N829">
        <v>17.178022330000001</v>
      </c>
      <c r="O829">
        <v>0.109699407</v>
      </c>
      <c r="P829">
        <v>163.548</v>
      </c>
      <c r="Q829">
        <v>132.38800000000001</v>
      </c>
      <c r="R829">
        <v>137.07263090000001</v>
      </c>
      <c r="S829">
        <v>1.964560863</v>
      </c>
      <c r="T829">
        <v>0.90400000000000003</v>
      </c>
      <c r="U829">
        <v>139.28899999999999</v>
      </c>
      <c r="V829" s="1" t="str">
        <f>IF(Energy_data_1990___2020[[#This Row],[CO2 emissions from fuel combustion (MtCO2)]]&gt;Energy_data_1990___2020[[#Totals],[CO2 emissions from fuel combustion (MtCO2)]],"Above Average","")</f>
        <v/>
      </c>
      <c r="W829" s="1">
        <f>SUM(Energy_data_1990___2020[[#This Row],[Coal and lignite production (Mt)]]-Energy_data_1990___2020[[#This Row],[Coal and lignite domestic consumption (Mt)]])</f>
        <v>2.2163690999999801</v>
      </c>
    </row>
    <row r="830" spans="1:23">
      <c r="A830" t="s">
        <v>56</v>
      </c>
      <c r="B830">
        <v>2012</v>
      </c>
      <c r="C830" t="s">
        <v>30</v>
      </c>
      <c r="D830">
        <v>307.62516099999999</v>
      </c>
      <c r="E830">
        <v>3.1363467470000002</v>
      </c>
      <c r="F830">
        <v>0.328014904</v>
      </c>
      <c r="G830">
        <v>71.73951744</v>
      </c>
      <c r="H830">
        <v>98.083912850000004</v>
      </c>
      <c r="I830">
        <v>10.67417463</v>
      </c>
      <c r="J830">
        <v>15.339913559999999</v>
      </c>
      <c r="K830">
        <v>22.907</v>
      </c>
      <c r="L830">
        <v>25.625</v>
      </c>
      <c r="M830">
        <v>6.3170041640000001</v>
      </c>
      <c r="N830">
        <v>18.096985719999999</v>
      </c>
      <c r="O830">
        <v>0.104585025</v>
      </c>
      <c r="P830">
        <v>162.13900000000001</v>
      </c>
      <c r="Q830">
        <v>133.27799999999999</v>
      </c>
      <c r="R830">
        <v>135.22584560000001</v>
      </c>
      <c r="S830">
        <v>2.9332856380000001</v>
      </c>
      <c r="T830">
        <v>1.0920000000000001</v>
      </c>
      <c r="U830">
        <v>144.09299999999999</v>
      </c>
      <c r="V830" s="1" t="str">
        <f>IF(Energy_data_1990___2020[[#This Row],[CO2 emissions from fuel combustion (MtCO2)]]&gt;Energy_data_1990___2020[[#Totals],[CO2 emissions from fuel combustion (MtCO2)]],"Above Average","")</f>
        <v/>
      </c>
      <c r="W830" s="1">
        <f>SUM(Energy_data_1990___2020[[#This Row],[Coal and lignite production (Mt)]]-Energy_data_1990___2020[[#This Row],[Coal and lignite domestic consumption (Mt)]])</f>
        <v>8.8671543999999756</v>
      </c>
    </row>
    <row r="831" spans="1:23">
      <c r="A831" t="s">
        <v>56</v>
      </c>
      <c r="B831">
        <v>2013</v>
      </c>
      <c r="C831" t="s">
        <v>30</v>
      </c>
      <c r="D831">
        <v>304.77683539999998</v>
      </c>
      <c r="E831">
        <v>3.1039786720000002</v>
      </c>
      <c r="F831">
        <v>0.32051654400000001</v>
      </c>
      <c r="G831">
        <v>71.487298440000004</v>
      </c>
      <c r="H831">
        <v>98.189088139999996</v>
      </c>
      <c r="I831">
        <v>10.709077649999999</v>
      </c>
      <c r="J831">
        <v>15.766550860000001</v>
      </c>
      <c r="K831">
        <v>21.460999999999999</v>
      </c>
      <c r="L831">
        <v>24.893000000000001</v>
      </c>
      <c r="M831">
        <v>6.2059941170000004</v>
      </c>
      <c r="N831">
        <v>18.228977780000001</v>
      </c>
      <c r="O831">
        <v>0.103259905</v>
      </c>
      <c r="P831">
        <v>164.58</v>
      </c>
      <c r="Q831">
        <v>134.48099999999999</v>
      </c>
      <c r="R831">
        <v>136.88200000000001</v>
      </c>
      <c r="S831">
        <v>3.6535423499999999</v>
      </c>
      <c r="T831">
        <v>1.5009999999999999</v>
      </c>
      <c r="U831">
        <v>142.86600000000001</v>
      </c>
      <c r="V831" s="1" t="str">
        <f>IF(Energy_data_1990___2020[[#This Row],[CO2 emissions from fuel combustion (MtCO2)]]&gt;Energy_data_1990___2020[[#Totals],[CO2 emissions from fuel combustion (MtCO2)]],"Above Average","")</f>
        <v/>
      </c>
      <c r="W831" s="1">
        <f>SUM(Energy_data_1990___2020[[#This Row],[Coal and lignite production (Mt)]]-Energy_data_1990___2020[[#This Row],[Coal and lignite domestic consumption (Mt)]])</f>
        <v>5.9840000000000089</v>
      </c>
    </row>
    <row r="832" spans="1:23">
      <c r="A832" t="s">
        <v>56</v>
      </c>
      <c r="B832">
        <v>2014</v>
      </c>
      <c r="C832" t="s">
        <v>30</v>
      </c>
      <c r="D832">
        <v>291.7762098</v>
      </c>
      <c r="E832">
        <v>3.0828690910000001</v>
      </c>
      <c r="F832">
        <v>0.29698909400000001</v>
      </c>
      <c r="G832">
        <v>67.902386829999998</v>
      </c>
      <c r="H832">
        <v>94.644372230000002</v>
      </c>
      <c r="I832">
        <v>12.82165737</v>
      </c>
      <c r="J832">
        <v>16.355307499999999</v>
      </c>
      <c r="K832">
        <v>21.405000000000001</v>
      </c>
      <c r="L832">
        <v>24.812000000000001</v>
      </c>
      <c r="M832">
        <v>6.0800103820000002</v>
      </c>
      <c r="N832">
        <v>17.657984970000001</v>
      </c>
      <c r="O832">
        <v>9.6335292000000003E-2</v>
      </c>
      <c r="P832">
        <v>159.059</v>
      </c>
      <c r="Q832">
        <v>136.30799999999999</v>
      </c>
      <c r="R832">
        <v>130.47499999999999</v>
      </c>
      <c r="S832">
        <v>4.8353126829999997</v>
      </c>
      <c r="T832">
        <v>1.4930000000000001</v>
      </c>
      <c r="U832">
        <v>137.148</v>
      </c>
      <c r="V832" s="1" t="str">
        <f>IF(Energy_data_1990___2020[[#This Row],[CO2 emissions from fuel combustion (MtCO2)]]&gt;Energy_data_1990___2020[[#Totals],[CO2 emissions from fuel combustion (MtCO2)]],"Above Average","")</f>
        <v/>
      </c>
      <c r="W832" s="1">
        <f>SUM(Energy_data_1990___2020[[#This Row],[Coal and lignite production (Mt)]]-Energy_data_1990___2020[[#This Row],[Coal and lignite domestic consumption (Mt)]])</f>
        <v>6.6730000000000018</v>
      </c>
    </row>
    <row r="833" spans="1:23">
      <c r="A833" t="s">
        <v>56</v>
      </c>
      <c r="B833">
        <v>2015</v>
      </c>
      <c r="C833" t="s">
        <v>30</v>
      </c>
      <c r="D833">
        <v>296.0080193</v>
      </c>
      <c r="E833">
        <v>3.0978090909999998</v>
      </c>
      <c r="F833">
        <v>0.29015716899999999</v>
      </c>
      <c r="G833">
        <v>68.523340379999993</v>
      </c>
      <c r="H833">
        <v>95.553990139999996</v>
      </c>
      <c r="I833">
        <v>14.117518670000001</v>
      </c>
      <c r="J833">
        <v>16.347859239999998</v>
      </c>
      <c r="K833">
        <v>23.085999999999999</v>
      </c>
      <c r="L833">
        <v>27.486000000000001</v>
      </c>
      <c r="M833">
        <v>6.0779966229999998</v>
      </c>
      <c r="N833">
        <v>18.202017130000002</v>
      </c>
      <c r="O833">
        <v>9.3665284000000001E-2</v>
      </c>
      <c r="P833">
        <v>164.94399999999999</v>
      </c>
      <c r="Q833">
        <v>138.92699999999999</v>
      </c>
      <c r="R833">
        <v>129.09800000000001</v>
      </c>
      <c r="S833">
        <v>6.6228538170000002</v>
      </c>
      <c r="T833">
        <v>1.5569999999999999</v>
      </c>
      <c r="U833">
        <v>135.81399999999999</v>
      </c>
      <c r="V833" s="1" t="str">
        <f>IF(Energy_data_1990___2020[[#This Row],[CO2 emissions from fuel combustion (MtCO2)]]&gt;Energy_data_1990___2020[[#Totals],[CO2 emissions from fuel combustion (MtCO2)]],"Above Average","")</f>
        <v/>
      </c>
      <c r="W833" s="1">
        <f>SUM(Energy_data_1990___2020[[#This Row],[Coal and lignite production (Mt)]]-Energy_data_1990___2020[[#This Row],[Coal and lignite domestic consumption (Mt)]])</f>
        <v>6.7159999999999798</v>
      </c>
    </row>
    <row r="834" spans="1:23">
      <c r="A834" t="s">
        <v>56</v>
      </c>
      <c r="B834">
        <v>2016</v>
      </c>
      <c r="C834" t="s">
        <v>30</v>
      </c>
      <c r="D834">
        <v>306.6235643</v>
      </c>
      <c r="E834">
        <v>3.0716591719999999</v>
      </c>
      <c r="F834">
        <v>0.291627684</v>
      </c>
      <c r="G834">
        <v>67.247833839999998</v>
      </c>
      <c r="H834">
        <v>99.82343324</v>
      </c>
      <c r="I834">
        <v>13.97605545</v>
      </c>
      <c r="J834">
        <v>15.986506070000001</v>
      </c>
      <c r="K834">
        <v>25.318999999999999</v>
      </c>
      <c r="L834">
        <v>27.015999999999998</v>
      </c>
      <c r="M834">
        <v>5.7939960810000004</v>
      </c>
      <c r="N834">
        <v>19.02198637</v>
      </c>
      <c r="O834">
        <v>9.4941419999999999E-2</v>
      </c>
      <c r="P834">
        <v>166.63499999999999</v>
      </c>
      <c r="Q834">
        <v>143.76400000000001</v>
      </c>
      <c r="R834">
        <v>128.173</v>
      </c>
      <c r="S834">
        <v>7.6346505840000001</v>
      </c>
      <c r="T834">
        <v>1.601</v>
      </c>
      <c r="U834">
        <v>131.029</v>
      </c>
      <c r="V834" s="1" t="str">
        <f>IF(Energy_data_1990___2020[[#This Row],[CO2 emissions from fuel combustion (MtCO2)]]&gt;Energy_data_1990___2020[[#Totals],[CO2 emissions from fuel combustion (MtCO2)]],"Above Average","")</f>
        <v/>
      </c>
      <c r="W834" s="1">
        <f>SUM(Energy_data_1990___2020[[#This Row],[Coal and lignite production (Mt)]]-Energy_data_1990___2020[[#This Row],[Coal and lignite domestic consumption (Mt)]])</f>
        <v>2.8559999999999945</v>
      </c>
    </row>
    <row r="835" spans="1:23">
      <c r="A835" t="s">
        <v>56</v>
      </c>
      <c r="B835">
        <v>2017</v>
      </c>
      <c r="C835" t="s">
        <v>30</v>
      </c>
      <c r="D835">
        <v>319.4739849</v>
      </c>
      <c r="E835">
        <v>3.0586773709999999</v>
      </c>
      <c r="F835">
        <v>0.28955250799999999</v>
      </c>
      <c r="G835">
        <v>64.87522543</v>
      </c>
      <c r="H835">
        <v>104.448409</v>
      </c>
      <c r="I835">
        <v>14.429002560000001</v>
      </c>
      <c r="J835">
        <v>15.36853007</v>
      </c>
      <c r="K835">
        <v>28.383133000000001</v>
      </c>
      <c r="L835">
        <v>26.691728000000001</v>
      </c>
      <c r="M835">
        <v>5.7466536870000002</v>
      </c>
      <c r="N835">
        <v>20.07665532</v>
      </c>
      <c r="O835">
        <v>9.4665920000000001E-2</v>
      </c>
      <c r="P835">
        <v>170.465352</v>
      </c>
      <c r="Q835">
        <v>146.42546400000001</v>
      </c>
      <c r="R835">
        <v>129.67074600000001</v>
      </c>
      <c r="S835">
        <v>8.8475475059999997</v>
      </c>
      <c r="T835">
        <v>1.5811409999999999</v>
      </c>
      <c r="U835">
        <v>127.135766</v>
      </c>
      <c r="V835" s="1" t="str">
        <f>IF(Energy_data_1990___2020[[#This Row],[CO2 emissions from fuel combustion (MtCO2)]]&gt;Energy_data_1990___2020[[#Totals],[CO2 emissions from fuel combustion (MtCO2)]],"Above Average","")</f>
        <v/>
      </c>
      <c r="W835" s="1">
        <f>SUM(Energy_data_1990___2020[[#This Row],[Coal and lignite production (Mt)]]-Energy_data_1990___2020[[#This Row],[Coal and lignite domestic consumption (Mt)]])</f>
        <v>-2.5349800000000045</v>
      </c>
    </row>
    <row r="836" spans="1:23">
      <c r="A836" t="s">
        <v>56</v>
      </c>
      <c r="B836">
        <v>2018</v>
      </c>
      <c r="C836" t="s">
        <v>30</v>
      </c>
      <c r="D836">
        <v>320.15130360000001</v>
      </c>
      <c r="E836">
        <v>3.0070353239999998</v>
      </c>
      <c r="F836">
        <v>0.27595992200000002</v>
      </c>
      <c r="G836">
        <v>63.052357120000003</v>
      </c>
      <c r="H836">
        <v>106.4674236</v>
      </c>
      <c r="I836">
        <v>12.95851908</v>
      </c>
      <c r="J836">
        <v>15.746376720000001</v>
      </c>
      <c r="K836">
        <v>28.894769</v>
      </c>
      <c r="L836">
        <v>28.214811999999998</v>
      </c>
      <c r="M836">
        <v>5.6782098129999996</v>
      </c>
      <c r="N836">
        <v>20.290675</v>
      </c>
      <c r="O836">
        <v>9.1771427000000003E-2</v>
      </c>
      <c r="P836">
        <v>170.03946099999999</v>
      </c>
      <c r="Q836">
        <v>151.40277900000001</v>
      </c>
      <c r="R836">
        <v>126.717743</v>
      </c>
      <c r="S836">
        <v>7.7386877859999998</v>
      </c>
      <c r="T836">
        <v>1.6527609999999999</v>
      </c>
      <c r="U836">
        <v>122.427868</v>
      </c>
      <c r="V836" s="1" t="str">
        <f>IF(Energy_data_1990___2020[[#This Row],[CO2 emissions from fuel combustion (MtCO2)]]&gt;Energy_data_1990___2020[[#Totals],[CO2 emissions from fuel combustion (MtCO2)]],"Above Average","")</f>
        <v/>
      </c>
      <c r="W836" s="1">
        <f>SUM(Energy_data_1990___2020[[#This Row],[Coal and lignite production (Mt)]]-Energy_data_1990___2020[[#This Row],[Coal and lignite domestic consumption (Mt)]])</f>
        <v>-4.289874999999995</v>
      </c>
    </row>
    <row r="837" spans="1:23">
      <c r="A837" t="s">
        <v>56</v>
      </c>
      <c r="B837">
        <v>2019</v>
      </c>
      <c r="C837" t="s">
        <v>30</v>
      </c>
      <c r="D837">
        <v>301.89271630000002</v>
      </c>
      <c r="E837">
        <v>2.9197348789999999</v>
      </c>
      <c r="F837">
        <v>0.24901590300000001</v>
      </c>
      <c r="G837">
        <v>60.008501930000001</v>
      </c>
      <c r="H837">
        <v>103.3973045</v>
      </c>
      <c r="I837">
        <v>14.47815449</v>
      </c>
      <c r="J837">
        <v>15.817454010000001</v>
      </c>
      <c r="K837">
        <v>29.423408439999999</v>
      </c>
      <c r="L837">
        <v>28.435398249999999</v>
      </c>
      <c r="M837">
        <v>5.60946239</v>
      </c>
      <c r="N837">
        <v>20.86452105</v>
      </c>
      <c r="O837">
        <v>8.5287162999999999E-2</v>
      </c>
      <c r="P837">
        <v>163.99044459999999</v>
      </c>
      <c r="Q837">
        <v>149.91398319999999</v>
      </c>
      <c r="R837">
        <v>112.7901542</v>
      </c>
      <c r="S837">
        <v>9.6816648199999999</v>
      </c>
      <c r="T837">
        <v>1.5922143099999999</v>
      </c>
      <c r="U837">
        <v>112.4088788</v>
      </c>
      <c r="V837" s="1" t="str">
        <f>IF(Energy_data_1990___2020[[#This Row],[CO2 emissions from fuel combustion (MtCO2)]]&gt;Energy_data_1990___2020[[#Totals],[CO2 emissions from fuel combustion (MtCO2)]],"Above Average","")</f>
        <v/>
      </c>
      <c r="W837" s="1">
        <f>SUM(Energy_data_1990___2020[[#This Row],[Coal and lignite production (Mt)]]-Energy_data_1990___2020[[#This Row],[Coal and lignite domestic consumption (Mt)]])</f>
        <v>-0.38127540000000693</v>
      </c>
    </row>
    <row r="838" spans="1:23">
      <c r="A838" t="s">
        <v>56</v>
      </c>
      <c r="B838">
        <v>2020</v>
      </c>
      <c r="C838" t="s">
        <v>30</v>
      </c>
      <c r="D838">
        <v>278.03279700000002</v>
      </c>
      <c r="E838">
        <v>2.8524681300000001</v>
      </c>
      <c r="F838">
        <v>0.23594143300000001</v>
      </c>
      <c r="G838">
        <v>55.379555840000002</v>
      </c>
      <c r="H838">
        <v>97.4709565</v>
      </c>
      <c r="I838">
        <v>16.670806750000001</v>
      </c>
      <c r="J838">
        <v>15.930953880000001</v>
      </c>
      <c r="K838">
        <v>28.66436728</v>
      </c>
      <c r="L838">
        <v>26.69068828</v>
      </c>
      <c r="M838">
        <v>5.5341418259999999</v>
      </c>
      <c r="N838">
        <v>21.531968379999999</v>
      </c>
      <c r="O838">
        <v>8.2714836E-2</v>
      </c>
      <c r="P838">
        <v>157.55038250000001</v>
      </c>
      <c r="Q838">
        <v>144.6542972</v>
      </c>
      <c r="R838">
        <v>99.767189000000002</v>
      </c>
      <c r="S838">
        <v>11.21195823</v>
      </c>
      <c r="T838">
        <v>1.5222327</v>
      </c>
      <c r="U838">
        <v>100.7725952</v>
      </c>
      <c r="V838" s="1" t="str">
        <f>IF(Energy_data_1990___2020[[#This Row],[CO2 emissions from fuel combustion (MtCO2)]]&gt;Energy_data_1990___2020[[#Totals],[CO2 emissions from fuel combustion (MtCO2)]],"Above Average","")</f>
        <v/>
      </c>
      <c r="W838" s="1">
        <f>SUM(Energy_data_1990___2020[[#This Row],[Coal and lignite production (Mt)]]-Energy_data_1990___2020[[#This Row],[Coal and lignite domestic consumption (Mt)]])</f>
        <v>1.0054061999999959</v>
      </c>
    </row>
    <row r="839" spans="1:23">
      <c r="A839" t="s">
        <v>57</v>
      </c>
      <c r="B839">
        <v>1990</v>
      </c>
      <c r="C839" t="s">
        <v>30</v>
      </c>
      <c r="D839">
        <v>39.787807749999999</v>
      </c>
      <c r="E839">
        <v>2.3710201469999999</v>
      </c>
      <c r="F839">
        <v>0.177453263</v>
      </c>
      <c r="G839">
        <v>3.3929670449999998</v>
      </c>
      <c r="H839">
        <v>16.780881350000001</v>
      </c>
      <c r="I839">
        <v>35.079470899999997</v>
      </c>
      <c r="J839">
        <v>15.04636449</v>
      </c>
      <c r="K839">
        <v>10.94</v>
      </c>
      <c r="L839">
        <v>11.428000000000001</v>
      </c>
      <c r="N839">
        <v>0</v>
      </c>
      <c r="O839">
        <v>7.4842579000000006E-2</v>
      </c>
      <c r="P839">
        <v>28.501000000000001</v>
      </c>
      <c r="Q839">
        <v>23.95</v>
      </c>
      <c r="R839">
        <v>4.399</v>
      </c>
      <c r="S839">
        <v>2.1051892999999999E-2</v>
      </c>
      <c r="T839">
        <v>0</v>
      </c>
      <c r="U839">
        <v>0</v>
      </c>
      <c r="V839" s="1" t="str">
        <f>IF(Energy_data_1990___2020[[#This Row],[CO2 emissions from fuel combustion (MtCO2)]]&gt;Energy_data_1990___2020[[#Totals],[CO2 emissions from fuel combustion (MtCO2)]],"Above Average","")</f>
        <v/>
      </c>
      <c r="W839" s="1">
        <f>SUM(Energy_data_1990___2020[[#This Row],[Coal and lignite production (Mt)]]-Energy_data_1990___2020[[#This Row],[Coal and lignite domestic consumption (Mt)]])</f>
        <v>-4.399</v>
      </c>
    </row>
    <row r="840" spans="1:23">
      <c r="A840" t="s">
        <v>57</v>
      </c>
      <c r="B840">
        <v>1991</v>
      </c>
      <c r="C840" t="s">
        <v>30</v>
      </c>
      <c r="D840">
        <v>41.28946792</v>
      </c>
      <c r="E840">
        <v>2.433777868</v>
      </c>
      <c r="F840">
        <v>0.176443249</v>
      </c>
      <c r="G840">
        <v>3.3941156000000001</v>
      </c>
      <c r="H840">
        <v>16.965175200000001</v>
      </c>
      <c r="I840">
        <v>33.446036419999999</v>
      </c>
      <c r="J840">
        <v>15.77273664</v>
      </c>
      <c r="K840">
        <v>10.994999999999999</v>
      </c>
      <c r="L840">
        <v>10.192</v>
      </c>
      <c r="N840">
        <v>0</v>
      </c>
      <c r="O840">
        <v>7.2497679999999995E-2</v>
      </c>
      <c r="P840">
        <v>29.872</v>
      </c>
      <c r="Q840">
        <v>25.256</v>
      </c>
      <c r="R840">
        <v>4.6189999999999998</v>
      </c>
      <c r="S840">
        <v>2.3433315E-2</v>
      </c>
      <c r="T840">
        <v>0</v>
      </c>
      <c r="U840">
        <v>0</v>
      </c>
      <c r="V840" s="1" t="str">
        <f>IF(Energy_data_1990___2020[[#This Row],[CO2 emissions from fuel combustion (MtCO2)]]&gt;Energy_data_1990___2020[[#Totals],[CO2 emissions from fuel combustion (MtCO2)]],"Above Average","")</f>
        <v/>
      </c>
      <c r="W840" s="1">
        <f>SUM(Energy_data_1990___2020[[#This Row],[Coal and lignite production (Mt)]]-Energy_data_1990___2020[[#This Row],[Coal and lignite domestic consumption (Mt)]])</f>
        <v>-4.6189999999999998</v>
      </c>
    </row>
    <row r="841" spans="1:23">
      <c r="A841" t="s">
        <v>57</v>
      </c>
      <c r="B841">
        <v>1992</v>
      </c>
      <c r="C841" t="s">
        <v>30</v>
      </c>
      <c r="D841">
        <v>45.145234360000003</v>
      </c>
      <c r="E841">
        <v>2.501169306</v>
      </c>
      <c r="F841">
        <v>0.190841018</v>
      </c>
      <c r="G841">
        <v>2.9397123199999999</v>
      </c>
      <c r="H841">
        <v>18.049651520000001</v>
      </c>
      <c r="I841">
        <v>19.828503059999999</v>
      </c>
      <c r="J841">
        <v>15.654184539999999</v>
      </c>
      <c r="K841">
        <v>12.351000000000001</v>
      </c>
      <c r="L841">
        <v>11.648999999999999</v>
      </c>
      <c r="N841">
        <v>0</v>
      </c>
      <c r="O841">
        <v>7.6300719000000003E-2</v>
      </c>
      <c r="P841">
        <v>30.088000000000001</v>
      </c>
      <c r="Q841">
        <v>26.035</v>
      </c>
      <c r="R841">
        <v>4.7130000000000001</v>
      </c>
      <c r="S841">
        <v>3.3235842000000002E-2</v>
      </c>
      <c r="T841">
        <v>0</v>
      </c>
      <c r="U841">
        <v>0</v>
      </c>
      <c r="V841" s="1" t="str">
        <f>IF(Energy_data_1990___2020[[#This Row],[CO2 emissions from fuel combustion (MtCO2)]]&gt;Energy_data_1990___2020[[#Totals],[CO2 emissions from fuel combustion (MtCO2)]],"Above Average","")</f>
        <v/>
      </c>
      <c r="W841" s="1">
        <f>SUM(Energy_data_1990___2020[[#This Row],[Coal and lignite production (Mt)]]-Energy_data_1990___2020[[#This Row],[Coal and lignite domestic consumption (Mt)]])</f>
        <v>-4.7130000000000001</v>
      </c>
    </row>
    <row r="842" spans="1:23">
      <c r="A842" t="s">
        <v>57</v>
      </c>
      <c r="B842">
        <v>1993</v>
      </c>
      <c r="C842" t="s">
        <v>30</v>
      </c>
      <c r="D842">
        <v>43.863107030000002</v>
      </c>
      <c r="E842">
        <v>2.4641469640000002</v>
      </c>
      <c r="F842">
        <v>0.189288816</v>
      </c>
      <c r="G842">
        <v>3.2758895400000001</v>
      </c>
      <c r="H842">
        <v>17.800523940000001</v>
      </c>
      <c r="I842">
        <v>30.936358389999999</v>
      </c>
      <c r="J842">
        <v>15.82967549</v>
      </c>
      <c r="K842">
        <v>11.651999999999999</v>
      </c>
      <c r="L842">
        <v>11.263999999999999</v>
      </c>
      <c r="N842">
        <v>0</v>
      </c>
      <c r="O842">
        <v>7.6817178E-2</v>
      </c>
      <c r="P842">
        <v>31.206</v>
      </c>
      <c r="Q842">
        <v>26.376000000000001</v>
      </c>
      <c r="R842">
        <v>4.9820000000000002</v>
      </c>
      <c r="S842">
        <v>5.1272191000000002E-2</v>
      </c>
      <c r="T842">
        <v>0</v>
      </c>
      <c r="U842">
        <v>0</v>
      </c>
      <c r="V842" s="1" t="str">
        <f>IF(Energy_data_1990___2020[[#This Row],[CO2 emissions from fuel combustion (MtCO2)]]&gt;Energy_data_1990___2020[[#Totals],[CO2 emissions from fuel combustion (MtCO2)]],"Above Average","")</f>
        <v/>
      </c>
      <c r="W842" s="1">
        <f>SUM(Energy_data_1990___2020[[#This Row],[Coal and lignite production (Mt)]]-Energy_data_1990___2020[[#This Row],[Coal and lignite domestic consumption (Mt)]])</f>
        <v>-4.9820000000000002</v>
      </c>
    </row>
    <row r="843" spans="1:23">
      <c r="A843" t="s">
        <v>57</v>
      </c>
      <c r="B843">
        <v>1994</v>
      </c>
      <c r="C843" t="s">
        <v>30</v>
      </c>
      <c r="D843">
        <v>45.282534849999998</v>
      </c>
      <c r="E843">
        <v>2.4797098229999999</v>
      </c>
      <c r="F843">
        <v>0.19354686500000001</v>
      </c>
      <c r="G843">
        <v>3.4858031249999999</v>
      </c>
      <c r="H843">
        <v>18.26122333</v>
      </c>
      <c r="I843">
        <v>37.241093620000001</v>
      </c>
      <c r="J843">
        <v>15.65635296</v>
      </c>
      <c r="K843">
        <v>11.776</v>
      </c>
      <c r="L843">
        <v>13.744</v>
      </c>
      <c r="N843">
        <v>0</v>
      </c>
      <c r="O843">
        <v>7.8052223000000004E-2</v>
      </c>
      <c r="P843">
        <v>31.382000000000001</v>
      </c>
      <c r="Q843">
        <v>27.431000000000001</v>
      </c>
      <c r="R843">
        <v>5.2359999999999998</v>
      </c>
      <c r="S843">
        <v>0.16251354300000001</v>
      </c>
      <c r="T843">
        <v>0</v>
      </c>
      <c r="U843">
        <v>0</v>
      </c>
      <c r="V843" s="1" t="str">
        <f>IF(Energy_data_1990___2020[[#This Row],[CO2 emissions from fuel combustion (MtCO2)]]&gt;Energy_data_1990___2020[[#Totals],[CO2 emissions from fuel combustion (MtCO2)]],"Above Average","")</f>
        <v/>
      </c>
      <c r="W843" s="1">
        <f>SUM(Energy_data_1990___2020[[#This Row],[Coal and lignite production (Mt)]]-Energy_data_1990___2020[[#This Row],[Coal and lignite domestic consumption (Mt)]])</f>
        <v>-5.2359999999999998</v>
      </c>
    </row>
    <row r="844" spans="1:23">
      <c r="A844" t="s">
        <v>57</v>
      </c>
      <c r="B844">
        <v>1995</v>
      </c>
      <c r="C844" t="s">
        <v>30</v>
      </c>
      <c r="D844">
        <v>48.710548699999997</v>
      </c>
      <c r="E844">
        <v>2.411989443</v>
      </c>
      <c r="F844">
        <v>0.199648398</v>
      </c>
      <c r="G844">
        <v>3.3173587200000001</v>
      </c>
      <c r="H844">
        <v>20.195174919999999</v>
      </c>
      <c r="I844">
        <v>28.561551179999999</v>
      </c>
      <c r="J844">
        <v>16.209295269999998</v>
      </c>
      <c r="K844">
        <v>12.872</v>
      </c>
      <c r="L844">
        <v>13.346</v>
      </c>
      <c r="N844">
        <v>0</v>
      </c>
      <c r="O844">
        <v>8.2773330000000006E-2</v>
      </c>
      <c r="P844">
        <v>33.265000000000001</v>
      </c>
      <c r="Q844">
        <v>29.291</v>
      </c>
      <c r="R844">
        <v>5.6719999999999997</v>
      </c>
      <c r="S844">
        <v>0.17736359500000001</v>
      </c>
      <c r="T844">
        <v>0</v>
      </c>
      <c r="U844">
        <v>0</v>
      </c>
      <c r="V844" s="1" t="str">
        <f>IF(Energy_data_1990___2020[[#This Row],[CO2 emissions from fuel combustion (MtCO2)]]&gt;Energy_data_1990___2020[[#Totals],[CO2 emissions from fuel combustion (MtCO2)]],"Above Average","")</f>
        <v/>
      </c>
      <c r="W844" s="1">
        <f>SUM(Energy_data_1990___2020[[#This Row],[Coal and lignite production (Mt)]]-Energy_data_1990___2020[[#This Row],[Coal and lignite domestic consumption (Mt)]])</f>
        <v>-5.6719999999999997</v>
      </c>
    </row>
    <row r="845" spans="1:23">
      <c r="A845" t="s">
        <v>57</v>
      </c>
      <c r="B845">
        <v>1996</v>
      </c>
      <c r="C845" t="s">
        <v>30</v>
      </c>
      <c r="D845">
        <v>46.754992229999999</v>
      </c>
      <c r="E845">
        <v>2.3380971050000001</v>
      </c>
      <c r="F845">
        <v>0.185145272</v>
      </c>
      <c r="G845">
        <v>3.7930702549999999</v>
      </c>
      <c r="H845">
        <v>19.997027559999999</v>
      </c>
      <c r="I845">
        <v>46.024159210000001</v>
      </c>
      <c r="J845">
        <v>16.38842885</v>
      </c>
      <c r="K845">
        <v>12.263999999999999</v>
      </c>
      <c r="L845">
        <v>12.340999999999999</v>
      </c>
      <c r="N845">
        <v>0</v>
      </c>
      <c r="O845">
        <v>7.9186305999999998E-2</v>
      </c>
      <c r="P845">
        <v>34.521000000000001</v>
      </c>
      <c r="Q845">
        <v>30.69</v>
      </c>
      <c r="R845">
        <v>5.4379999999999997</v>
      </c>
      <c r="S845">
        <v>0.20567191000000001</v>
      </c>
      <c r="T845">
        <v>0</v>
      </c>
      <c r="U845">
        <v>0</v>
      </c>
      <c r="V845" s="1" t="str">
        <f>IF(Energy_data_1990___2020[[#This Row],[CO2 emissions from fuel combustion (MtCO2)]]&gt;Energy_data_1990___2020[[#Totals],[CO2 emissions from fuel combustion (MtCO2)]],"Above Average","")</f>
        <v/>
      </c>
      <c r="W845" s="1">
        <f>SUM(Energy_data_1990___2020[[#This Row],[Coal and lignite production (Mt)]]-Energy_data_1990___2020[[#This Row],[Coal and lignite domestic consumption (Mt)]])</f>
        <v>-5.4379999999999997</v>
      </c>
    </row>
    <row r="846" spans="1:23">
      <c r="A846" t="s">
        <v>57</v>
      </c>
      <c r="B846">
        <v>1997</v>
      </c>
      <c r="C846" t="s">
        <v>30</v>
      </c>
      <c r="D846">
        <v>48.993033990000001</v>
      </c>
      <c r="E846">
        <v>2.3257709439999998</v>
      </c>
      <c r="F846">
        <v>0.18582958699999999</v>
      </c>
      <c r="G846">
        <v>3.7477564800000001</v>
      </c>
      <c r="H846">
        <v>21.06528767</v>
      </c>
      <c r="I846">
        <v>41.808933580000001</v>
      </c>
      <c r="J846">
        <v>16.408969460000002</v>
      </c>
      <c r="K846">
        <v>13.16</v>
      </c>
      <c r="L846">
        <v>12.984</v>
      </c>
      <c r="N846">
        <v>0.1</v>
      </c>
      <c r="O846">
        <v>7.9900209999999999E-2</v>
      </c>
      <c r="P846">
        <v>34.207999999999998</v>
      </c>
      <c r="Q846">
        <v>32.439</v>
      </c>
      <c r="R846">
        <v>5.4640000000000004</v>
      </c>
      <c r="S846">
        <v>0.26309635199999998</v>
      </c>
      <c r="T846">
        <v>0</v>
      </c>
      <c r="U846">
        <v>0</v>
      </c>
      <c r="V846" s="1" t="str">
        <f>IF(Energy_data_1990___2020[[#This Row],[CO2 emissions from fuel combustion (MtCO2)]]&gt;Energy_data_1990___2020[[#Totals],[CO2 emissions from fuel combustion (MtCO2)]],"Above Average","")</f>
        <v/>
      </c>
      <c r="W846" s="1">
        <f>SUM(Energy_data_1990___2020[[#This Row],[Coal and lignite production (Mt)]]-Energy_data_1990___2020[[#This Row],[Coal and lignite domestic consumption (Mt)]])</f>
        <v>-5.4640000000000004</v>
      </c>
    </row>
    <row r="847" spans="1:23">
      <c r="A847" t="s">
        <v>57</v>
      </c>
      <c r="B847">
        <v>1998</v>
      </c>
      <c r="C847" t="s">
        <v>30</v>
      </c>
      <c r="D847">
        <v>53.740411639999998</v>
      </c>
      <c r="E847">
        <v>2.3611679040000002</v>
      </c>
      <c r="F847">
        <v>0.194485503</v>
      </c>
      <c r="G847">
        <v>3.7324065649999998</v>
      </c>
      <c r="H847">
        <v>22.760097470000002</v>
      </c>
      <c r="I847">
        <v>36.486763799999999</v>
      </c>
      <c r="J847">
        <v>16.239754349999998</v>
      </c>
      <c r="K847">
        <v>14.782999999999999</v>
      </c>
      <c r="L847">
        <v>14.019</v>
      </c>
      <c r="N847">
        <v>0.80600038100000004</v>
      </c>
      <c r="O847">
        <v>8.2368348999999993E-2</v>
      </c>
      <c r="P847">
        <v>38.984000000000002</v>
      </c>
      <c r="Q847">
        <v>34.411999999999999</v>
      </c>
      <c r="R847">
        <v>4.9850000000000003</v>
      </c>
      <c r="S847">
        <v>0.37964292999999999</v>
      </c>
      <c r="T847">
        <v>0</v>
      </c>
      <c r="U847">
        <v>0</v>
      </c>
      <c r="V847" s="1" t="str">
        <f>IF(Energy_data_1990___2020[[#This Row],[CO2 emissions from fuel combustion (MtCO2)]]&gt;Energy_data_1990___2020[[#Totals],[CO2 emissions from fuel combustion (MtCO2)]],"Above Average","")</f>
        <v/>
      </c>
      <c r="W847" s="1">
        <f>SUM(Energy_data_1990___2020[[#This Row],[Coal and lignite production (Mt)]]-Energy_data_1990___2020[[#This Row],[Coal and lignite domestic consumption (Mt)]])</f>
        <v>-4.9850000000000003</v>
      </c>
    </row>
    <row r="848" spans="1:23">
      <c r="A848" t="s">
        <v>57</v>
      </c>
      <c r="B848">
        <v>1999</v>
      </c>
      <c r="C848" t="s">
        <v>30</v>
      </c>
      <c r="D848">
        <v>60.210852879999997</v>
      </c>
      <c r="E848">
        <v>2.465185892</v>
      </c>
      <c r="F848">
        <v>0.20970944399999999</v>
      </c>
      <c r="G848">
        <v>3.3678405549999999</v>
      </c>
      <c r="H848">
        <v>24.424467570000001</v>
      </c>
      <c r="I848">
        <v>20.779910829999999</v>
      </c>
      <c r="J848">
        <v>16.806924030000001</v>
      </c>
      <c r="K848">
        <v>15.031000000000001</v>
      </c>
      <c r="L848">
        <v>13.481999999999999</v>
      </c>
      <c r="N848">
        <v>2.2480023199999999</v>
      </c>
      <c r="O848">
        <v>8.5068409999999997E-2</v>
      </c>
      <c r="P848">
        <v>43.286999999999999</v>
      </c>
      <c r="Q848">
        <v>36.741</v>
      </c>
      <c r="R848">
        <v>6.0830000000000002</v>
      </c>
      <c r="S848">
        <v>0.47127313100000001</v>
      </c>
      <c r="T848">
        <v>0</v>
      </c>
      <c r="U848">
        <v>0</v>
      </c>
      <c r="V848" s="1" t="str">
        <f>IF(Energy_data_1990___2020[[#This Row],[CO2 emissions from fuel combustion (MtCO2)]]&gt;Energy_data_1990___2020[[#Totals],[CO2 emissions from fuel combustion (MtCO2)]],"Above Average","")</f>
        <v/>
      </c>
      <c r="W848" s="1">
        <f>SUM(Energy_data_1990___2020[[#This Row],[Coal and lignite production (Mt)]]-Energy_data_1990___2020[[#This Row],[Coal and lignite domestic consumption (Mt)]])</f>
        <v>-6.0830000000000002</v>
      </c>
    </row>
    <row r="849" spans="1:23">
      <c r="A849" t="s">
        <v>57</v>
      </c>
      <c r="B849">
        <v>2000</v>
      </c>
      <c r="C849" t="s">
        <v>30</v>
      </c>
      <c r="D849">
        <v>59.711418299999998</v>
      </c>
      <c r="E849">
        <v>2.4277544130000002</v>
      </c>
      <c r="F849">
        <v>0.20032518899999999</v>
      </c>
      <c r="G849">
        <v>3.8466729200000001</v>
      </c>
      <c r="H849">
        <v>24.595328909999999</v>
      </c>
      <c r="I849">
        <v>30.29887579</v>
      </c>
      <c r="J849">
        <v>16.983934789999999</v>
      </c>
      <c r="K849">
        <v>14.66</v>
      </c>
      <c r="L849">
        <v>12.308</v>
      </c>
      <c r="N849">
        <v>2.2800000969999998</v>
      </c>
      <c r="O849">
        <v>8.2514602000000006E-2</v>
      </c>
      <c r="P849">
        <v>43.764000000000003</v>
      </c>
      <c r="Q849">
        <v>38.939</v>
      </c>
      <c r="R849">
        <v>6.1020000000000003</v>
      </c>
      <c r="S849">
        <v>0.56896078999999999</v>
      </c>
      <c r="T849">
        <v>0</v>
      </c>
      <c r="U849">
        <v>0</v>
      </c>
      <c r="V849" s="1" t="str">
        <f>IF(Energy_data_1990___2020[[#This Row],[CO2 emissions from fuel combustion (MtCO2)]]&gt;Energy_data_1990___2020[[#Totals],[CO2 emissions from fuel combustion (MtCO2)]],"Above Average","")</f>
        <v/>
      </c>
      <c r="W849" s="1">
        <f>SUM(Energy_data_1990___2020[[#This Row],[Coal and lignite production (Mt)]]-Energy_data_1990___2020[[#This Row],[Coal and lignite domestic consumption (Mt)]])</f>
        <v>-6.1020000000000003</v>
      </c>
    </row>
    <row r="850" spans="1:23">
      <c r="A850" t="s">
        <v>57</v>
      </c>
      <c r="B850">
        <v>2001</v>
      </c>
      <c r="C850" t="s">
        <v>30</v>
      </c>
      <c r="D850">
        <v>59.254515290000001</v>
      </c>
      <c r="E850">
        <v>2.3912402880000001</v>
      </c>
      <c r="F850">
        <v>0.195002127</v>
      </c>
      <c r="G850">
        <v>4.0971066150000004</v>
      </c>
      <c r="H850">
        <v>24.77982476</v>
      </c>
      <c r="I850">
        <v>34.578253670000002</v>
      </c>
      <c r="J850">
        <v>17.60697339</v>
      </c>
      <c r="K850">
        <v>15.045999999999999</v>
      </c>
      <c r="L850">
        <v>13.061</v>
      </c>
      <c r="N850">
        <v>2.5429994589999998</v>
      </c>
      <c r="O850">
        <v>8.1548528999999995E-2</v>
      </c>
      <c r="P850">
        <v>46.509</v>
      </c>
      <c r="Q850">
        <v>40.540999999999997</v>
      </c>
      <c r="R850">
        <v>5.157</v>
      </c>
      <c r="S850">
        <v>0.77834397600000005</v>
      </c>
      <c r="T850">
        <v>0</v>
      </c>
      <c r="U850">
        <v>0</v>
      </c>
      <c r="V850" s="1" t="str">
        <f>IF(Energy_data_1990___2020[[#This Row],[CO2 emissions from fuel combustion (MtCO2)]]&gt;Energy_data_1990___2020[[#Totals],[CO2 emissions from fuel combustion (MtCO2)]],"Above Average","")</f>
        <v/>
      </c>
      <c r="W850" s="1">
        <f>SUM(Energy_data_1990___2020[[#This Row],[Coal and lignite production (Mt)]]-Energy_data_1990___2020[[#This Row],[Coal and lignite domestic consumption (Mt)]])</f>
        <v>-5.157</v>
      </c>
    </row>
    <row r="851" spans="1:23">
      <c r="A851" t="s">
        <v>57</v>
      </c>
      <c r="B851">
        <v>2002</v>
      </c>
      <c r="C851" t="s">
        <v>30</v>
      </c>
      <c r="D851">
        <v>63.202963699999998</v>
      </c>
      <c r="E851">
        <v>2.4482022059999999</v>
      </c>
      <c r="F851">
        <v>0.20640494700000001</v>
      </c>
      <c r="G851">
        <v>3.6432015999999998</v>
      </c>
      <c r="H851">
        <v>25.816071709999999</v>
      </c>
      <c r="I851">
        <v>22.10076561</v>
      </c>
      <c r="J851">
        <v>17.878965919999999</v>
      </c>
      <c r="K851">
        <v>15.532</v>
      </c>
      <c r="L851">
        <v>12.394</v>
      </c>
      <c r="N851">
        <v>3.1130012210000002</v>
      </c>
      <c r="O851">
        <v>8.4308781999999999E-2</v>
      </c>
      <c r="P851">
        <v>46.106999999999999</v>
      </c>
      <c r="Q851">
        <v>42.116999999999997</v>
      </c>
      <c r="R851">
        <v>5.6890000000000001</v>
      </c>
      <c r="S851">
        <v>0.99767931099999996</v>
      </c>
      <c r="T851">
        <v>0</v>
      </c>
      <c r="U851">
        <v>0</v>
      </c>
      <c r="V851" s="1" t="str">
        <f>IF(Energy_data_1990___2020[[#This Row],[CO2 emissions from fuel combustion (MtCO2)]]&gt;Energy_data_1990___2020[[#Totals],[CO2 emissions from fuel combustion (MtCO2)]],"Above Average","")</f>
        <v/>
      </c>
      <c r="W851" s="1">
        <f>SUM(Energy_data_1990___2020[[#This Row],[Coal and lignite production (Mt)]]-Energy_data_1990___2020[[#This Row],[Coal and lignite domestic consumption (Mt)]])</f>
        <v>-5.6890000000000001</v>
      </c>
    </row>
    <row r="852" spans="1:23">
      <c r="A852" t="s">
        <v>57</v>
      </c>
      <c r="B852">
        <v>2003</v>
      </c>
      <c r="C852" t="s">
        <v>30</v>
      </c>
      <c r="D852">
        <v>58.734762920000001</v>
      </c>
      <c r="E852">
        <v>2.3390256389999999</v>
      </c>
      <c r="F852">
        <v>0.19361455299999999</v>
      </c>
      <c r="G852">
        <v>4.3368587400000003</v>
      </c>
      <c r="H852">
        <v>25.110782010000001</v>
      </c>
      <c r="I852">
        <v>38.491419790000002</v>
      </c>
      <c r="J852">
        <v>18.571243419999998</v>
      </c>
      <c r="K852">
        <v>14.414999999999999</v>
      </c>
      <c r="L852">
        <v>13.224</v>
      </c>
      <c r="N852">
        <v>3.017001279</v>
      </c>
      <c r="O852">
        <v>8.2775729000000006E-2</v>
      </c>
      <c r="P852">
        <v>46.851999999999997</v>
      </c>
      <c r="Q852">
        <v>43.802999999999997</v>
      </c>
      <c r="R852">
        <v>5.3639999999999999</v>
      </c>
      <c r="S852">
        <v>1.257150175</v>
      </c>
      <c r="T852">
        <v>0</v>
      </c>
      <c r="U852">
        <v>0</v>
      </c>
      <c r="V852" s="1" t="str">
        <f>IF(Energy_data_1990___2020[[#This Row],[CO2 emissions from fuel combustion (MtCO2)]]&gt;Energy_data_1990___2020[[#Totals],[CO2 emissions from fuel combustion (MtCO2)]],"Above Average","")</f>
        <v/>
      </c>
      <c r="W852" s="1">
        <f>SUM(Energy_data_1990___2020[[#This Row],[Coal and lignite production (Mt)]]-Energy_data_1990___2020[[#This Row],[Coal and lignite domestic consumption (Mt)]])</f>
        <v>-5.3639999999999999</v>
      </c>
    </row>
    <row r="853" spans="1:23">
      <c r="A853" t="s">
        <v>57</v>
      </c>
      <c r="B853">
        <v>2004</v>
      </c>
      <c r="C853" t="s">
        <v>30</v>
      </c>
      <c r="D853">
        <v>60.049131989999999</v>
      </c>
      <c r="E853">
        <v>2.325799559</v>
      </c>
      <c r="F853">
        <v>0.194468737</v>
      </c>
      <c r="G853">
        <v>3.891627325</v>
      </c>
      <c r="H853">
        <v>25.818704700000001</v>
      </c>
      <c r="I853">
        <v>27.917082359999998</v>
      </c>
      <c r="J853">
        <v>18.821969060000001</v>
      </c>
      <c r="K853">
        <v>14.404999999999999</v>
      </c>
      <c r="L853">
        <v>13.292999999999999</v>
      </c>
      <c r="N853">
        <v>3.7600011740000001</v>
      </c>
      <c r="O853">
        <v>8.3613713000000006E-2</v>
      </c>
      <c r="P853">
        <v>45.104999999999997</v>
      </c>
      <c r="Q853">
        <v>45.497999999999998</v>
      </c>
      <c r="R853">
        <v>5.4240000000000004</v>
      </c>
      <c r="S853">
        <v>2.001995344</v>
      </c>
      <c r="T853">
        <v>0</v>
      </c>
      <c r="U853">
        <v>0</v>
      </c>
      <c r="V853" s="1" t="str">
        <f>IF(Energy_data_1990___2020[[#This Row],[CO2 emissions from fuel combustion (MtCO2)]]&gt;Energy_data_1990___2020[[#Totals],[CO2 emissions from fuel combustion (MtCO2)]],"Above Average","")</f>
        <v/>
      </c>
      <c r="W853" s="1">
        <f>SUM(Energy_data_1990___2020[[#This Row],[Coal and lignite production (Mt)]]-Energy_data_1990___2020[[#This Row],[Coal and lignite domestic consumption (Mt)]])</f>
        <v>-5.4240000000000004</v>
      </c>
    </row>
    <row r="854" spans="1:23">
      <c r="A854" t="s">
        <v>57</v>
      </c>
      <c r="B854">
        <v>2005</v>
      </c>
      <c r="C854" t="s">
        <v>30</v>
      </c>
      <c r="D854">
        <v>63.189017200000002</v>
      </c>
      <c r="E854">
        <v>2.3884692909999998</v>
      </c>
      <c r="F854">
        <v>0.203049696</v>
      </c>
      <c r="G854">
        <v>3.6111214550000001</v>
      </c>
      <c r="H854">
        <v>26.455863359999999</v>
      </c>
      <c r="I854">
        <v>18.565754160000001</v>
      </c>
      <c r="J854">
        <v>19.469517660000001</v>
      </c>
      <c r="K854">
        <v>15.021000000000001</v>
      </c>
      <c r="L854">
        <v>13.564</v>
      </c>
      <c r="N854">
        <v>4.2579997880000002</v>
      </c>
      <c r="O854">
        <v>8.5012479000000002E-2</v>
      </c>
      <c r="P854">
        <v>46.575000000000003</v>
      </c>
      <c r="Q854">
        <v>47.027999999999999</v>
      </c>
      <c r="R854">
        <v>5.4589999999999996</v>
      </c>
      <c r="S854">
        <v>3.9656468060000001</v>
      </c>
      <c r="T854">
        <v>0</v>
      </c>
      <c r="U854">
        <v>0</v>
      </c>
      <c r="V854" s="1" t="str">
        <f>IF(Energy_data_1990___2020[[#This Row],[CO2 emissions from fuel combustion (MtCO2)]]&gt;Energy_data_1990___2020[[#Totals],[CO2 emissions from fuel combustion (MtCO2)]],"Above Average","")</f>
        <v/>
      </c>
      <c r="W854" s="1">
        <f>SUM(Energy_data_1990___2020[[#This Row],[Coal and lignite production (Mt)]]-Energy_data_1990___2020[[#This Row],[Coal and lignite domestic consumption (Mt)]])</f>
        <v>-5.4589999999999996</v>
      </c>
    </row>
    <row r="855" spans="1:23">
      <c r="A855" t="s">
        <v>57</v>
      </c>
      <c r="B855">
        <v>2006</v>
      </c>
      <c r="C855" t="s">
        <v>30</v>
      </c>
      <c r="D855">
        <v>57.881497060000001</v>
      </c>
      <c r="E855">
        <v>2.3014356239999998</v>
      </c>
      <c r="F855">
        <v>0.18302052299999999</v>
      </c>
      <c r="G855">
        <v>4.3630963400000002</v>
      </c>
      <c r="H855">
        <v>25.150169949999999</v>
      </c>
      <c r="I855">
        <v>33.007075710000002</v>
      </c>
      <c r="J855">
        <v>20.845121200000001</v>
      </c>
      <c r="K855">
        <v>13.089</v>
      </c>
      <c r="L855">
        <v>14.318</v>
      </c>
      <c r="N855">
        <v>4.1390009000000001</v>
      </c>
      <c r="O855">
        <v>7.9524502999999996E-2</v>
      </c>
      <c r="P855">
        <v>49.040999999999997</v>
      </c>
      <c r="Q855">
        <v>48.545000000000002</v>
      </c>
      <c r="R855">
        <v>5.46</v>
      </c>
      <c r="S855">
        <v>6.1479170490000001</v>
      </c>
      <c r="T855">
        <v>0</v>
      </c>
      <c r="U855">
        <v>0</v>
      </c>
      <c r="V855" s="1" t="str">
        <f>IF(Energy_data_1990___2020[[#This Row],[CO2 emissions from fuel combustion (MtCO2)]]&gt;Energy_data_1990___2020[[#Totals],[CO2 emissions from fuel combustion (MtCO2)]],"Above Average","")</f>
        <v/>
      </c>
      <c r="W855" s="1">
        <f>SUM(Energy_data_1990___2020[[#This Row],[Coal and lignite production (Mt)]]-Energy_data_1990___2020[[#This Row],[Coal and lignite domestic consumption (Mt)]])</f>
        <v>-5.46</v>
      </c>
    </row>
    <row r="856" spans="1:23">
      <c r="A856" t="s">
        <v>57</v>
      </c>
      <c r="B856">
        <v>2007</v>
      </c>
      <c r="C856" t="s">
        <v>30</v>
      </c>
      <c r="D856">
        <v>56.265785229999999</v>
      </c>
      <c r="E856">
        <v>2.2221071910000001</v>
      </c>
      <c r="F856">
        <v>0.17356121299999999</v>
      </c>
      <c r="G856">
        <v>4.6302086200000003</v>
      </c>
      <c r="H856">
        <v>25.32091406</v>
      </c>
      <c r="I856">
        <v>35.077137960000002</v>
      </c>
      <c r="J856">
        <v>20.669560789999998</v>
      </c>
      <c r="K856">
        <v>13.212</v>
      </c>
      <c r="L856">
        <v>13.188000000000001</v>
      </c>
      <c r="N856">
        <v>4.3439974130000003</v>
      </c>
      <c r="O856">
        <v>7.8106589000000004E-2</v>
      </c>
      <c r="P856">
        <v>47.253</v>
      </c>
      <c r="Q856">
        <v>49.676000000000002</v>
      </c>
      <c r="R856">
        <v>4.7249999999999996</v>
      </c>
      <c r="S856">
        <v>9.0195331509999992</v>
      </c>
      <c r="T856">
        <v>0</v>
      </c>
      <c r="U856">
        <v>0</v>
      </c>
      <c r="V856" s="1" t="str">
        <f>IF(Energy_data_1990___2020[[#This Row],[CO2 emissions from fuel combustion (MtCO2)]]&gt;Energy_data_1990___2020[[#Totals],[CO2 emissions from fuel combustion (MtCO2)]],"Above Average","")</f>
        <v/>
      </c>
      <c r="W856" s="1">
        <f>SUM(Energy_data_1990___2020[[#This Row],[Coal and lignite production (Mt)]]-Energy_data_1990___2020[[#This Row],[Coal and lignite domestic consumption (Mt)]])</f>
        <v>-4.7249999999999996</v>
      </c>
    </row>
    <row r="857" spans="1:23">
      <c r="A857" t="s">
        <v>57</v>
      </c>
      <c r="B857">
        <v>2008</v>
      </c>
      <c r="C857" t="s">
        <v>30</v>
      </c>
      <c r="D857">
        <v>54.317715929999999</v>
      </c>
      <c r="E857">
        <v>2.2018026700000002</v>
      </c>
      <c r="F857">
        <v>0.16701886499999999</v>
      </c>
      <c r="G857">
        <v>4.4635758900000004</v>
      </c>
      <c r="H857">
        <v>24.669656679999999</v>
      </c>
      <c r="I857">
        <v>32.933832170000002</v>
      </c>
      <c r="J857">
        <v>21.314663320000001</v>
      </c>
      <c r="K857">
        <v>12.519</v>
      </c>
      <c r="L857">
        <v>12.757999999999999</v>
      </c>
      <c r="N857">
        <v>4.7200031620000003</v>
      </c>
      <c r="O857">
        <v>7.5855510000000001E-2</v>
      </c>
      <c r="P857">
        <v>45.973999999999997</v>
      </c>
      <c r="Q857">
        <v>49.186999999999998</v>
      </c>
      <c r="R857">
        <v>4.1449999999999996</v>
      </c>
      <c r="S857">
        <v>13.029103409999999</v>
      </c>
      <c r="T857">
        <v>0</v>
      </c>
      <c r="U857">
        <v>0</v>
      </c>
      <c r="V857" s="1" t="str">
        <f>IF(Energy_data_1990___2020[[#This Row],[CO2 emissions from fuel combustion (MtCO2)]]&gt;Energy_data_1990___2020[[#Totals],[CO2 emissions from fuel combustion (MtCO2)]],"Above Average","")</f>
        <v/>
      </c>
      <c r="W857" s="1">
        <f>SUM(Energy_data_1990___2020[[#This Row],[Coal and lignite production (Mt)]]-Energy_data_1990___2020[[#This Row],[Coal and lignite domestic consumption (Mt)]])</f>
        <v>-4.1449999999999996</v>
      </c>
    </row>
    <row r="858" spans="1:23">
      <c r="A858" t="s">
        <v>57</v>
      </c>
      <c r="B858">
        <v>2009</v>
      </c>
      <c r="C858" t="s">
        <v>30</v>
      </c>
      <c r="D858">
        <v>53.808035349999997</v>
      </c>
      <c r="E858">
        <v>2.2104946550000002</v>
      </c>
      <c r="F858">
        <v>0.170783674</v>
      </c>
      <c r="G858">
        <v>4.9161312700000002</v>
      </c>
      <c r="H858">
        <v>24.342078919999999</v>
      </c>
      <c r="I858">
        <v>37.875196690000003</v>
      </c>
      <c r="J858">
        <v>21.754659279999998</v>
      </c>
      <c r="K858">
        <v>11.701000000000001</v>
      </c>
      <c r="L858">
        <v>11.314</v>
      </c>
      <c r="N858">
        <v>4.7449946220000001</v>
      </c>
      <c r="O858">
        <v>7.7260387999999999E-2</v>
      </c>
      <c r="P858">
        <v>50.207000000000001</v>
      </c>
      <c r="Q858">
        <v>48.773000000000003</v>
      </c>
      <c r="R858">
        <v>4.6710000000000003</v>
      </c>
      <c r="S858">
        <v>15.776684530000001</v>
      </c>
      <c r="T858">
        <v>0</v>
      </c>
      <c r="U858">
        <v>0</v>
      </c>
      <c r="V858" s="1" t="str">
        <f>IF(Energy_data_1990___2020[[#This Row],[CO2 emissions from fuel combustion (MtCO2)]]&gt;Energy_data_1990___2020[[#Totals],[CO2 emissions from fuel combustion (MtCO2)]],"Above Average","")</f>
        <v/>
      </c>
      <c r="W858" s="1">
        <f>SUM(Energy_data_1990___2020[[#This Row],[Coal and lignite production (Mt)]]-Energy_data_1990___2020[[#This Row],[Coal and lignite domestic consumption (Mt)]])</f>
        <v>-4.6710000000000003</v>
      </c>
    </row>
    <row r="859" spans="1:23">
      <c r="A859" t="s">
        <v>57</v>
      </c>
      <c r="B859">
        <v>2010</v>
      </c>
      <c r="C859" t="s">
        <v>30</v>
      </c>
      <c r="D859">
        <v>48.471491870000001</v>
      </c>
      <c r="E859">
        <v>2.063331163</v>
      </c>
      <c r="F859">
        <v>0.15121818000000001</v>
      </c>
      <c r="G859">
        <v>5.7918848550000002</v>
      </c>
      <c r="H859">
        <v>23.491862449999999</v>
      </c>
      <c r="I859">
        <v>53.15585136</v>
      </c>
      <c r="J859">
        <v>22.643739360000001</v>
      </c>
      <c r="K859">
        <v>11.305</v>
      </c>
      <c r="L859">
        <v>11.912000000000001</v>
      </c>
      <c r="N859">
        <v>5.1400042340000001</v>
      </c>
      <c r="O859">
        <v>7.3288371000000005E-2</v>
      </c>
      <c r="P859">
        <v>54.09</v>
      </c>
      <c r="Q859">
        <v>50.613</v>
      </c>
      <c r="R859">
        <v>2.6880000000000002</v>
      </c>
      <c r="S859">
        <v>17.729709740000001</v>
      </c>
      <c r="T859">
        <v>0</v>
      </c>
      <c r="U859">
        <v>0</v>
      </c>
      <c r="V859" s="1" t="str">
        <f>IF(Energy_data_1990___2020[[#This Row],[CO2 emissions from fuel combustion (MtCO2)]]&gt;Energy_data_1990___2020[[#Totals],[CO2 emissions from fuel combustion (MtCO2)]],"Above Average","")</f>
        <v/>
      </c>
      <c r="W859" s="1">
        <f>SUM(Energy_data_1990___2020[[#This Row],[Coal and lignite production (Mt)]]-Energy_data_1990___2020[[#This Row],[Coal and lignite domestic consumption (Mt)]])</f>
        <v>-2.6880000000000002</v>
      </c>
    </row>
    <row r="860" spans="1:23">
      <c r="A860" t="s">
        <v>57</v>
      </c>
      <c r="B860">
        <v>2011</v>
      </c>
      <c r="C860" t="s">
        <v>30</v>
      </c>
      <c r="D860">
        <v>48.0000851</v>
      </c>
      <c r="E860">
        <v>2.101856701</v>
      </c>
      <c r="F860">
        <v>0.152331307</v>
      </c>
      <c r="G860">
        <v>5.5206993950000003</v>
      </c>
      <c r="H860">
        <v>22.836992209999998</v>
      </c>
      <c r="I860">
        <v>47.061738750000004</v>
      </c>
      <c r="J860">
        <v>22.907891599999999</v>
      </c>
      <c r="K860">
        <v>10.321999999999999</v>
      </c>
      <c r="L860">
        <v>10.82</v>
      </c>
      <c r="N860">
        <v>5.1839987000000001</v>
      </c>
      <c r="O860">
        <v>7.2474640000000007E-2</v>
      </c>
      <c r="P860">
        <v>52.463000000000001</v>
      </c>
      <c r="Q860">
        <v>49.113999999999997</v>
      </c>
      <c r="R860">
        <v>3.7210000000000001</v>
      </c>
      <c r="S860">
        <v>18.395821819999998</v>
      </c>
      <c r="T860">
        <v>0</v>
      </c>
      <c r="U860">
        <v>0</v>
      </c>
      <c r="V860" s="1" t="str">
        <f>IF(Energy_data_1990___2020[[#This Row],[CO2 emissions from fuel combustion (MtCO2)]]&gt;Energy_data_1990___2020[[#Totals],[CO2 emissions from fuel combustion (MtCO2)]],"Above Average","")</f>
        <v/>
      </c>
      <c r="W860" s="1">
        <f>SUM(Energy_data_1990___2020[[#This Row],[Coal and lignite production (Mt)]]-Energy_data_1990___2020[[#This Row],[Coal and lignite domestic consumption (Mt)]])</f>
        <v>-3.7210000000000001</v>
      </c>
    </row>
    <row r="861" spans="1:23">
      <c r="A861" t="s">
        <v>57</v>
      </c>
      <c r="B861">
        <v>2012</v>
      </c>
      <c r="C861" t="s">
        <v>30</v>
      </c>
      <c r="D861">
        <v>46.504663379999997</v>
      </c>
      <c r="E861">
        <v>2.1679981970000002</v>
      </c>
      <c r="F861">
        <v>0.15382669299999999</v>
      </c>
      <c r="G861">
        <v>4.7168627250000004</v>
      </c>
      <c r="H861">
        <v>21.450508320000001</v>
      </c>
      <c r="I861">
        <v>43.782044409999997</v>
      </c>
      <c r="J861">
        <v>24.26184645</v>
      </c>
      <c r="K861">
        <v>9.14</v>
      </c>
      <c r="L861">
        <v>11.673</v>
      </c>
      <c r="N861">
        <v>4.4900041249999996</v>
      </c>
      <c r="O861">
        <v>7.0953329999999995E-2</v>
      </c>
      <c r="P861">
        <v>46.615000000000002</v>
      </c>
      <c r="Q861">
        <v>47.11</v>
      </c>
      <c r="R861">
        <v>4.8650000000000002</v>
      </c>
      <c r="S861">
        <v>23.164217529999998</v>
      </c>
      <c r="T861">
        <v>1.6E-2</v>
      </c>
      <c r="U861">
        <v>0</v>
      </c>
      <c r="V861" s="1" t="str">
        <f>IF(Energy_data_1990___2020[[#This Row],[CO2 emissions from fuel combustion (MtCO2)]]&gt;Energy_data_1990___2020[[#Totals],[CO2 emissions from fuel combustion (MtCO2)]],"Above Average","")</f>
        <v/>
      </c>
      <c r="W861" s="1">
        <f>SUM(Energy_data_1990___2020[[#This Row],[Coal and lignite production (Mt)]]-Energy_data_1990___2020[[#This Row],[Coal and lignite domestic consumption (Mt)]])</f>
        <v>-4.8650000000000002</v>
      </c>
    </row>
    <row r="862" spans="1:23">
      <c r="A862" t="s">
        <v>57</v>
      </c>
      <c r="B862">
        <v>2013</v>
      </c>
      <c r="C862" t="s">
        <v>30</v>
      </c>
      <c r="D862">
        <v>45.090323589999997</v>
      </c>
      <c r="E862">
        <v>2.0908562499999999</v>
      </c>
      <c r="F862">
        <v>0.15053730700000001</v>
      </c>
      <c r="G862">
        <v>5.8211217790000003</v>
      </c>
      <c r="H862">
        <v>21.565482370000002</v>
      </c>
      <c r="I862">
        <v>59.23789987</v>
      </c>
      <c r="J862">
        <v>23.985042369999999</v>
      </c>
      <c r="K862">
        <v>9.1829999999999998</v>
      </c>
      <c r="L862">
        <v>13.941000000000001</v>
      </c>
      <c r="N862">
        <v>4.2639969229999997</v>
      </c>
      <c r="O862">
        <v>7.1997923000000005E-2</v>
      </c>
      <c r="P862">
        <v>51.673000000000002</v>
      </c>
      <c r="Q862">
        <v>46.273000000000003</v>
      </c>
      <c r="R862">
        <v>4.4379999999999997</v>
      </c>
      <c r="S862">
        <v>24.558279949999999</v>
      </c>
      <c r="T862">
        <v>7.5999999999999998E-2</v>
      </c>
      <c r="U862">
        <v>0</v>
      </c>
      <c r="V862" s="1" t="str">
        <f>IF(Energy_data_1990___2020[[#This Row],[CO2 emissions from fuel combustion (MtCO2)]]&gt;Energy_data_1990___2020[[#Totals],[CO2 emissions from fuel combustion (MtCO2)]],"Above Average","")</f>
        <v/>
      </c>
      <c r="W862" s="1">
        <f>SUM(Energy_data_1990___2020[[#This Row],[Coal and lignite production (Mt)]]-Energy_data_1990___2020[[#This Row],[Coal and lignite domestic consumption (Mt)]])</f>
        <v>-4.4379999999999997</v>
      </c>
    </row>
    <row r="863" spans="1:23">
      <c r="A863" t="s">
        <v>57</v>
      </c>
      <c r="B863">
        <v>2014</v>
      </c>
      <c r="C863" t="s">
        <v>30</v>
      </c>
      <c r="D863">
        <v>44.178224159999999</v>
      </c>
      <c r="E863">
        <v>2.080464911</v>
      </c>
      <c r="F863">
        <v>0.14633296000000001</v>
      </c>
      <c r="G863">
        <v>6.0457454080000002</v>
      </c>
      <c r="H863">
        <v>21.234784550000001</v>
      </c>
      <c r="I863">
        <v>61.367725319999998</v>
      </c>
      <c r="J863">
        <v>24.010799420000001</v>
      </c>
      <c r="K863">
        <v>9.0269999999999992</v>
      </c>
      <c r="L863">
        <v>12.662000000000001</v>
      </c>
      <c r="N863">
        <v>4.079001377</v>
      </c>
      <c r="O863">
        <v>7.0336662999999994E-2</v>
      </c>
      <c r="P863">
        <v>52.802999999999997</v>
      </c>
      <c r="Q863">
        <v>46.139000000000003</v>
      </c>
      <c r="R863">
        <v>4.5289999999999999</v>
      </c>
      <c r="S863">
        <v>24.511864859999999</v>
      </c>
      <c r="T863">
        <v>7.1999999999999995E-2</v>
      </c>
      <c r="U863">
        <v>0</v>
      </c>
      <c r="V863" s="1" t="str">
        <f>IF(Energy_data_1990___2020[[#This Row],[CO2 emissions from fuel combustion (MtCO2)]]&gt;Energy_data_1990___2020[[#Totals],[CO2 emissions from fuel combustion (MtCO2)]],"Above Average","")</f>
        <v/>
      </c>
      <c r="W863" s="1">
        <f>SUM(Energy_data_1990___2020[[#This Row],[Coal and lignite production (Mt)]]-Energy_data_1990___2020[[#This Row],[Coal and lignite domestic consumption (Mt)]])</f>
        <v>-4.5289999999999999</v>
      </c>
    </row>
    <row r="864" spans="1:23">
      <c r="A864" t="s">
        <v>57</v>
      </c>
      <c r="B864">
        <v>2015</v>
      </c>
      <c r="C864" t="s">
        <v>30</v>
      </c>
      <c r="D864">
        <v>48.228577719999997</v>
      </c>
      <c r="E864">
        <v>2.1893327139999998</v>
      </c>
      <c r="F864">
        <v>0.15693669900000001</v>
      </c>
      <c r="G864">
        <v>5.3680869380000003</v>
      </c>
      <c r="H864">
        <v>22.028893740000001</v>
      </c>
      <c r="I864">
        <v>48.666539489999998</v>
      </c>
      <c r="J864">
        <v>24.256393150000001</v>
      </c>
      <c r="K864">
        <v>9.1240000000000006</v>
      </c>
      <c r="L864">
        <v>15.092000000000001</v>
      </c>
      <c r="N864">
        <v>4.7359764760000003</v>
      </c>
      <c r="O864">
        <v>7.1682435000000003E-2</v>
      </c>
      <c r="P864">
        <v>52.42</v>
      </c>
      <c r="Q864">
        <v>46.848999999999997</v>
      </c>
      <c r="R864">
        <v>5.5129999999999999</v>
      </c>
      <c r="S864">
        <v>24.049980919999999</v>
      </c>
      <c r="T864">
        <v>7.0000000000000007E-2</v>
      </c>
      <c r="U864">
        <v>0</v>
      </c>
      <c r="V864" s="1" t="str">
        <f>IF(Energy_data_1990___2020[[#This Row],[CO2 emissions from fuel combustion (MtCO2)]]&gt;Energy_data_1990___2020[[#Totals],[CO2 emissions from fuel combustion (MtCO2)]],"Above Average","")</f>
        <v/>
      </c>
      <c r="W864" s="1">
        <f>SUM(Energy_data_1990___2020[[#This Row],[Coal and lignite production (Mt)]]-Energy_data_1990___2020[[#This Row],[Coal and lignite domestic consumption (Mt)]])</f>
        <v>-5.5129999999999999</v>
      </c>
    </row>
    <row r="865" spans="1:23">
      <c r="A865" t="s">
        <v>57</v>
      </c>
      <c r="B865">
        <v>2016</v>
      </c>
      <c r="C865" t="s">
        <v>30</v>
      </c>
      <c r="D865">
        <v>47.631424170000003</v>
      </c>
      <c r="E865">
        <v>2.1783336069999999</v>
      </c>
      <c r="F865">
        <v>0.151925439</v>
      </c>
      <c r="G865">
        <v>6.0659346899999997</v>
      </c>
      <c r="H865">
        <v>21.865991510000001</v>
      </c>
      <c r="I865">
        <v>55.523877409999997</v>
      </c>
      <c r="J865">
        <v>24.698208189999999</v>
      </c>
      <c r="K865">
        <v>9.0389999999999997</v>
      </c>
      <c r="L865">
        <v>14.914999999999999</v>
      </c>
      <c r="N865">
        <v>5.0490040780000003</v>
      </c>
      <c r="O865">
        <v>6.9743879999999994E-2</v>
      </c>
      <c r="P865">
        <v>60.329000000000001</v>
      </c>
      <c r="Q865">
        <v>47.36</v>
      </c>
      <c r="R865">
        <v>4.8109999999999999</v>
      </c>
      <c r="S865">
        <v>22.40381906</v>
      </c>
      <c r="T865">
        <v>7.0999999999999994E-2</v>
      </c>
      <c r="U865">
        <v>0.28100000000000003</v>
      </c>
      <c r="V865" s="1" t="str">
        <f>IF(Energy_data_1990___2020[[#This Row],[CO2 emissions from fuel combustion (MtCO2)]]&gt;Energy_data_1990___2020[[#Totals],[CO2 emissions from fuel combustion (MtCO2)]],"Above Average","")</f>
        <v/>
      </c>
      <c r="W865" s="1">
        <f>SUM(Energy_data_1990___2020[[#This Row],[Coal and lignite production (Mt)]]-Energy_data_1990___2020[[#This Row],[Coal and lignite domestic consumption (Mt)]])</f>
        <v>-4.53</v>
      </c>
    </row>
    <row r="866" spans="1:23">
      <c r="A866" t="s">
        <v>57</v>
      </c>
      <c r="B866">
        <v>2017</v>
      </c>
      <c r="C866" t="s">
        <v>30</v>
      </c>
      <c r="D866">
        <v>51.994306229999999</v>
      </c>
      <c r="E866">
        <v>2.2768215540000001</v>
      </c>
      <c r="F866">
        <v>0.160223327</v>
      </c>
      <c r="G866">
        <v>5.287093595</v>
      </c>
      <c r="H866">
        <v>22.836355409999999</v>
      </c>
      <c r="I866">
        <v>40.900521789999999</v>
      </c>
      <c r="J866">
        <v>24.403265730000001</v>
      </c>
      <c r="K866">
        <v>9.1516409999999997</v>
      </c>
      <c r="L866">
        <v>15.477508</v>
      </c>
      <c r="N866">
        <v>6.2822512259999996</v>
      </c>
      <c r="O866">
        <v>7.0371490999999994E-2</v>
      </c>
      <c r="P866">
        <v>59.431721000000003</v>
      </c>
      <c r="Q866">
        <v>47.660587999999997</v>
      </c>
      <c r="R866">
        <v>5.4538060000000002</v>
      </c>
      <c r="S866">
        <v>22.641215450000001</v>
      </c>
      <c r="T866">
        <v>7.0827000000000001E-2</v>
      </c>
      <c r="U866">
        <v>0.27</v>
      </c>
      <c r="V866" s="1" t="str">
        <f>IF(Energy_data_1990___2020[[#This Row],[CO2 emissions from fuel combustion (MtCO2)]]&gt;Energy_data_1990___2020[[#Totals],[CO2 emissions from fuel combustion (MtCO2)]],"Above Average","")</f>
        <v/>
      </c>
      <c r="W866" s="1">
        <f>SUM(Energy_data_1990___2020[[#This Row],[Coal and lignite production (Mt)]]-Energy_data_1990___2020[[#This Row],[Coal and lignite domestic consumption (Mt)]])</f>
        <v>-5.1838060000000006</v>
      </c>
    </row>
    <row r="867" spans="1:23">
      <c r="A867" t="s">
        <v>57</v>
      </c>
      <c r="B867">
        <v>2018</v>
      </c>
      <c r="C867" t="s">
        <v>30</v>
      </c>
      <c r="D867">
        <v>48.126542620000002</v>
      </c>
      <c r="E867">
        <v>2.1807364279999999</v>
      </c>
      <c r="F867">
        <v>0.14477036800000001</v>
      </c>
      <c r="G867">
        <v>5.9357587079999998</v>
      </c>
      <c r="H867">
        <v>22.068940569999999</v>
      </c>
      <c r="I867">
        <v>51.373214820000001</v>
      </c>
      <c r="J867">
        <v>25.44853329</v>
      </c>
      <c r="K867">
        <v>8.5965900000000008</v>
      </c>
      <c r="L867">
        <v>13.795726</v>
      </c>
      <c r="N867">
        <v>5.7289763440000003</v>
      </c>
      <c r="O867">
        <v>6.6386000000000001E-2</v>
      </c>
      <c r="P867">
        <v>59.636080999999997</v>
      </c>
      <c r="Q867">
        <v>48.897005</v>
      </c>
      <c r="R867">
        <v>4.5523379999999998</v>
      </c>
      <c r="S867">
        <v>23.22900293</v>
      </c>
      <c r="T867">
        <v>6.5379999999999994E-2</v>
      </c>
      <c r="U867">
        <v>0.221</v>
      </c>
      <c r="V867" s="1" t="str">
        <f>IF(Energy_data_1990___2020[[#This Row],[CO2 emissions from fuel combustion (MtCO2)]]&gt;Energy_data_1990___2020[[#Totals],[CO2 emissions from fuel combustion (MtCO2)]],"Above Average","")</f>
        <v/>
      </c>
      <c r="W867" s="1">
        <f>SUM(Energy_data_1990___2020[[#This Row],[Coal and lignite production (Mt)]]-Energy_data_1990___2020[[#This Row],[Coal and lignite domestic consumption (Mt)]])</f>
        <v>-4.3313379999999997</v>
      </c>
    </row>
    <row r="868" spans="1:23">
      <c r="A868" t="s">
        <v>57</v>
      </c>
      <c r="B868">
        <v>2019</v>
      </c>
      <c r="C868" t="s">
        <v>30</v>
      </c>
      <c r="D868">
        <v>44.528239650000003</v>
      </c>
      <c r="E868">
        <v>2.0534167769999998</v>
      </c>
      <c r="F868">
        <v>0.13110776199999999</v>
      </c>
      <c r="G868">
        <v>5.7479460859999998</v>
      </c>
      <c r="H868">
        <v>21.684949769999999</v>
      </c>
      <c r="I868">
        <v>54.122772519999998</v>
      </c>
      <c r="J868">
        <v>24.005366030000001</v>
      </c>
      <c r="K868">
        <v>9.2556159579999999</v>
      </c>
      <c r="L868">
        <v>13.08160137</v>
      </c>
      <c r="N868">
        <v>6.0070529620000004</v>
      </c>
      <c r="O868">
        <v>6.3848587999999998E-2</v>
      </c>
      <c r="P868">
        <v>52.955840940000002</v>
      </c>
      <c r="Q868">
        <v>48.176225109999997</v>
      </c>
      <c r="R868">
        <v>2.1159794839999999</v>
      </c>
      <c r="S868">
        <v>28.941462210000001</v>
      </c>
      <c r="T868">
        <v>6.6000000000000003E-2</v>
      </c>
      <c r="U868">
        <v>0.19700000000000001</v>
      </c>
      <c r="V868" s="1" t="str">
        <f>IF(Energy_data_1990___2020[[#This Row],[CO2 emissions from fuel combustion (MtCO2)]]&gt;Energy_data_1990___2020[[#Totals],[CO2 emissions from fuel combustion (MtCO2)]],"Above Average","")</f>
        <v/>
      </c>
      <c r="W868" s="1">
        <f>SUM(Energy_data_1990___2020[[#This Row],[Coal and lignite production (Mt)]]-Energy_data_1990___2020[[#This Row],[Coal and lignite domestic consumption (Mt)]])</f>
        <v>-1.9189794839999998</v>
      </c>
    </row>
    <row r="869" spans="1:23">
      <c r="A869" t="s">
        <v>57</v>
      </c>
      <c r="B869">
        <v>2020</v>
      </c>
      <c r="C869" t="s">
        <v>30</v>
      </c>
      <c r="D869">
        <v>38.90538033</v>
      </c>
      <c r="E869">
        <v>1.9438118090000001</v>
      </c>
      <c r="F869">
        <v>0.12397398799999999</v>
      </c>
      <c r="G869">
        <v>6.1490694220000002</v>
      </c>
      <c r="H869">
        <v>20.0149933</v>
      </c>
      <c r="I869">
        <v>59.700641339999997</v>
      </c>
      <c r="J869">
        <v>24.43401699</v>
      </c>
      <c r="K869">
        <v>8.1930634690000002</v>
      </c>
      <c r="L869">
        <v>11.570706960000001</v>
      </c>
      <c r="N869">
        <v>5.9667547760000001</v>
      </c>
      <c r="O869">
        <v>6.3778801999999996E-2</v>
      </c>
      <c r="P869">
        <v>53.099291170000001</v>
      </c>
      <c r="Q869">
        <v>45.991309829999999</v>
      </c>
      <c r="R869">
        <v>0.96087489400000003</v>
      </c>
      <c r="S869">
        <v>26.803741989999999</v>
      </c>
      <c r="T869">
        <v>6.6625878999999999E-2</v>
      </c>
      <c r="U869">
        <v>0.14699999999999999</v>
      </c>
      <c r="V869" s="1" t="str">
        <f>IF(Energy_data_1990___2020[[#This Row],[CO2 emissions from fuel combustion (MtCO2)]]&gt;Energy_data_1990___2020[[#Totals],[CO2 emissions from fuel combustion (MtCO2)]],"Above Average","")</f>
        <v/>
      </c>
      <c r="W869" s="1">
        <f>SUM(Energy_data_1990___2020[[#This Row],[Coal and lignite production (Mt)]]-Energy_data_1990___2020[[#This Row],[Coal and lignite domestic consumption (Mt)]])</f>
        <v>-0.81387489400000002</v>
      </c>
    </row>
    <row r="870" spans="1:23">
      <c r="A870" t="s">
        <v>58</v>
      </c>
      <c r="B870">
        <v>1990</v>
      </c>
      <c r="C870" t="s">
        <v>30</v>
      </c>
      <c r="D870">
        <v>163.01396370000001</v>
      </c>
      <c r="E870">
        <v>2.6300110710000002</v>
      </c>
      <c r="F870">
        <v>0.58643183899999995</v>
      </c>
      <c r="G870">
        <v>40.45642307</v>
      </c>
      <c r="H870">
        <v>61.98223479</v>
      </c>
      <c r="I870">
        <v>17.744017169999999</v>
      </c>
      <c r="J870">
        <v>10.48767468</v>
      </c>
      <c r="K870">
        <v>17.032</v>
      </c>
      <c r="L870">
        <v>22.617999999999999</v>
      </c>
      <c r="M870">
        <v>28.336014120000002</v>
      </c>
      <c r="N870">
        <v>35.667967650000001</v>
      </c>
      <c r="O870">
        <v>0.22297694700000001</v>
      </c>
      <c r="P870">
        <v>64.308999999999997</v>
      </c>
      <c r="Q870">
        <v>60.216000000000001</v>
      </c>
      <c r="R870">
        <v>46.953000000000003</v>
      </c>
      <c r="S870">
        <v>0</v>
      </c>
      <c r="T870">
        <v>7.9290000000000003</v>
      </c>
      <c r="U870">
        <v>38.183</v>
      </c>
      <c r="V870" s="1" t="str">
        <f>IF(Energy_data_1990___2020[[#This Row],[CO2 emissions from fuel combustion (MtCO2)]]&gt;Energy_data_1990___2020[[#Totals],[CO2 emissions from fuel combustion (MtCO2)]],"Above Average","")</f>
        <v/>
      </c>
      <c r="W870" s="1">
        <f>SUM(Energy_data_1990___2020[[#This Row],[Coal and lignite production (Mt)]]-Energy_data_1990___2020[[#This Row],[Coal and lignite domestic consumption (Mt)]])</f>
        <v>-8.7700000000000031</v>
      </c>
    </row>
    <row r="871" spans="1:23">
      <c r="A871" t="s">
        <v>58</v>
      </c>
      <c r="B871">
        <v>1991</v>
      </c>
      <c r="C871" t="s">
        <v>30</v>
      </c>
      <c r="D871">
        <v>135.5843701</v>
      </c>
      <c r="E871">
        <v>2.6546339479999999</v>
      </c>
      <c r="F871">
        <v>0.56011218100000004</v>
      </c>
      <c r="G871">
        <v>35.651148820000003</v>
      </c>
      <c r="H871">
        <v>51.074601139999999</v>
      </c>
      <c r="I871">
        <v>25.681742159999999</v>
      </c>
      <c r="J871">
        <v>10.74358557</v>
      </c>
      <c r="K871">
        <v>14.336</v>
      </c>
      <c r="L871">
        <v>14.736000000000001</v>
      </c>
      <c r="M871">
        <v>24.807023050000002</v>
      </c>
      <c r="N871">
        <v>29.432988590000001</v>
      </c>
      <c r="O871">
        <v>0.21099413</v>
      </c>
      <c r="P871">
        <v>56.802999999999997</v>
      </c>
      <c r="Q871">
        <v>50.881</v>
      </c>
      <c r="R871">
        <v>39.661000000000001</v>
      </c>
      <c r="S871">
        <v>0</v>
      </c>
      <c r="T871">
        <v>6.7910000000000004</v>
      </c>
      <c r="U871">
        <v>32.414000000000001</v>
      </c>
      <c r="V871" s="1" t="str">
        <f>IF(Energy_data_1990___2020[[#This Row],[CO2 emissions from fuel combustion (MtCO2)]]&gt;Energy_data_1990___2020[[#Totals],[CO2 emissions from fuel combustion (MtCO2)]],"Above Average","")</f>
        <v/>
      </c>
      <c r="W871" s="1">
        <f>SUM(Energy_data_1990___2020[[#This Row],[Coal and lignite production (Mt)]]-Energy_data_1990___2020[[#This Row],[Coal and lignite domestic consumption (Mt)]])</f>
        <v>-7.2469999999999999</v>
      </c>
    </row>
    <row r="872" spans="1:23">
      <c r="A872" t="s">
        <v>58</v>
      </c>
      <c r="B872">
        <v>1992</v>
      </c>
      <c r="C872" t="s">
        <v>30</v>
      </c>
      <c r="D872">
        <v>127.2579183</v>
      </c>
      <c r="E872">
        <v>2.7624442870000001</v>
      </c>
      <c r="F872">
        <v>0.57623460599999998</v>
      </c>
      <c r="G872">
        <v>33.703261310000002</v>
      </c>
      <c r="H872">
        <v>46.067143829999999</v>
      </c>
      <c r="I872">
        <v>21.592397819999999</v>
      </c>
      <c r="J872">
        <v>12.010408119999999</v>
      </c>
      <c r="K872">
        <v>11.867000000000001</v>
      </c>
      <c r="L872">
        <v>12.955</v>
      </c>
      <c r="M872">
        <v>21.782002640000002</v>
      </c>
      <c r="N872">
        <v>26.48100599</v>
      </c>
      <c r="O872">
        <v>0.20859591899999999</v>
      </c>
      <c r="P872">
        <v>54.195</v>
      </c>
      <c r="Q872">
        <v>46.735999999999997</v>
      </c>
      <c r="R872">
        <v>43.853529610000002</v>
      </c>
      <c r="S872">
        <v>0</v>
      </c>
      <c r="T872">
        <v>6.827</v>
      </c>
      <c r="U872">
        <v>38.369999999999997</v>
      </c>
      <c r="V872" s="1" t="str">
        <f>IF(Energy_data_1990___2020[[#This Row],[CO2 emissions from fuel combustion (MtCO2)]]&gt;Energy_data_1990___2020[[#Totals],[CO2 emissions from fuel combustion (MtCO2)]],"Above Average","")</f>
        <v/>
      </c>
      <c r="W872" s="1">
        <f>SUM(Energy_data_1990___2020[[#This Row],[Coal and lignite production (Mt)]]-Energy_data_1990___2020[[#This Row],[Coal and lignite domestic consumption (Mt)]])</f>
        <v>-5.4835296100000051</v>
      </c>
    </row>
    <row r="873" spans="1:23">
      <c r="A873" t="s">
        <v>58</v>
      </c>
      <c r="B873">
        <v>1993</v>
      </c>
      <c r="C873" t="s">
        <v>30</v>
      </c>
      <c r="D873">
        <v>118.4838429</v>
      </c>
      <c r="E873">
        <v>2.5962544730000001</v>
      </c>
      <c r="F873">
        <v>0.52842609100000004</v>
      </c>
      <c r="G873">
        <v>33.497068779999999</v>
      </c>
      <c r="H873">
        <v>45.636452120000001</v>
      </c>
      <c r="I873">
        <v>23.017160570000001</v>
      </c>
      <c r="J873">
        <v>11.57718053</v>
      </c>
      <c r="K873">
        <v>11.106</v>
      </c>
      <c r="L873">
        <v>13.217000000000001</v>
      </c>
      <c r="M873">
        <v>20.737024080000001</v>
      </c>
      <c r="N873">
        <v>24.953019529999999</v>
      </c>
      <c r="O873">
        <v>0.20353401300000001</v>
      </c>
      <c r="P873">
        <v>55.475999999999999</v>
      </c>
      <c r="Q873">
        <v>42.688000000000002</v>
      </c>
      <c r="R873">
        <v>44.96530362</v>
      </c>
      <c r="S873">
        <v>0</v>
      </c>
      <c r="T873">
        <v>6.931</v>
      </c>
      <c r="U873">
        <v>39.777000000000001</v>
      </c>
      <c r="V873" s="1" t="str">
        <f>IF(Energy_data_1990___2020[[#This Row],[CO2 emissions from fuel combustion (MtCO2)]]&gt;Energy_data_1990___2020[[#Totals],[CO2 emissions from fuel combustion (MtCO2)]],"Above Average","")</f>
        <v/>
      </c>
      <c r="W873" s="1">
        <f>SUM(Energy_data_1990___2020[[#This Row],[Coal and lignite production (Mt)]]-Energy_data_1990___2020[[#This Row],[Coal and lignite domestic consumption (Mt)]])</f>
        <v>-5.1883036199999992</v>
      </c>
    </row>
    <row r="874" spans="1:23">
      <c r="A874" t="s">
        <v>58</v>
      </c>
      <c r="B874">
        <v>1994</v>
      </c>
      <c r="C874" t="s">
        <v>30</v>
      </c>
      <c r="D874">
        <v>113.6217118</v>
      </c>
      <c r="E874">
        <v>2.6399123109999998</v>
      </c>
      <c r="F874">
        <v>0.48757047999999997</v>
      </c>
      <c r="G874">
        <v>31.814664969999999</v>
      </c>
      <c r="H874">
        <v>43.039956779999997</v>
      </c>
      <c r="I874">
        <v>23.66149158</v>
      </c>
      <c r="J874">
        <v>10.98751624</v>
      </c>
      <c r="K874">
        <v>10.986000000000001</v>
      </c>
      <c r="L874">
        <v>14.752000000000001</v>
      </c>
      <c r="M874">
        <v>18.5110004</v>
      </c>
      <c r="N874">
        <v>24.010018070000001</v>
      </c>
      <c r="O874">
        <v>0.18469192300000001</v>
      </c>
      <c r="P874">
        <v>55.136000000000003</v>
      </c>
      <c r="Q874">
        <v>40.948999999999998</v>
      </c>
      <c r="R874">
        <v>43.845024080000002</v>
      </c>
      <c r="S874">
        <v>0</v>
      </c>
      <c r="T874">
        <v>6.9740000000000002</v>
      </c>
      <c r="U874">
        <v>40.566000000000003</v>
      </c>
      <c r="V874" s="1" t="str">
        <f>IF(Energy_data_1990___2020[[#This Row],[CO2 emissions from fuel combustion (MtCO2)]]&gt;Energy_data_1990___2020[[#Totals],[CO2 emissions from fuel combustion (MtCO2)]],"Above Average","")</f>
        <v/>
      </c>
      <c r="W874" s="1">
        <f>SUM(Energy_data_1990___2020[[#This Row],[Coal and lignite production (Mt)]]-Energy_data_1990___2020[[#This Row],[Coal and lignite domestic consumption (Mt)]])</f>
        <v>-3.2790240799999992</v>
      </c>
    </row>
    <row r="875" spans="1:23">
      <c r="A875" t="s">
        <v>58</v>
      </c>
      <c r="B875">
        <v>1995</v>
      </c>
      <c r="C875" t="s">
        <v>30</v>
      </c>
      <c r="D875">
        <v>117.12431220000001</v>
      </c>
      <c r="E875">
        <v>2.5130989380000002</v>
      </c>
      <c r="F875">
        <v>0.473109416</v>
      </c>
      <c r="G875">
        <v>32.485225010000001</v>
      </c>
      <c r="H875">
        <v>46.6055317</v>
      </c>
      <c r="I875">
        <v>28.166233590000001</v>
      </c>
      <c r="J875">
        <v>11.206948349999999</v>
      </c>
      <c r="K875">
        <v>11.101000000000001</v>
      </c>
      <c r="L875">
        <v>14.558999999999999</v>
      </c>
      <c r="M875">
        <v>18.043012480000002</v>
      </c>
      <c r="N875">
        <v>23.962983619999999</v>
      </c>
      <c r="O875">
        <v>0.188257378</v>
      </c>
      <c r="P875">
        <v>59.265999999999998</v>
      </c>
      <c r="Q875">
        <v>43.107999999999997</v>
      </c>
      <c r="R875">
        <v>45.010866479999997</v>
      </c>
      <c r="S875">
        <v>0</v>
      </c>
      <c r="T875">
        <v>7.04</v>
      </c>
      <c r="U875">
        <v>41.127000000000002</v>
      </c>
      <c r="V875" s="1" t="str">
        <f>IF(Energy_data_1990___2020[[#This Row],[CO2 emissions from fuel combustion (MtCO2)]]&gt;Energy_data_1990___2020[[#Totals],[CO2 emissions from fuel combustion (MtCO2)]],"Above Average","")</f>
        <v/>
      </c>
      <c r="W875" s="1">
        <f>SUM(Energy_data_1990___2020[[#This Row],[Coal and lignite production (Mt)]]-Energy_data_1990___2020[[#This Row],[Coal and lignite domestic consumption (Mt)]])</f>
        <v>-3.8838664799999947</v>
      </c>
    </row>
    <row r="876" spans="1:23">
      <c r="A876" t="s">
        <v>58</v>
      </c>
      <c r="B876">
        <v>1996</v>
      </c>
      <c r="C876" t="s">
        <v>30</v>
      </c>
      <c r="D876">
        <v>121.9590185</v>
      </c>
      <c r="E876">
        <v>2.5488187180000001</v>
      </c>
      <c r="F876">
        <v>0.47411175</v>
      </c>
      <c r="G876">
        <v>32.979549259999999</v>
      </c>
      <c r="H876">
        <v>47.849232120000003</v>
      </c>
      <c r="I876">
        <v>25.680521599999999</v>
      </c>
      <c r="J876">
        <v>10.9408744</v>
      </c>
      <c r="K876">
        <v>12.81</v>
      </c>
      <c r="L876">
        <v>13.246</v>
      </c>
      <c r="M876">
        <v>17.249003940000001</v>
      </c>
      <c r="N876">
        <v>24.180020150000001</v>
      </c>
      <c r="O876">
        <v>0.186012346</v>
      </c>
      <c r="P876">
        <v>61.35</v>
      </c>
      <c r="Q876">
        <v>46.146999999999998</v>
      </c>
      <c r="R876">
        <v>45.335214000000001</v>
      </c>
      <c r="S876">
        <v>0</v>
      </c>
      <c r="T876">
        <v>6.9649999999999999</v>
      </c>
      <c r="U876">
        <v>41.871000000000002</v>
      </c>
      <c r="V876" s="1" t="str">
        <f>IF(Energy_data_1990___2020[[#This Row],[CO2 emissions from fuel combustion (MtCO2)]]&gt;Energy_data_1990___2020[[#Totals],[CO2 emissions from fuel combustion (MtCO2)]],"Above Average","")</f>
        <v/>
      </c>
      <c r="W876" s="1">
        <f>SUM(Energy_data_1990___2020[[#This Row],[Coal and lignite production (Mt)]]-Energy_data_1990___2020[[#This Row],[Coal and lignite domestic consumption (Mt)]])</f>
        <v>-3.4642139999999984</v>
      </c>
    </row>
    <row r="877" spans="1:23">
      <c r="A877" t="s">
        <v>58</v>
      </c>
      <c r="B877">
        <v>1997</v>
      </c>
      <c r="C877" t="s">
        <v>30</v>
      </c>
      <c r="D877">
        <v>112.54323170000001</v>
      </c>
      <c r="E877">
        <v>2.507301875</v>
      </c>
      <c r="F877">
        <v>0.45980438499999998</v>
      </c>
      <c r="G877">
        <v>31.601577070000001</v>
      </c>
      <c r="H877">
        <v>44.886191320000002</v>
      </c>
      <c r="I877">
        <v>30.657240850000001</v>
      </c>
      <c r="J877">
        <v>10.82917267</v>
      </c>
      <c r="K877">
        <v>13.138999999999999</v>
      </c>
      <c r="L877">
        <v>12.302</v>
      </c>
      <c r="M877">
        <v>14.96500247</v>
      </c>
      <c r="N877">
        <v>20.867974839999999</v>
      </c>
      <c r="O877">
        <v>0.18338612900000001</v>
      </c>
      <c r="P877">
        <v>57.148000000000003</v>
      </c>
      <c r="Q877">
        <v>46.738999999999997</v>
      </c>
      <c r="R877">
        <v>37.801023870000002</v>
      </c>
      <c r="S877">
        <v>0</v>
      </c>
      <c r="T877">
        <v>6.8550000000000004</v>
      </c>
      <c r="U877">
        <v>33.807000000000002</v>
      </c>
      <c r="V877" s="1" t="str">
        <f>IF(Energy_data_1990___2020[[#This Row],[CO2 emissions from fuel combustion (MtCO2)]]&gt;Energy_data_1990___2020[[#Totals],[CO2 emissions from fuel combustion (MtCO2)]],"Above Average","")</f>
        <v/>
      </c>
      <c r="W877" s="1">
        <f>SUM(Energy_data_1990___2020[[#This Row],[Coal and lignite production (Mt)]]-Energy_data_1990___2020[[#This Row],[Coal and lignite domestic consumption (Mt)]])</f>
        <v>-3.9940238699999995</v>
      </c>
    </row>
    <row r="878" spans="1:23">
      <c r="A878" t="s">
        <v>58</v>
      </c>
      <c r="B878">
        <v>1998</v>
      </c>
      <c r="C878" t="s">
        <v>30</v>
      </c>
      <c r="D878">
        <v>97.990676359999995</v>
      </c>
      <c r="E878">
        <v>2.3855038529999999</v>
      </c>
      <c r="F878">
        <v>0.40864345299999999</v>
      </c>
      <c r="G878">
        <v>29.058076150000002</v>
      </c>
      <c r="H878">
        <v>41.077559460000003</v>
      </c>
      <c r="I878">
        <v>35.311051290000002</v>
      </c>
      <c r="J878">
        <v>11.41144218</v>
      </c>
      <c r="K878">
        <v>11.48</v>
      </c>
      <c r="L878">
        <v>13.025</v>
      </c>
      <c r="M878">
        <v>14.004001329999999</v>
      </c>
      <c r="N878">
        <v>18.741992379999999</v>
      </c>
      <c r="O878">
        <v>0.17130278500000001</v>
      </c>
      <c r="P878">
        <v>53.496000000000002</v>
      </c>
      <c r="Q878">
        <v>44.029000000000003</v>
      </c>
      <c r="R878">
        <v>31.36196399</v>
      </c>
      <c r="S878">
        <v>0</v>
      </c>
      <c r="T878">
        <v>6.7240000000000002</v>
      </c>
      <c r="U878">
        <v>26.234999999999999</v>
      </c>
      <c r="V878" s="1" t="str">
        <f>IF(Energy_data_1990___2020[[#This Row],[CO2 emissions from fuel combustion (MtCO2)]]&gt;Energy_data_1990___2020[[#Totals],[CO2 emissions from fuel combustion (MtCO2)]],"Above Average","")</f>
        <v/>
      </c>
      <c r="W878" s="1">
        <f>SUM(Energy_data_1990___2020[[#This Row],[Coal and lignite production (Mt)]]-Energy_data_1990___2020[[#This Row],[Coal and lignite domestic consumption (Mt)]])</f>
        <v>-5.1269639900000001</v>
      </c>
    </row>
    <row r="879" spans="1:23">
      <c r="A879" t="s">
        <v>58</v>
      </c>
      <c r="B879">
        <v>1999</v>
      </c>
      <c r="C879" t="s">
        <v>30</v>
      </c>
      <c r="D879">
        <v>84.022073359999993</v>
      </c>
      <c r="E879">
        <v>2.3166289949999999</v>
      </c>
      <c r="F879">
        <v>0.35171597100000002</v>
      </c>
      <c r="G879">
        <v>27.961083769999998</v>
      </c>
      <c r="H879">
        <v>36.269110650000002</v>
      </c>
      <c r="I879">
        <v>36.067836720000003</v>
      </c>
      <c r="J879">
        <v>12.070409679999999</v>
      </c>
      <c r="K879">
        <v>9.5329999999999995</v>
      </c>
      <c r="L879">
        <v>10.458</v>
      </c>
      <c r="M879">
        <v>14.02699426</v>
      </c>
      <c r="N879">
        <v>17.135017789999999</v>
      </c>
      <c r="O879">
        <v>0.15182231199999999</v>
      </c>
      <c r="P879">
        <v>50.71</v>
      </c>
      <c r="Q879">
        <v>38.996000000000002</v>
      </c>
      <c r="R879">
        <v>27.957000000000001</v>
      </c>
      <c r="S879">
        <v>0</v>
      </c>
      <c r="T879">
        <v>6.4349999999999996</v>
      </c>
      <c r="U879">
        <v>22.893000000000001</v>
      </c>
      <c r="V879" s="1" t="str">
        <f>IF(Energy_data_1990___2020[[#This Row],[CO2 emissions from fuel combustion (MtCO2)]]&gt;Energy_data_1990___2020[[#Totals],[CO2 emissions from fuel combustion (MtCO2)]],"Above Average","")</f>
        <v/>
      </c>
      <c r="W879" s="1">
        <f>SUM(Energy_data_1990___2020[[#This Row],[Coal and lignite production (Mt)]]-Energy_data_1990___2020[[#This Row],[Coal and lignite domestic consumption (Mt)]])</f>
        <v>-5.0640000000000001</v>
      </c>
    </row>
    <row r="880" spans="1:23">
      <c r="A880" t="s">
        <v>58</v>
      </c>
      <c r="B880">
        <v>2000</v>
      </c>
      <c r="C880" t="s">
        <v>30</v>
      </c>
      <c r="D880">
        <v>87.33891903</v>
      </c>
      <c r="E880">
        <v>2.4091948369999998</v>
      </c>
      <c r="F880">
        <v>0.356818038</v>
      </c>
      <c r="G880">
        <v>28.327253259999999</v>
      </c>
      <c r="H880">
        <v>36.252327000000001</v>
      </c>
      <c r="I880">
        <v>28.45534717</v>
      </c>
      <c r="J880">
        <v>11.96236287</v>
      </c>
      <c r="K880">
        <v>9.7249999999999996</v>
      </c>
      <c r="L880">
        <v>10.99</v>
      </c>
      <c r="M880">
        <v>13.750016840000001</v>
      </c>
      <c r="N880">
        <v>17.119998280000001</v>
      </c>
      <c r="O880">
        <v>0.14810675800000001</v>
      </c>
      <c r="P880">
        <v>51.933999999999997</v>
      </c>
      <c r="Q880">
        <v>41.3</v>
      </c>
      <c r="R880">
        <v>32.006716539999999</v>
      </c>
      <c r="S880">
        <v>0</v>
      </c>
      <c r="T880">
        <v>6.3390000000000004</v>
      </c>
      <c r="U880">
        <v>29.294</v>
      </c>
      <c r="V880" s="1" t="str">
        <f>IF(Energy_data_1990___2020[[#This Row],[CO2 emissions from fuel combustion (MtCO2)]]&gt;Energy_data_1990___2020[[#Totals],[CO2 emissions from fuel combustion (MtCO2)]],"Above Average","")</f>
        <v/>
      </c>
      <c r="W880" s="1">
        <f>SUM(Energy_data_1990___2020[[#This Row],[Coal and lignite production (Mt)]]-Energy_data_1990___2020[[#This Row],[Coal and lignite domestic consumption (Mt)]])</f>
        <v>-2.7127165399999988</v>
      </c>
    </row>
    <row r="881" spans="1:23">
      <c r="A881" t="s">
        <v>58</v>
      </c>
      <c r="B881">
        <v>2001</v>
      </c>
      <c r="C881" t="s">
        <v>30</v>
      </c>
      <c r="D881">
        <v>93.635125740000007</v>
      </c>
      <c r="E881">
        <v>2.5383951439999999</v>
      </c>
      <c r="F881">
        <v>0.36356928100000002</v>
      </c>
      <c r="G881">
        <v>27.762994750000001</v>
      </c>
      <c r="H881">
        <v>36.887529499999999</v>
      </c>
      <c r="I881">
        <v>27.70393198</v>
      </c>
      <c r="J881">
        <v>12.569545379999999</v>
      </c>
      <c r="K881">
        <v>11.169</v>
      </c>
      <c r="L881">
        <v>12.073</v>
      </c>
      <c r="M881">
        <v>13.56799065</v>
      </c>
      <c r="N881">
        <v>16.564991500000001</v>
      </c>
      <c r="O881">
        <v>0.14322800799999999</v>
      </c>
      <c r="P881">
        <v>53.866</v>
      </c>
      <c r="Q881">
        <v>42.298999999999999</v>
      </c>
      <c r="R881">
        <v>34.422833359999998</v>
      </c>
      <c r="S881">
        <v>0</v>
      </c>
      <c r="T881">
        <v>6.2729999999999997</v>
      </c>
      <c r="U881">
        <v>33.302999999999997</v>
      </c>
      <c r="V881" s="1" t="str">
        <f>IF(Energy_data_1990___2020[[#This Row],[CO2 emissions from fuel combustion (MtCO2)]]&gt;Energy_data_1990___2020[[#Totals],[CO2 emissions from fuel combustion (MtCO2)]],"Above Average","")</f>
        <v/>
      </c>
      <c r="W881" s="1">
        <f>SUM(Energy_data_1990___2020[[#This Row],[Coal and lignite production (Mt)]]-Energy_data_1990___2020[[#This Row],[Coal and lignite domestic consumption (Mt)]])</f>
        <v>-1.1198333600000012</v>
      </c>
    </row>
    <row r="882" spans="1:23">
      <c r="A882" t="s">
        <v>58</v>
      </c>
      <c r="B882">
        <v>2002</v>
      </c>
      <c r="C882" t="s">
        <v>30</v>
      </c>
      <c r="D882">
        <v>93.308522929999995</v>
      </c>
      <c r="E882">
        <v>2.4414254070000001</v>
      </c>
      <c r="F882">
        <v>0.34275391100000002</v>
      </c>
      <c r="G882">
        <v>29.307793279999999</v>
      </c>
      <c r="H882">
        <v>38.218871100000001</v>
      </c>
      <c r="I882">
        <v>29.321275239999999</v>
      </c>
      <c r="J882">
        <v>12.317400080000001</v>
      </c>
      <c r="K882">
        <v>10.602</v>
      </c>
      <c r="L882">
        <v>13.228</v>
      </c>
      <c r="M882">
        <v>13.44399788</v>
      </c>
      <c r="N882">
        <v>17.19001475</v>
      </c>
      <c r="O882">
        <v>0.14039090000000001</v>
      </c>
      <c r="P882">
        <v>54.734999999999999</v>
      </c>
      <c r="Q882">
        <v>41.515999999999998</v>
      </c>
      <c r="R882">
        <v>34.812529609999999</v>
      </c>
      <c r="S882">
        <v>0</v>
      </c>
      <c r="T882">
        <v>7.3620000000000001</v>
      </c>
      <c r="U882">
        <v>30.428000000000001</v>
      </c>
      <c r="V882" s="1" t="str">
        <f>IF(Energy_data_1990___2020[[#This Row],[CO2 emissions from fuel combustion (MtCO2)]]&gt;Energy_data_1990___2020[[#Totals],[CO2 emissions from fuel combustion (MtCO2)]],"Above Average","")</f>
        <v/>
      </c>
      <c r="W882" s="1">
        <f>SUM(Energy_data_1990___2020[[#This Row],[Coal and lignite production (Mt)]]-Energy_data_1990___2020[[#This Row],[Coal and lignite domestic consumption (Mt)]])</f>
        <v>-4.3845296099999977</v>
      </c>
    </row>
    <row r="883" spans="1:23">
      <c r="A883" t="s">
        <v>58</v>
      </c>
      <c r="B883">
        <v>2003</v>
      </c>
      <c r="C883" t="s">
        <v>30</v>
      </c>
      <c r="D883">
        <v>95.899423959999993</v>
      </c>
      <c r="E883">
        <v>2.4092921330000001</v>
      </c>
      <c r="F883">
        <v>0.34421264600000001</v>
      </c>
      <c r="G883">
        <v>29.445275070000001</v>
      </c>
      <c r="H883">
        <v>39.803983350000003</v>
      </c>
      <c r="I883">
        <v>24.051505259999999</v>
      </c>
      <c r="J883">
        <v>12.569218749999999</v>
      </c>
      <c r="K883">
        <v>10.122</v>
      </c>
      <c r="L883">
        <v>12.04</v>
      </c>
      <c r="M883">
        <v>13.029004970000001</v>
      </c>
      <c r="N883">
        <v>18.434016929999999</v>
      </c>
      <c r="O883">
        <v>0.142868787</v>
      </c>
      <c r="P883">
        <v>55.14</v>
      </c>
      <c r="Q883">
        <v>44.459000000000003</v>
      </c>
      <c r="R883">
        <v>37.954565350000003</v>
      </c>
      <c r="S883">
        <v>0</v>
      </c>
      <c r="T883">
        <v>7.1669999999999998</v>
      </c>
      <c r="U883">
        <v>33.082000000000001</v>
      </c>
      <c r="V883" s="1" t="str">
        <f>IF(Energy_data_1990___2020[[#This Row],[CO2 emissions from fuel combustion (MtCO2)]]&gt;Energy_data_1990___2020[[#Totals],[CO2 emissions from fuel combustion (MtCO2)]],"Above Average","")</f>
        <v/>
      </c>
      <c r="W883" s="1">
        <f>SUM(Energy_data_1990___2020[[#This Row],[Coal and lignite production (Mt)]]-Energy_data_1990___2020[[#This Row],[Coal and lignite domestic consumption (Mt)]])</f>
        <v>-4.8725653500000021</v>
      </c>
    </row>
    <row r="884" spans="1:23">
      <c r="A884" t="s">
        <v>58</v>
      </c>
      <c r="B884">
        <v>2004</v>
      </c>
      <c r="C884" t="s">
        <v>30</v>
      </c>
      <c r="D884">
        <v>94.235504629999994</v>
      </c>
      <c r="E884">
        <v>2.4349237989999999</v>
      </c>
      <c r="F884">
        <v>0.30629910799999999</v>
      </c>
      <c r="G884">
        <v>28.369256530000001</v>
      </c>
      <c r="H884">
        <v>38.70162371</v>
      </c>
      <c r="I884">
        <v>29.234145739999999</v>
      </c>
      <c r="J884">
        <v>12.61809994</v>
      </c>
      <c r="K884">
        <v>10.324</v>
      </c>
      <c r="L884">
        <v>13.077</v>
      </c>
      <c r="M884">
        <v>12.96498512</v>
      </c>
      <c r="N884">
        <v>17.394983790000001</v>
      </c>
      <c r="O884">
        <v>0.12579412500000001</v>
      </c>
      <c r="P884">
        <v>56.499000000000002</v>
      </c>
      <c r="Q884">
        <v>45.438000000000002</v>
      </c>
      <c r="R884">
        <v>36.202402579999998</v>
      </c>
      <c r="S884">
        <v>0</v>
      </c>
      <c r="T884">
        <v>5.7050000000000001</v>
      </c>
      <c r="U884">
        <v>31.8</v>
      </c>
      <c r="V884" s="1" t="str">
        <f>IF(Energy_data_1990___2020[[#This Row],[CO2 emissions from fuel combustion (MtCO2)]]&gt;Energy_data_1990___2020[[#Totals],[CO2 emissions from fuel combustion (MtCO2)]],"Above Average","")</f>
        <v/>
      </c>
      <c r="W884" s="1">
        <f>SUM(Energy_data_1990___2020[[#This Row],[Coal and lignite production (Mt)]]-Energy_data_1990___2020[[#This Row],[Coal and lignite domestic consumption (Mt)]])</f>
        <v>-4.4024025799999968</v>
      </c>
    </row>
    <row r="885" spans="1:23">
      <c r="A885" t="s">
        <v>58</v>
      </c>
      <c r="B885">
        <v>2005</v>
      </c>
      <c r="C885" t="s">
        <v>30</v>
      </c>
      <c r="D885">
        <v>93.137613770000002</v>
      </c>
      <c r="E885">
        <v>2.4121678279999998</v>
      </c>
      <c r="F885">
        <v>0.28922893500000002</v>
      </c>
      <c r="G885">
        <v>27.92473846</v>
      </c>
      <c r="H885">
        <v>38.611581129999998</v>
      </c>
      <c r="I885">
        <v>34.021173820000001</v>
      </c>
      <c r="J885">
        <v>12.48042139</v>
      </c>
      <c r="K885">
        <v>10.324</v>
      </c>
      <c r="L885">
        <v>14.867000000000001</v>
      </c>
      <c r="M885">
        <v>12.119995490000001</v>
      </c>
      <c r="N885">
        <v>17.284994780000002</v>
      </c>
      <c r="O885">
        <v>0.119904151</v>
      </c>
      <c r="P885">
        <v>59.412999999999997</v>
      </c>
      <c r="Q885">
        <v>46.521000000000001</v>
      </c>
      <c r="R885">
        <v>36.440963510000003</v>
      </c>
      <c r="S885">
        <v>0</v>
      </c>
      <c r="T885">
        <v>6.0720000000000001</v>
      </c>
      <c r="U885">
        <v>31.111999999999998</v>
      </c>
      <c r="V885" s="1" t="str">
        <f>IF(Energy_data_1990___2020[[#This Row],[CO2 emissions from fuel combustion (MtCO2)]]&gt;Energy_data_1990___2020[[#Totals],[CO2 emissions from fuel combustion (MtCO2)]],"Above Average","")</f>
        <v/>
      </c>
      <c r="W885" s="1">
        <f>SUM(Energy_data_1990___2020[[#This Row],[Coal and lignite production (Mt)]]-Energy_data_1990___2020[[#This Row],[Coal and lignite domestic consumption (Mt)]])</f>
        <v>-5.3289635100000048</v>
      </c>
    </row>
    <row r="886" spans="1:23">
      <c r="A886" t="s">
        <v>58</v>
      </c>
      <c r="B886">
        <v>2006</v>
      </c>
      <c r="C886" t="s">
        <v>30</v>
      </c>
      <c r="D886">
        <v>96.283275009999997</v>
      </c>
      <c r="E886">
        <v>2.4087906979999998</v>
      </c>
      <c r="F886">
        <v>0.27677565599999998</v>
      </c>
      <c r="G886">
        <v>27.981011299999999</v>
      </c>
      <c r="H886">
        <v>39.971623559999998</v>
      </c>
      <c r="I886">
        <v>29.283697780000001</v>
      </c>
      <c r="J886">
        <v>13.04041621</v>
      </c>
      <c r="K886">
        <v>10.093</v>
      </c>
      <c r="L886">
        <v>14.407</v>
      </c>
      <c r="M886">
        <v>11.94201093</v>
      </c>
      <c r="N886">
        <v>18.127986270000001</v>
      </c>
      <c r="O886">
        <v>0.114902327</v>
      </c>
      <c r="P886">
        <v>62.697000000000003</v>
      </c>
      <c r="Q886">
        <v>47.499000000000002</v>
      </c>
      <c r="R886">
        <v>41.425991969999998</v>
      </c>
      <c r="S886">
        <v>0</v>
      </c>
      <c r="T886">
        <v>5.6840000000000002</v>
      </c>
      <c r="U886">
        <v>34.932000000000002</v>
      </c>
      <c r="V886" s="1" t="str">
        <f>IF(Energy_data_1990___2020[[#This Row],[CO2 emissions from fuel combustion (MtCO2)]]&gt;Energy_data_1990___2020[[#Totals],[CO2 emissions from fuel combustion (MtCO2)]],"Above Average","")</f>
        <v/>
      </c>
      <c r="W886" s="1">
        <f>SUM(Energy_data_1990___2020[[#This Row],[Coal and lignite production (Mt)]]-Energy_data_1990___2020[[#This Row],[Coal and lignite domestic consumption (Mt)]])</f>
        <v>-6.4939919699999962</v>
      </c>
    </row>
    <row r="887" spans="1:23">
      <c r="A887" t="s">
        <v>58</v>
      </c>
      <c r="B887">
        <v>2007</v>
      </c>
      <c r="C887" t="s">
        <v>30</v>
      </c>
      <c r="D887">
        <v>93.557346319999994</v>
      </c>
      <c r="E887">
        <v>2.3514810490000002</v>
      </c>
      <c r="F887">
        <v>0.25079750000000001</v>
      </c>
      <c r="G887">
        <v>27.747639329999998</v>
      </c>
      <c r="H887">
        <v>39.786561910000003</v>
      </c>
      <c r="I887">
        <v>25.949767319999999</v>
      </c>
      <c r="J887">
        <v>13.317639249999999</v>
      </c>
      <c r="K887">
        <v>10.103999999999999</v>
      </c>
      <c r="L887">
        <v>13.835000000000001</v>
      </c>
      <c r="M887">
        <v>11.522995979999999</v>
      </c>
      <c r="N887">
        <v>16.0830175</v>
      </c>
      <c r="O887">
        <v>0.106655123</v>
      </c>
      <c r="P887">
        <v>61.673000000000002</v>
      </c>
      <c r="Q887">
        <v>47.323999999999998</v>
      </c>
      <c r="R887">
        <v>40.406524279999999</v>
      </c>
      <c r="S887">
        <v>4.8643649999999998E-3</v>
      </c>
      <c r="T887">
        <v>4.9210000000000003</v>
      </c>
      <c r="U887">
        <v>35.780999999999999</v>
      </c>
      <c r="V887" s="1" t="str">
        <f>IF(Energy_data_1990___2020[[#This Row],[CO2 emissions from fuel combustion (MtCO2)]]&gt;Energy_data_1990___2020[[#Totals],[CO2 emissions from fuel combustion (MtCO2)]],"Above Average","")</f>
        <v/>
      </c>
      <c r="W887" s="1">
        <f>SUM(Energy_data_1990___2020[[#This Row],[Coal and lignite production (Mt)]]-Energy_data_1990___2020[[#This Row],[Coal and lignite domestic consumption (Mt)]])</f>
        <v>-4.6255242800000005</v>
      </c>
    </row>
    <row r="888" spans="1:23">
      <c r="A888" t="s">
        <v>58</v>
      </c>
      <c r="B888">
        <v>2008</v>
      </c>
      <c r="C888" t="s">
        <v>30</v>
      </c>
      <c r="D888">
        <v>92.035380340000003</v>
      </c>
      <c r="E888">
        <v>2.320734903</v>
      </c>
      <c r="F888">
        <v>0.225709734</v>
      </c>
      <c r="G888">
        <v>29.01500416</v>
      </c>
      <c r="H888">
        <v>39.657860210000003</v>
      </c>
      <c r="I888">
        <v>26.51641111</v>
      </c>
      <c r="J888">
        <v>13.469062429999999</v>
      </c>
      <c r="K888">
        <v>9.8979999999999997</v>
      </c>
      <c r="L888">
        <v>14.015000000000001</v>
      </c>
      <c r="M888">
        <v>11.3690075</v>
      </c>
      <c r="N888">
        <v>16.00201779</v>
      </c>
      <c r="O888">
        <v>9.7257869999999996E-2</v>
      </c>
      <c r="P888">
        <v>64.956000000000003</v>
      </c>
      <c r="Q888">
        <v>47.893999999999998</v>
      </c>
      <c r="R888">
        <v>40.48111754</v>
      </c>
      <c r="S888">
        <v>7.6975180000000004E-3</v>
      </c>
      <c r="T888">
        <v>4.8339999999999996</v>
      </c>
      <c r="U888">
        <v>35.871000000000002</v>
      </c>
      <c r="V888" s="1" t="str">
        <f>IF(Energy_data_1990___2020[[#This Row],[CO2 emissions from fuel combustion (MtCO2)]]&gt;Energy_data_1990___2020[[#Totals],[CO2 emissions from fuel combustion (MtCO2)]],"Above Average","")</f>
        <v/>
      </c>
      <c r="W888" s="1">
        <f>SUM(Energy_data_1990___2020[[#This Row],[Coal and lignite production (Mt)]]-Energy_data_1990___2020[[#This Row],[Coal and lignite domestic consumption (Mt)]])</f>
        <v>-4.6101175399999974</v>
      </c>
    </row>
    <row r="889" spans="1:23">
      <c r="A889" t="s">
        <v>58</v>
      </c>
      <c r="B889">
        <v>2009</v>
      </c>
      <c r="C889" t="s">
        <v>30</v>
      </c>
      <c r="D889">
        <v>78.156227090000002</v>
      </c>
      <c r="E889">
        <v>2.2373522860000001</v>
      </c>
      <c r="F889">
        <v>0.202865035</v>
      </c>
      <c r="G889">
        <v>28.38828075</v>
      </c>
      <c r="H889">
        <v>34.932463519999999</v>
      </c>
      <c r="I889">
        <v>27.279622159999999</v>
      </c>
      <c r="J889">
        <v>13.69174123</v>
      </c>
      <c r="K889">
        <v>8.6639999999999997</v>
      </c>
      <c r="L889">
        <v>12.196</v>
      </c>
      <c r="M889">
        <v>11.251985530000001</v>
      </c>
      <c r="N889">
        <v>13.256994629999999</v>
      </c>
      <c r="O889">
        <v>9.0671924000000001E-2</v>
      </c>
      <c r="P889">
        <v>58.014000000000003</v>
      </c>
      <c r="Q889">
        <v>42.664999999999999</v>
      </c>
      <c r="R889">
        <v>35.152000000000001</v>
      </c>
      <c r="S889">
        <v>1.5513496999999999E-2</v>
      </c>
      <c r="T889">
        <v>4.6470000000000002</v>
      </c>
      <c r="U889">
        <v>33.97</v>
      </c>
      <c r="V889" s="1" t="str">
        <f>IF(Energy_data_1990___2020[[#This Row],[CO2 emissions from fuel combustion (MtCO2)]]&gt;Energy_data_1990___2020[[#Totals],[CO2 emissions from fuel combustion (MtCO2)]],"Above Average","")</f>
        <v/>
      </c>
      <c r="W889" s="1">
        <f>SUM(Energy_data_1990___2020[[#This Row],[Coal and lignite production (Mt)]]-Energy_data_1990___2020[[#This Row],[Coal and lignite domestic consumption (Mt)]])</f>
        <v>-1.1820000000000022</v>
      </c>
    </row>
    <row r="890" spans="1:23">
      <c r="A890" t="s">
        <v>58</v>
      </c>
      <c r="B890">
        <v>2010</v>
      </c>
      <c r="C890" t="s">
        <v>30</v>
      </c>
      <c r="D890">
        <v>74.722923219999998</v>
      </c>
      <c r="E890">
        <v>2.130237352</v>
      </c>
      <c r="F890">
        <v>0.20182718699999999</v>
      </c>
      <c r="G890">
        <v>27.520702419999999</v>
      </c>
      <c r="H890">
        <v>35.077275839999999</v>
      </c>
      <c r="I890">
        <v>33.880516239999999</v>
      </c>
      <c r="J890">
        <v>14.98039406</v>
      </c>
      <c r="K890">
        <v>8.0830000000000002</v>
      </c>
      <c r="L890">
        <v>10.968</v>
      </c>
      <c r="M890">
        <v>10.85499705</v>
      </c>
      <c r="N890">
        <v>13.57898325</v>
      </c>
      <c r="O890">
        <v>9.474399E-2</v>
      </c>
      <c r="P890">
        <v>60.978999999999999</v>
      </c>
      <c r="Q890">
        <v>45.972000000000001</v>
      </c>
      <c r="R890">
        <v>33.050063219999998</v>
      </c>
      <c r="S890">
        <v>0.50181209900000001</v>
      </c>
      <c r="T890">
        <v>4.3330000000000002</v>
      </c>
      <c r="U890">
        <v>31.13</v>
      </c>
      <c r="V890" s="1" t="str">
        <f>IF(Energy_data_1990___2020[[#This Row],[CO2 emissions from fuel combustion (MtCO2)]]&gt;Energy_data_1990___2020[[#Totals],[CO2 emissions from fuel combustion (MtCO2)]],"Above Average","")</f>
        <v/>
      </c>
      <c r="W890" s="1">
        <f>SUM(Energy_data_1990___2020[[#This Row],[Coal and lignite production (Mt)]]-Energy_data_1990___2020[[#This Row],[Coal and lignite domestic consumption (Mt)]])</f>
        <v>-1.9200632199999994</v>
      </c>
    </row>
    <row r="891" spans="1:23">
      <c r="A891" t="s">
        <v>58</v>
      </c>
      <c r="B891">
        <v>2011</v>
      </c>
      <c r="C891" t="s">
        <v>30</v>
      </c>
      <c r="D891">
        <v>81.594830619999996</v>
      </c>
      <c r="E891">
        <v>2.2756400870000002</v>
      </c>
      <c r="F891">
        <v>0.21605176500000001</v>
      </c>
      <c r="G891">
        <v>27.623526389999999</v>
      </c>
      <c r="H891">
        <v>35.855771339999997</v>
      </c>
      <c r="I891">
        <v>26.5731231</v>
      </c>
      <c r="J891">
        <v>15.27727385</v>
      </c>
      <c r="K891">
        <v>8.4890000000000008</v>
      </c>
      <c r="L891">
        <v>10.445</v>
      </c>
      <c r="M891">
        <v>10.90099931</v>
      </c>
      <c r="N891">
        <v>13.927013390000001</v>
      </c>
      <c r="O891">
        <v>9.4941097000000002E-2</v>
      </c>
      <c r="P891">
        <v>62.216999999999999</v>
      </c>
      <c r="Q891">
        <v>47.25</v>
      </c>
      <c r="R891">
        <v>39.475999999999999</v>
      </c>
      <c r="S891">
        <v>2.2325088000000002</v>
      </c>
      <c r="T891">
        <v>4.2709999999999999</v>
      </c>
      <c r="U891">
        <v>35.512999999999998</v>
      </c>
      <c r="V891" s="1" t="str">
        <f>IF(Energy_data_1990___2020[[#This Row],[CO2 emissions from fuel combustion (MtCO2)]]&gt;Energy_data_1990___2020[[#Totals],[CO2 emissions from fuel combustion (MtCO2)]],"Above Average","")</f>
        <v/>
      </c>
      <c r="W891" s="1">
        <f>SUM(Energy_data_1990___2020[[#This Row],[Coal and lignite production (Mt)]]-Energy_data_1990___2020[[#This Row],[Coal and lignite domestic consumption (Mt)]])</f>
        <v>-3.963000000000001</v>
      </c>
    </row>
    <row r="892" spans="1:23">
      <c r="A892" t="s">
        <v>58</v>
      </c>
      <c r="B892">
        <v>2012</v>
      </c>
      <c r="C892" t="s">
        <v>30</v>
      </c>
      <c r="D892">
        <v>79.146253580000007</v>
      </c>
      <c r="E892">
        <v>2.2621522619999999</v>
      </c>
      <c r="F892">
        <v>0.20530377599999999</v>
      </c>
      <c r="G892">
        <v>27.24322759</v>
      </c>
      <c r="H892">
        <v>34.987146930000002</v>
      </c>
      <c r="I892">
        <v>25.73799644</v>
      </c>
      <c r="J892">
        <v>14.928635509999999</v>
      </c>
      <c r="K892">
        <v>8.8759999999999994</v>
      </c>
      <c r="L892">
        <v>9.85</v>
      </c>
      <c r="M892">
        <v>10.93499413</v>
      </c>
      <c r="N892">
        <v>13.53299893</v>
      </c>
      <c r="O892">
        <v>9.0755949000000002E-2</v>
      </c>
      <c r="P892">
        <v>59.045000000000002</v>
      </c>
      <c r="Q892">
        <v>46.860999999999997</v>
      </c>
      <c r="R892">
        <v>35.761000000000003</v>
      </c>
      <c r="S892">
        <v>4.484715048</v>
      </c>
      <c r="T892">
        <v>4.0519999999999996</v>
      </c>
      <c r="U892">
        <v>33.947000000000003</v>
      </c>
      <c r="V892" s="1" t="str">
        <f>IF(Energy_data_1990___2020[[#This Row],[CO2 emissions from fuel combustion (MtCO2)]]&gt;Energy_data_1990___2020[[#Totals],[CO2 emissions from fuel combustion (MtCO2)]],"Above Average","")</f>
        <v/>
      </c>
      <c r="W892" s="1">
        <f>SUM(Energy_data_1990___2020[[#This Row],[Coal and lignite production (Mt)]]-Energy_data_1990___2020[[#This Row],[Coal and lignite domestic consumption (Mt)]])</f>
        <v>-1.8140000000000001</v>
      </c>
    </row>
    <row r="893" spans="1:23">
      <c r="A893" t="s">
        <v>58</v>
      </c>
      <c r="B893">
        <v>2013</v>
      </c>
      <c r="C893" t="s">
        <v>30</v>
      </c>
      <c r="D893">
        <v>69.56379407</v>
      </c>
      <c r="E893">
        <v>2.1767196860000002</v>
      </c>
      <c r="F893">
        <v>0.174320486</v>
      </c>
      <c r="G893">
        <v>25.975851509999998</v>
      </c>
      <c r="H893">
        <v>31.958085610000001</v>
      </c>
      <c r="I893">
        <v>34.812437379999999</v>
      </c>
      <c r="J893">
        <v>15.078577320000001</v>
      </c>
      <c r="K893">
        <v>8.2279999999999998</v>
      </c>
      <c r="L893">
        <v>10.122</v>
      </c>
      <c r="M893">
        <v>10.853992699999999</v>
      </c>
      <c r="N893">
        <v>12.57099477</v>
      </c>
      <c r="O893">
        <v>8.0084031E-2</v>
      </c>
      <c r="P893">
        <v>58.887</v>
      </c>
      <c r="Q893">
        <v>44.951999999999998</v>
      </c>
      <c r="R893">
        <v>27.285</v>
      </c>
      <c r="S893">
        <v>8.3889483249999994</v>
      </c>
      <c r="T893">
        <v>4.1959999999999997</v>
      </c>
      <c r="U893">
        <v>24.722000000000001</v>
      </c>
      <c r="V893" s="1" t="str">
        <f>IF(Energy_data_1990___2020[[#This Row],[CO2 emissions from fuel combustion (MtCO2)]]&gt;Energy_data_1990___2020[[#Totals],[CO2 emissions from fuel combustion (MtCO2)]],"Above Average","")</f>
        <v/>
      </c>
      <c r="W893" s="1">
        <f>SUM(Energy_data_1990___2020[[#This Row],[Coal and lignite production (Mt)]]-Energy_data_1990___2020[[#This Row],[Coal and lignite domestic consumption (Mt)]])</f>
        <v>-2.5629999999999988</v>
      </c>
    </row>
    <row r="894" spans="1:23">
      <c r="A894" t="s">
        <v>58</v>
      </c>
      <c r="B894">
        <v>2014</v>
      </c>
      <c r="C894" t="s">
        <v>30</v>
      </c>
      <c r="D894">
        <v>69.068689950000007</v>
      </c>
      <c r="E894">
        <v>2.182645677</v>
      </c>
      <c r="F894">
        <v>0.167371092</v>
      </c>
      <c r="G894">
        <v>26.45004458</v>
      </c>
      <c r="H894">
        <v>31.64448114</v>
      </c>
      <c r="I894">
        <v>42.027529080000001</v>
      </c>
      <c r="J894">
        <v>15.62490326</v>
      </c>
      <c r="K894">
        <v>8.407</v>
      </c>
      <c r="L894">
        <v>11.666</v>
      </c>
      <c r="M894">
        <v>11.05600503</v>
      </c>
      <c r="N894">
        <v>11.96599777</v>
      </c>
      <c r="O894">
        <v>7.6682666999999996E-2</v>
      </c>
      <c r="P894">
        <v>65.676000000000002</v>
      </c>
      <c r="Q894">
        <v>45.808</v>
      </c>
      <c r="R894">
        <v>27.263999999999999</v>
      </c>
      <c r="S894">
        <v>11.90236921</v>
      </c>
      <c r="T894">
        <v>4.141</v>
      </c>
      <c r="U894">
        <v>23.567</v>
      </c>
      <c r="V894" s="1" t="str">
        <f>IF(Energy_data_1990___2020[[#This Row],[CO2 emissions from fuel combustion (MtCO2)]]&gt;Energy_data_1990___2020[[#Totals],[CO2 emissions from fuel combustion (MtCO2)]],"Above Average","")</f>
        <v/>
      </c>
      <c r="W894" s="1">
        <f>SUM(Energy_data_1990___2020[[#This Row],[Coal and lignite production (Mt)]]-Energy_data_1990___2020[[#This Row],[Coal and lignite domestic consumption (Mt)]])</f>
        <v>-3.6969999999999992</v>
      </c>
    </row>
    <row r="895" spans="1:23">
      <c r="A895" t="s">
        <v>58</v>
      </c>
      <c r="B895">
        <v>2015</v>
      </c>
      <c r="C895" t="s">
        <v>30</v>
      </c>
      <c r="D895">
        <v>69.435314460000001</v>
      </c>
      <c r="E895">
        <v>2.1756652170000002</v>
      </c>
      <c r="F895">
        <v>0.16198811099999999</v>
      </c>
      <c r="G895">
        <v>26.540511009999999</v>
      </c>
      <c r="H895">
        <v>31.91452155</v>
      </c>
      <c r="I895">
        <v>40.086883069999999</v>
      </c>
      <c r="J895">
        <v>16.210351589999998</v>
      </c>
      <c r="K895">
        <v>8.5869999999999997</v>
      </c>
      <c r="L895">
        <v>11.53</v>
      </c>
      <c r="M895">
        <v>11.091995199999999</v>
      </c>
      <c r="N895">
        <v>11.298985350000001</v>
      </c>
      <c r="O895">
        <v>7.4454520999999996E-2</v>
      </c>
      <c r="P895">
        <v>66.296000000000006</v>
      </c>
      <c r="Q895">
        <v>46.798000000000002</v>
      </c>
      <c r="R895">
        <v>28.411000000000001</v>
      </c>
      <c r="S895">
        <v>13.64335707</v>
      </c>
      <c r="T895">
        <v>4.1050000000000004</v>
      </c>
      <c r="U895">
        <v>25.497</v>
      </c>
      <c r="V895" s="1" t="str">
        <f>IF(Energy_data_1990___2020[[#This Row],[CO2 emissions from fuel combustion (MtCO2)]]&gt;Energy_data_1990___2020[[#Totals],[CO2 emissions from fuel combustion (MtCO2)]],"Above Average","")</f>
        <v/>
      </c>
      <c r="W895" s="1">
        <f>SUM(Energy_data_1990___2020[[#This Row],[Coal and lignite production (Mt)]]-Energy_data_1990___2020[[#This Row],[Coal and lignite domestic consumption (Mt)]])</f>
        <v>-2.9140000000000015</v>
      </c>
    </row>
    <row r="896" spans="1:23">
      <c r="A896" t="s">
        <v>58</v>
      </c>
      <c r="B896">
        <v>2016</v>
      </c>
      <c r="C896" t="s">
        <v>30</v>
      </c>
      <c r="D896">
        <v>67.911433049999999</v>
      </c>
      <c r="E896">
        <v>2.131282643</v>
      </c>
      <c r="F896">
        <v>0.151175367</v>
      </c>
      <c r="G896">
        <v>24.949967560000001</v>
      </c>
      <c r="H896">
        <v>31.864113969999998</v>
      </c>
      <c r="I896">
        <v>42.205428320000003</v>
      </c>
      <c r="J896">
        <v>16.04464072</v>
      </c>
      <c r="K896">
        <v>8.9939999999999998</v>
      </c>
      <c r="L896">
        <v>12.194000000000001</v>
      </c>
      <c r="M896">
        <v>9.8109930700000003</v>
      </c>
      <c r="N896">
        <v>11.269984839999999</v>
      </c>
      <c r="O896">
        <v>7.0931637000000006E-2</v>
      </c>
      <c r="P896">
        <v>65.102999999999994</v>
      </c>
      <c r="Q896">
        <v>47.142000000000003</v>
      </c>
      <c r="R896">
        <v>25.285</v>
      </c>
      <c r="S896">
        <v>12.91799149</v>
      </c>
      <c r="T896">
        <v>3.9129999999999998</v>
      </c>
      <c r="U896">
        <v>22.986999999999998</v>
      </c>
      <c r="V896" s="1" t="str">
        <f>IF(Energy_data_1990___2020[[#This Row],[CO2 emissions from fuel combustion (MtCO2)]]&gt;Energy_data_1990___2020[[#Totals],[CO2 emissions from fuel combustion (MtCO2)]],"Above Average","")</f>
        <v/>
      </c>
      <c r="W896" s="1">
        <f>SUM(Energy_data_1990___2020[[#This Row],[Coal and lignite production (Mt)]]-Energy_data_1990___2020[[#This Row],[Coal and lignite domestic consumption (Mt)]])</f>
        <v>-2.2980000000000018</v>
      </c>
    </row>
    <row r="897" spans="1:23">
      <c r="A897" t="s">
        <v>58</v>
      </c>
      <c r="B897">
        <v>2017</v>
      </c>
      <c r="C897" t="s">
        <v>30</v>
      </c>
      <c r="D897">
        <v>71.084086389999996</v>
      </c>
      <c r="E897">
        <v>2.1290687500000001</v>
      </c>
      <c r="F897">
        <v>0.14773202899999999</v>
      </c>
      <c r="G897">
        <v>25.558106639999998</v>
      </c>
      <c r="H897">
        <v>33.387407709999998</v>
      </c>
      <c r="I897">
        <v>38.32397306</v>
      </c>
      <c r="J897">
        <v>15.971520590000001</v>
      </c>
      <c r="K897">
        <v>9.4137710000000006</v>
      </c>
      <c r="L897">
        <v>12.462137</v>
      </c>
      <c r="M897">
        <v>10.58191605</v>
      </c>
      <c r="N897">
        <v>11.878270629999999</v>
      </c>
      <c r="O897">
        <v>6.9388096999999996E-2</v>
      </c>
      <c r="P897">
        <v>64.296019000000001</v>
      </c>
      <c r="Q897">
        <v>48.860709</v>
      </c>
      <c r="R897">
        <v>27.064689000000001</v>
      </c>
      <c r="S897">
        <v>14.40583125</v>
      </c>
      <c r="T897">
        <v>3.730807</v>
      </c>
      <c r="U897">
        <v>25.759221</v>
      </c>
      <c r="V897" s="1" t="str">
        <f>IF(Energy_data_1990___2020[[#This Row],[CO2 emissions from fuel combustion (MtCO2)]]&gt;Energy_data_1990___2020[[#Totals],[CO2 emissions from fuel combustion (MtCO2)]],"Above Average","")</f>
        <v/>
      </c>
      <c r="W897" s="1">
        <f>SUM(Energy_data_1990___2020[[#This Row],[Coal and lignite production (Mt)]]-Energy_data_1990___2020[[#This Row],[Coal and lignite domestic consumption (Mt)]])</f>
        <v>-1.3054680000000012</v>
      </c>
    </row>
    <row r="898" spans="1:23">
      <c r="A898" t="s">
        <v>58</v>
      </c>
      <c r="B898">
        <v>2018</v>
      </c>
      <c r="C898" t="s">
        <v>30</v>
      </c>
      <c r="D898">
        <v>71.564964680000003</v>
      </c>
      <c r="E898">
        <v>2.127693152</v>
      </c>
      <c r="F898">
        <v>0.14307452900000001</v>
      </c>
      <c r="G898">
        <v>25.118382270000001</v>
      </c>
      <c r="H898">
        <v>33.635002589999999</v>
      </c>
      <c r="I898">
        <v>41.043670319999997</v>
      </c>
      <c r="J898">
        <v>16.05604392</v>
      </c>
      <c r="K898">
        <v>9.5586920000000006</v>
      </c>
      <c r="L898">
        <v>12.584127000000001</v>
      </c>
      <c r="M898">
        <v>10.277685140000001</v>
      </c>
      <c r="N898">
        <v>11.7705097</v>
      </c>
      <c r="O898">
        <v>6.7243967000000002E-2</v>
      </c>
      <c r="P898">
        <v>64.876463999999999</v>
      </c>
      <c r="Q898">
        <v>49.777628</v>
      </c>
      <c r="R898">
        <v>26.168868140000001</v>
      </c>
      <c r="S898">
        <v>12.47485683</v>
      </c>
      <c r="T898">
        <v>3.6739639999999998</v>
      </c>
      <c r="U898">
        <v>23.652908</v>
      </c>
      <c r="V898" s="1" t="str">
        <f>IF(Energy_data_1990___2020[[#This Row],[CO2 emissions from fuel combustion (MtCO2)]]&gt;Energy_data_1990___2020[[#Totals],[CO2 emissions from fuel combustion (MtCO2)]],"Above Average","")</f>
        <v/>
      </c>
      <c r="W898" s="1">
        <f>SUM(Energy_data_1990___2020[[#This Row],[Coal and lignite production (Mt)]]-Energy_data_1990___2020[[#This Row],[Coal and lignite domestic consumption (Mt)]])</f>
        <v>-2.5159601400000007</v>
      </c>
    </row>
    <row r="899" spans="1:23">
      <c r="A899" t="s">
        <v>58</v>
      </c>
      <c r="B899">
        <v>2019</v>
      </c>
      <c r="C899" t="s">
        <v>30</v>
      </c>
      <c r="D899">
        <v>69.089195500000002</v>
      </c>
      <c r="E899">
        <v>2.0849104340000002</v>
      </c>
      <c r="F899">
        <v>0.13271032599999999</v>
      </c>
      <c r="G899">
        <v>24.564303280000001</v>
      </c>
      <c r="H899">
        <v>33.13772831</v>
      </c>
      <c r="I899">
        <v>41.827141580000003</v>
      </c>
      <c r="J899">
        <v>15.78860072</v>
      </c>
      <c r="K899">
        <v>9.596063612</v>
      </c>
      <c r="L899">
        <v>13.26908499</v>
      </c>
      <c r="M899">
        <v>9.9590230099999992</v>
      </c>
      <c r="N899">
        <v>10.996623230000001</v>
      </c>
      <c r="O899">
        <v>6.3652770999999997E-2</v>
      </c>
      <c r="P899">
        <v>59.622805</v>
      </c>
      <c r="Q899">
        <v>49.75086924</v>
      </c>
      <c r="R899">
        <v>23.64040559</v>
      </c>
      <c r="S899">
        <v>14.336201730000001</v>
      </c>
      <c r="T899">
        <v>3.6650465620000001</v>
      </c>
      <c r="U899">
        <v>21.729271260000001</v>
      </c>
      <c r="V899" s="1" t="str">
        <f>IF(Energy_data_1990___2020[[#This Row],[CO2 emissions from fuel combustion (MtCO2)]]&gt;Energy_data_1990___2020[[#Totals],[CO2 emissions from fuel combustion (MtCO2)]],"Above Average","")</f>
        <v/>
      </c>
      <c r="W899" s="1">
        <f>SUM(Energy_data_1990___2020[[#This Row],[Coal and lignite production (Mt)]]-Energy_data_1990___2020[[#This Row],[Coal and lignite domestic consumption (Mt)]])</f>
        <v>-1.9111343299999994</v>
      </c>
    </row>
    <row r="900" spans="1:23">
      <c r="A900" t="s">
        <v>58</v>
      </c>
      <c r="B900">
        <v>2020</v>
      </c>
      <c r="C900" t="s">
        <v>30</v>
      </c>
      <c r="D900">
        <v>63.869606830000002</v>
      </c>
      <c r="E900">
        <v>1.9715092190000001</v>
      </c>
      <c r="F900">
        <v>0.129141319</v>
      </c>
      <c r="G900">
        <v>22.538718459999998</v>
      </c>
      <c r="H900">
        <v>32.396301379999997</v>
      </c>
      <c r="I900">
        <v>44.169258720000002</v>
      </c>
      <c r="J900">
        <v>15.277375749999999</v>
      </c>
      <c r="K900">
        <v>9.5820824590000004</v>
      </c>
      <c r="L900">
        <v>11.683483430000001</v>
      </c>
      <c r="M900">
        <v>8.9882497719999996</v>
      </c>
      <c r="N900">
        <v>11.578739860000001</v>
      </c>
      <c r="O900">
        <v>6.5503786999999994E-2</v>
      </c>
      <c r="P900">
        <v>56.268120519999997</v>
      </c>
      <c r="Q900">
        <v>48.06571623</v>
      </c>
      <c r="R900">
        <v>16.77492732</v>
      </c>
      <c r="S900">
        <v>15.50929116</v>
      </c>
      <c r="T900">
        <v>3.5530504660000002</v>
      </c>
      <c r="U900">
        <v>15.055932390000001</v>
      </c>
      <c r="V900" s="1" t="str">
        <f>IF(Energy_data_1990___2020[[#This Row],[CO2 emissions from fuel combustion (MtCO2)]]&gt;Energy_data_1990___2020[[#Totals],[CO2 emissions from fuel combustion (MtCO2)]],"Above Average","")</f>
        <v/>
      </c>
      <c r="W900" s="1">
        <f>SUM(Energy_data_1990___2020[[#This Row],[Coal and lignite production (Mt)]]-Energy_data_1990___2020[[#This Row],[Coal and lignite domestic consumption (Mt)]])</f>
        <v>-1.7189949299999991</v>
      </c>
    </row>
    <row r="901" spans="1:23">
      <c r="A901" t="s">
        <v>59</v>
      </c>
      <c r="B901">
        <v>1990</v>
      </c>
      <c r="C901" t="s">
        <v>30</v>
      </c>
      <c r="D901">
        <v>2189.0861519999999</v>
      </c>
      <c r="E901">
        <v>2.4909406000000001</v>
      </c>
      <c r="F901">
        <v>0.72400579399999998</v>
      </c>
      <c r="G901">
        <v>1292.768435</v>
      </c>
      <c r="H901">
        <v>878.81909020000001</v>
      </c>
      <c r="I901">
        <v>15.33814104</v>
      </c>
      <c r="J901">
        <v>11.266252830000001</v>
      </c>
      <c r="K901">
        <v>213.74</v>
      </c>
      <c r="L901">
        <v>267.72300000000001</v>
      </c>
      <c r="M901">
        <v>628.89238820000003</v>
      </c>
      <c r="N901">
        <v>471.54946380000001</v>
      </c>
      <c r="O901">
        <v>0.29065558400000002</v>
      </c>
      <c r="P901">
        <v>1082.152</v>
      </c>
      <c r="Q901">
        <v>917.40899999999999</v>
      </c>
      <c r="R901">
        <v>388.19400000000002</v>
      </c>
      <c r="S901">
        <v>2.5874370000000002E-3</v>
      </c>
      <c r="T901">
        <v>523.67899999999997</v>
      </c>
      <c r="U901">
        <v>376.613</v>
      </c>
      <c r="V901" s="1" t="str">
        <f>IF(Energy_data_1990___2020[[#This Row],[CO2 emissions from fuel combustion (MtCO2)]]&gt;Energy_data_1990___2020[[#Totals],[CO2 emissions from fuel combustion (MtCO2)]],"Above Average","")</f>
        <v>Above Average</v>
      </c>
      <c r="W901" s="1">
        <f>SUM(Energy_data_1990___2020[[#This Row],[Coal and lignite production (Mt)]]-Energy_data_1990___2020[[#This Row],[Coal and lignite domestic consumption (Mt)]])</f>
        <v>-11.581000000000017</v>
      </c>
    </row>
    <row r="902" spans="1:23">
      <c r="A902" t="s">
        <v>59</v>
      </c>
      <c r="B902">
        <v>1991</v>
      </c>
      <c r="C902" t="s">
        <v>30</v>
      </c>
      <c r="D902">
        <v>2189.865781</v>
      </c>
      <c r="E902">
        <v>2.5148160869999998</v>
      </c>
      <c r="F902">
        <v>0.76275966299999998</v>
      </c>
      <c r="G902">
        <v>1217.5747409999999</v>
      </c>
      <c r="H902">
        <v>870.78565790000005</v>
      </c>
      <c r="I902">
        <v>15.69414031</v>
      </c>
      <c r="J902">
        <v>11.238766330000001</v>
      </c>
      <c r="K902">
        <v>221.12</v>
      </c>
      <c r="L902">
        <v>278.55599999999998</v>
      </c>
      <c r="M902">
        <v>631.73709129999997</v>
      </c>
      <c r="N902">
        <v>486.01799629999999</v>
      </c>
      <c r="O902">
        <v>0.30330634000000001</v>
      </c>
      <c r="P902">
        <v>1068.163</v>
      </c>
      <c r="Q902">
        <v>898.51099999999997</v>
      </c>
      <c r="R902">
        <v>365.58</v>
      </c>
      <c r="S902">
        <v>2.7149409999999998E-3</v>
      </c>
      <c r="T902">
        <v>469.56900000000002</v>
      </c>
      <c r="U902">
        <v>337.863</v>
      </c>
      <c r="V902" s="1" t="str">
        <f>IF(Energy_data_1990___2020[[#This Row],[CO2 emissions from fuel combustion (MtCO2)]]&gt;Energy_data_1990___2020[[#Totals],[CO2 emissions from fuel combustion (MtCO2)]],"Above Average","")</f>
        <v>Above Average</v>
      </c>
      <c r="W902" s="1">
        <f>SUM(Energy_data_1990___2020[[#This Row],[Coal and lignite production (Mt)]]-Energy_data_1990___2020[[#This Row],[Coal and lignite domestic consumption (Mt)]])</f>
        <v>-27.716999999999985</v>
      </c>
    </row>
    <row r="903" spans="1:23">
      <c r="A903" t="s">
        <v>59</v>
      </c>
      <c r="B903">
        <v>1992</v>
      </c>
      <c r="C903" t="s">
        <v>30</v>
      </c>
      <c r="D903">
        <v>2017.2133309999999</v>
      </c>
      <c r="E903">
        <v>2.5361843830000002</v>
      </c>
      <c r="F903">
        <v>0.82207947000000003</v>
      </c>
      <c r="G903">
        <v>1138.50153</v>
      </c>
      <c r="H903">
        <v>795.37329539999996</v>
      </c>
      <c r="I903">
        <v>17.046556599999999</v>
      </c>
      <c r="J903">
        <v>11.40884981</v>
      </c>
      <c r="K903">
        <v>196.434</v>
      </c>
      <c r="L903">
        <v>247.23599999999999</v>
      </c>
      <c r="M903">
        <v>629.49003400000004</v>
      </c>
      <c r="N903">
        <v>462.38514259999999</v>
      </c>
      <c r="O903">
        <v>0.32414026200000001</v>
      </c>
      <c r="P903">
        <v>1008.45</v>
      </c>
      <c r="Q903">
        <v>838.32299999999998</v>
      </c>
      <c r="R903">
        <v>341.7</v>
      </c>
      <c r="S903">
        <v>2.8757000000000001E-3</v>
      </c>
      <c r="T903">
        <v>397.63299999999998</v>
      </c>
      <c r="U903">
        <v>323.54500000000002</v>
      </c>
      <c r="V903" s="1" t="str">
        <f>IF(Energy_data_1990___2020[[#This Row],[CO2 emissions from fuel combustion (MtCO2)]]&gt;Energy_data_1990___2020[[#Totals],[CO2 emissions from fuel combustion (MtCO2)]],"Above Average","")</f>
        <v>Above Average</v>
      </c>
      <c r="W903" s="1">
        <f>SUM(Energy_data_1990___2020[[#This Row],[Coal and lignite production (Mt)]]-Energy_data_1990___2020[[#This Row],[Coal and lignite domestic consumption (Mt)]])</f>
        <v>-18.154999999999973</v>
      </c>
    </row>
    <row r="904" spans="1:23">
      <c r="A904" t="s">
        <v>59</v>
      </c>
      <c r="B904">
        <v>1993</v>
      </c>
      <c r="C904" t="s">
        <v>30</v>
      </c>
      <c r="D904">
        <v>1848.850021</v>
      </c>
      <c r="E904">
        <v>2.4620679289999998</v>
      </c>
      <c r="F904">
        <v>0.82497969000000004</v>
      </c>
      <c r="G904">
        <v>1057.2498559999999</v>
      </c>
      <c r="H904">
        <v>750.93379819999996</v>
      </c>
      <c r="I904">
        <v>18.22562924</v>
      </c>
      <c r="J904">
        <v>11.031554229999999</v>
      </c>
      <c r="K904">
        <v>173.53</v>
      </c>
      <c r="L904">
        <v>219.93</v>
      </c>
      <c r="M904">
        <v>607.29845669999997</v>
      </c>
      <c r="N904">
        <v>447.98932780000001</v>
      </c>
      <c r="O904">
        <v>0.33507592600000002</v>
      </c>
      <c r="P904">
        <v>956.58699999999999</v>
      </c>
      <c r="Q904">
        <v>781.57</v>
      </c>
      <c r="R904">
        <v>291.70299999999997</v>
      </c>
      <c r="S904">
        <v>2.9270730000000001E-3</v>
      </c>
      <c r="T904">
        <v>352.887</v>
      </c>
      <c r="U904">
        <v>288.613</v>
      </c>
      <c r="V904" s="1" t="str">
        <f>IF(Energy_data_1990___2020[[#This Row],[CO2 emissions from fuel combustion (MtCO2)]]&gt;Energy_data_1990___2020[[#Totals],[CO2 emissions from fuel combustion (MtCO2)]],"Above Average","")</f>
        <v>Above Average</v>
      </c>
      <c r="W904" s="1">
        <f>SUM(Energy_data_1990___2020[[#This Row],[Coal and lignite production (Mt)]]-Energy_data_1990___2020[[#This Row],[Coal and lignite domestic consumption (Mt)]])</f>
        <v>-3.089999999999975</v>
      </c>
    </row>
    <row r="905" spans="1:23">
      <c r="A905" t="s">
        <v>59</v>
      </c>
      <c r="B905">
        <v>1994</v>
      </c>
      <c r="C905" t="s">
        <v>30</v>
      </c>
      <c r="D905">
        <v>1629.321909</v>
      </c>
      <c r="E905">
        <v>2.4811311759999999</v>
      </c>
      <c r="F905">
        <v>0.831546962</v>
      </c>
      <c r="G905">
        <v>991.18146709999996</v>
      </c>
      <c r="H905">
        <v>656.68511369999999</v>
      </c>
      <c r="I905">
        <v>20.101516820000001</v>
      </c>
      <c r="J905">
        <v>11.63426215</v>
      </c>
      <c r="K905">
        <v>134.97200000000001</v>
      </c>
      <c r="L905">
        <v>184.303</v>
      </c>
      <c r="M905">
        <v>596.49461159999998</v>
      </c>
      <c r="N905">
        <v>414.38961549999999</v>
      </c>
      <c r="O905">
        <v>0.33514832700000002</v>
      </c>
      <c r="P905">
        <v>875.91399999999999</v>
      </c>
      <c r="Q905">
        <v>706.80799999999999</v>
      </c>
      <c r="R905">
        <v>258.71300000000002</v>
      </c>
      <c r="S905">
        <v>3.53916E-3</v>
      </c>
      <c r="T905">
        <v>317.57600000000002</v>
      </c>
      <c r="U905">
        <v>257.31099999999998</v>
      </c>
      <c r="V905" s="1" t="str">
        <f>IF(Energy_data_1990___2020[[#This Row],[CO2 emissions from fuel combustion (MtCO2)]]&gt;Energy_data_1990___2020[[#Totals],[CO2 emissions from fuel combustion (MtCO2)]],"Above Average","")</f>
        <v>Above Average</v>
      </c>
      <c r="W905" s="1">
        <f>SUM(Energy_data_1990___2020[[#This Row],[Coal and lignite production (Mt)]]-Energy_data_1990___2020[[#This Row],[Coal and lignite domestic consumption (Mt)]])</f>
        <v>-1.4020000000000437</v>
      </c>
    </row>
    <row r="906" spans="1:23">
      <c r="A906" t="s">
        <v>59</v>
      </c>
      <c r="B906">
        <v>1995</v>
      </c>
      <c r="C906" t="s">
        <v>30</v>
      </c>
      <c r="D906">
        <v>1582.822852</v>
      </c>
      <c r="E906">
        <v>2.487066424</v>
      </c>
      <c r="F906">
        <v>0.84273446699999999</v>
      </c>
      <c r="G906">
        <v>967.3837072</v>
      </c>
      <c r="H906">
        <v>636.42162370000005</v>
      </c>
      <c r="I906">
        <v>20.519239509999998</v>
      </c>
      <c r="J906">
        <v>11.52330119</v>
      </c>
      <c r="K906">
        <v>133.28200000000001</v>
      </c>
      <c r="L906">
        <v>178.148</v>
      </c>
      <c r="M906">
        <v>584.75597700000003</v>
      </c>
      <c r="N906">
        <v>393.2420874</v>
      </c>
      <c r="O906">
        <v>0.33884678699999998</v>
      </c>
      <c r="P906">
        <v>860.02700000000004</v>
      </c>
      <c r="Q906">
        <v>696.98800000000006</v>
      </c>
      <c r="R906">
        <v>263.029</v>
      </c>
      <c r="S906">
        <v>3.4882630000000001E-3</v>
      </c>
      <c r="T906">
        <v>305.10700000000003</v>
      </c>
      <c r="U906">
        <v>249.76900000000001</v>
      </c>
      <c r="V906" s="1" t="str">
        <f>IF(Energy_data_1990___2020[[#This Row],[CO2 emissions from fuel combustion (MtCO2)]]&gt;Energy_data_1990___2020[[#Totals],[CO2 emissions from fuel combustion (MtCO2)]],"Above Average","")</f>
        <v>Above Average</v>
      </c>
      <c r="W906" s="1">
        <f>SUM(Energy_data_1990___2020[[#This Row],[Coal and lignite production (Mt)]]-Energy_data_1990___2020[[#This Row],[Coal and lignite domestic consumption (Mt)]])</f>
        <v>-13.259999999999991</v>
      </c>
    </row>
    <row r="907" spans="1:23">
      <c r="A907" t="s">
        <v>59</v>
      </c>
      <c r="B907">
        <v>1996</v>
      </c>
      <c r="C907" t="s">
        <v>30</v>
      </c>
      <c r="D907">
        <v>1564.7122079999999</v>
      </c>
      <c r="E907">
        <v>2.484419586</v>
      </c>
      <c r="F907">
        <v>0.86559562499999998</v>
      </c>
      <c r="G907">
        <v>964.76384280000002</v>
      </c>
      <c r="H907">
        <v>629.80996330000005</v>
      </c>
      <c r="I907">
        <v>18.225342099999999</v>
      </c>
      <c r="J907">
        <v>12.378370759999999</v>
      </c>
      <c r="K907">
        <v>125.423</v>
      </c>
      <c r="L907">
        <v>172.68700000000001</v>
      </c>
      <c r="M907">
        <v>590.8051792</v>
      </c>
      <c r="N907">
        <v>389.07933559999998</v>
      </c>
      <c r="O907">
        <v>0.34840959599999999</v>
      </c>
      <c r="P907">
        <v>847.18299999999999</v>
      </c>
      <c r="Q907">
        <v>681.00599999999997</v>
      </c>
      <c r="R907">
        <v>263.70800000000003</v>
      </c>
      <c r="S907">
        <v>3.3050710000000001E-3</v>
      </c>
      <c r="T907">
        <v>305.10700000000003</v>
      </c>
      <c r="U907">
        <v>244.03800000000001</v>
      </c>
      <c r="V907" s="1" t="str">
        <f>IF(Energy_data_1990___2020[[#This Row],[CO2 emissions from fuel combustion (MtCO2)]]&gt;Energy_data_1990___2020[[#Totals],[CO2 emissions from fuel combustion (MtCO2)]],"Above Average","")</f>
        <v>Above Average</v>
      </c>
      <c r="W907" s="1">
        <f>SUM(Energy_data_1990___2020[[#This Row],[Coal and lignite production (Mt)]]-Energy_data_1990___2020[[#This Row],[Coal and lignite domestic consumption (Mt)]])</f>
        <v>-19.670000000000016</v>
      </c>
    </row>
    <row r="908" spans="1:23">
      <c r="A908" t="s">
        <v>59</v>
      </c>
      <c r="B908">
        <v>1997</v>
      </c>
      <c r="C908" t="s">
        <v>30</v>
      </c>
      <c r="D908">
        <v>1471.880144</v>
      </c>
      <c r="E908">
        <v>2.446100988</v>
      </c>
      <c r="F908">
        <v>0.80299979399999999</v>
      </c>
      <c r="G908">
        <v>933.22147210000003</v>
      </c>
      <c r="H908">
        <v>601.72501130000001</v>
      </c>
      <c r="I908">
        <v>18.893772210000002</v>
      </c>
      <c r="J908">
        <v>12.70340844</v>
      </c>
      <c r="K908">
        <v>120.336</v>
      </c>
      <c r="L908">
        <v>171.51400000000001</v>
      </c>
      <c r="M908">
        <v>560.82160610000005</v>
      </c>
      <c r="N908">
        <v>374.42359399999998</v>
      </c>
      <c r="O908">
        <v>0.32827745000000003</v>
      </c>
      <c r="P908">
        <v>834.13199999999995</v>
      </c>
      <c r="Q908">
        <v>667.92600000000004</v>
      </c>
      <c r="R908">
        <v>233.608</v>
      </c>
      <c r="S908">
        <v>3.476668E-3</v>
      </c>
      <c r="T908">
        <v>303.88600000000002</v>
      </c>
      <c r="U908">
        <v>232.45</v>
      </c>
      <c r="V908" s="1" t="str">
        <f>IF(Energy_data_1990___2020[[#This Row],[CO2 emissions from fuel combustion (MtCO2)]]&gt;Energy_data_1990___2020[[#Totals],[CO2 emissions from fuel combustion (MtCO2)]],"Above Average","")</f>
        <v>Above Average</v>
      </c>
      <c r="W908" s="1">
        <f>SUM(Energy_data_1990___2020[[#This Row],[Coal and lignite production (Mt)]]-Energy_data_1990___2020[[#This Row],[Coal and lignite domestic consumption (Mt)]])</f>
        <v>-1.1580000000000155</v>
      </c>
    </row>
    <row r="909" spans="1:23">
      <c r="A909" t="s">
        <v>59</v>
      </c>
      <c r="B909">
        <v>1998</v>
      </c>
      <c r="C909" t="s">
        <v>30</v>
      </c>
      <c r="D909">
        <v>1454.9104030000001</v>
      </c>
      <c r="E909">
        <v>2.4755702570000002</v>
      </c>
      <c r="F909">
        <v>0.83816415</v>
      </c>
      <c r="G909">
        <v>939.55592000000001</v>
      </c>
      <c r="H909">
        <v>587.70717520000005</v>
      </c>
      <c r="I909">
        <v>19.285795459999999</v>
      </c>
      <c r="J909">
        <v>12.978368720000001</v>
      </c>
      <c r="K909">
        <v>116.857</v>
      </c>
      <c r="L909">
        <v>162.44900000000001</v>
      </c>
      <c r="M909">
        <v>580.62312320000001</v>
      </c>
      <c r="N909">
        <v>378.39393150000001</v>
      </c>
      <c r="O909">
        <v>0.33857417200000001</v>
      </c>
      <c r="P909">
        <v>827.15800000000002</v>
      </c>
      <c r="Q909">
        <v>649.71699999999998</v>
      </c>
      <c r="R909">
        <v>224.625</v>
      </c>
      <c r="S909">
        <v>3.6268770000000001E-3</v>
      </c>
      <c r="T909">
        <v>301.40499999999997</v>
      </c>
      <c r="U909">
        <v>220.29599999999999</v>
      </c>
      <c r="V909" s="1" t="str">
        <f>IF(Energy_data_1990___2020[[#This Row],[CO2 emissions from fuel combustion (MtCO2)]]&gt;Energy_data_1990___2020[[#Totals],[CO2 emissions from fuel combustion (MtCO2)]],"Above Average","")</f>
        <v>Above Average</v>
      </c>
      <c r="W909" s="1">
        <f>SUM(Energy_data_1990___2020[[#This Row],[Coal and lignite production (Mt)]]-Energy_data_1990___2020[[#This Row],[Coal and lignite domestic consumption (Mt)]])</f>
        <v>-4.3290000000000077</v>
      </c>
    </row>
    <row r="910" spans="1:23">
      <c r="A910" t="s">
        <v>59</v>
      </c>
      <c r="B910">
        <v>1999</v>
      </c>
      <c r="C910" t="s">
        <v>30</v>
      </c>
      <c r="D910">
        <v>1502.131255</v>
      </c>
      <c r="E910">
        <v>2.4676546529999999</v>
      </c>
      <c r="F910">
        <v>0.81331622299999995</v>
      </c>
      <c r="G910">
        <v>961.8852918</v>
      </c>
      <c r="H910">
        <v>608.72831369999994</v>
      </c>
      <c r="I910">
        <v>19.076582380000001</v>
      </c>
      <c r="J910">
        <v>12.66180179</v>
      </c>
      <c r="K910">
        <v>121.333</v>
      </c>
      <c r="L910">
        <v>167.98599999999999</v>
      </c>
      <c r="M910">
        <v>580.71899029999997</v>
      </c>
      <c r="N910">
        <v>385.7560555</v>
      </c>
      <c r="O910">
        <v>0.32959078000000003</v>
      </c>
      <c r="P910">
        <v>846.226</v>
      </c>
      <c r="Q910">
        <v>669.173</v>
      </c>
      <c r="R910">
        <v>230.56700000000001</v>
      </c>
      <c r="S910">
        <v>3.5451520000000002E-3</v>
      </c>
      <c r="T910">
        <v>303.23899999999998</v>
      </c>
      <c r="U910">
        <v>238.4</v>
      </c>
      <c r="V910" s="1" t="str">
        <f>IF(Energy_data_1990___2020[[#This Row],[CO2 emissions from fuel combustion (MtCO2)]]&gt;Energy_data_1990___2020[[#Totals],[CO2 emissions from fuel combustion (MtCO2)]],"Above Average","")</f>
        <v>Above Average</v>
      </c>
      <c r="W910" s="1">
        <f>SUM(Energy_data_1990___2020[[#This Row],[Coal and lignite production (Mt)]]-Energy_data_1990___2020[[#This Row],[Coal and lignite domestic consumption (Mt)]])</f>
        <v>7.8329999999999984</v>
      </c>
    </row>
    <row r="911" spans="1:23">
      <c r="A911" t="s">
        <v>59</v>
      </c>
      <c r="B911">
        <v>2000</v>
      </c>
      <c r="C911" t="s">
        <v>30</v>
      </c>
      <c r="D911">
        <v>1521.6617429999999</v>
      </c>
      <c r="E911">
        <v>2.4582271420000001</v>
      </c>
      <c r="F911">
        <v>0.74899121700000004</v>
      </c>
      <c r="G911">
        <v>977.77074619999996</v>
      </c>
      <c r="H911">
        <v>619.00778679999996</v>
      </c>
      <c r="I911">
        <v>18.849784570000001</v>
      </c>
      <c r="J911">
        <v>12.592511119999999</v>
      </c>
      <c r="K911">
        <v>118.89</v>
      </c>
      <c r="L911">
        <v>176.803</v>
      </c>
      <c r="M911">
        <v>572.81658379999999</v>
      </c>
      <c r="N911">
        <v>391.17080829999998</v>
      </c>
      <c r="O911">
        <v>0.304687555</v>
      </c>
      <c r="P911">
        <v>877.76599999999996</v>
      </c>
      <c r="Q911">
        <v>692.86900000000003</v>
      </c>
      <c r="R911">
        <v>231.98</v>
      </c>
      <c r="S911">
        <v>6.8355350000000002E-3</v>
      </c>
      <c r="T911">
        <v>321.69200000000001</v>
      </c>
      <c r="U911">
        <v>242.31299999999999</v>
      </c>
      <c r="V911" s="1" t="str">
        <f>IF(Energy_data_1990___2020[[#This Row],[CO2 emissions from fuel combustion (MtCO2)]]&gt;Energy_data_1990___2020[[#Totals],[CO2 emissions from fuel combustion (MtCO2)]],"Above Average","")</f>
        <v>Above Average</v>
      </c>
      <c r="W911" s="1">
        <f>SUM(Energy_data_1990___2020[[#This Row],[Coal and lignite production (Mt)]]-Energy_data_1990___2020[[#This Row],[Coal and lignite domestic consumption (Mt)]])</f>
        <v>10.332999999999998</v>
      </c>
    </row>
    <row r="912" spans="1:23">
      <c r="A912" t="s">
        <v>59</v>
      </c>
      <c r="B912">
        <v>2001</v>
      </c>
      <c r="C912" t="s">
        <v>30</v>
      </c>
      <c r="D912">
        <v>1528.0989070000001</v>
      </c>
      <c r="E912">
        <v>2.44207872</v>
      </c>
      <c r="F912">
        <v>0.71566065400000001</v>
      </c>
      <c r="G912">
        <v>1007.997309</v>
      </c>
      <c r="H912">
        <v>625.73695720000001</v>
      </c>
      <c r="I912">
        <v>19.743089739999998</v>
      </c>
      <c r="J912">
        <v>12.798055850000001</v>
      </c>
      <c r="K912">
        <v>119.845</v>
      </c>
      <c r="L912">
        <v>181.82400000000001</v>
      </c>
      <c r="M912">
        <v>570.40719330000002</v>
      </c>
      <c r="N912">
        <v>395.88163750000001</v>
      </c>
      <c r="O912">
        <v>0.29305388399999999</v>
      </c>
      <c r="P912">
        <v>891.28399999999999</v>
      </c>
      <c r="Q912">
        <v>700.08900000000006</v>
      </c>
      <c r="R912">
        <v>226.37899999999999</v>
      </c>
      <c r="S912">
        <v>1.0546582000000001E-2</v>
      </c>
      <c r="T912">
        <v>345.84100000000001</v>
      </c>
      <c r="U912">
        <v>250.65</v>
      </c>
      <c r="V912" s="1" t="str">
        <f>IF(Energy_data_1990___2020[[#This Row],[CO2 emissions from fuel combustion (MtCO2)]]&gt;Energy_data_1990___2020[[#Totals],[CO2 emissions from fuel combustion (MtCO2)]],"Above Average","")</f>
        <v>Above Average</v>
      </c>
      <c r="W912" s="1">
        <f>SUM(Energy_data_1990___2020[[#This Row],[Coal and lignite production (Mt)]]-Energy_data_1990___2020[[#This Row],[Coal and lignite domestic consumption (Mt)]])</f>
        <v>24.271000000000015</v>
      </c>
    </row>
    <row r="913" spans="1:23">
      <c r="A913" t="s">
        <v>59</v>
      </c>
      <c r="B913">
        <v>2002</v>
      </c>
      <c r="C913" t="s">
        <v>30</v>
      </c>
      <c r="D913">
        <v>1511.18849</v>
      </c>
      <c r="E913">
        <v>2.4263260610000001</v>
      </c>
      <c r="F913">
        <v>0.67597037699999996</v>
      </c>
      <c r="G913">
        <v>1046.057824</v>
      </c>
      <c r="H913">
        <v>622.82992969999998</v>
      </c>
      <c r="I913">
        <v>18.441800319999999</v>
      </c>
      <c r="J913">
        <v>13.20308865</v>
      </c>
      <c r="K913">
        <v>116.871</v>
      </c>
      <c r="L913">
        <v>188.73</v>
      </c>
      <c r="M913">
        <v>583.52953179999997</v>
      </c>
      <c r="N913">
        <v>396.27402560000002</v>
      </c>
      <c r="O913">
        <v>0.27859832499999998</v>
      </c>
      <c r="P913">
        <v>891.28499999999997</v>
      </c>
      <c r="Q913">
        <v>699.31100000000004</v>
      </c>
      <c r="R913">
        <v>219.91200000000001</v>
      </c>
      <c r="S913">
        <v>1.8176003999999999E-2</v>
      </c>
      <c r="T913">
        <v>377.173</v>
      </c>
      <c r="U913">
        <v>239.66399999999999</v>
      </c>
      <c r="V913" s="1" t="str">
        <f>IF(Energy_data_1990___2020[[#This Row],[CO2 emissions from fuel combustion (MtCO2)]]&gt;Energy_data_1990___2020[[#Totals],[CO2 emissions from fuel combustion (MtCO2)]],"Above Average","")</f>
        <v>Above Average</v>
      </c>
      <c r="W913" s="1">
        <f>SUM(Energy_data_1990___2020[[#This Row],[Coal and lignite production (Mt)]]-Energy_data_1990___2020[[#This Row],[Coal and lignite domestic consumption (Mt)]])</f>
        <v>19.751999999999981</v>
      </c>
    </row>
    <row r="914" spans="1:23">
      <c r="A914" t="s">
        <v>59</v>
      </c>
      <c r="B914">
        <v>2003</v>
      </c>
      <c r="C914" t="s">
        <v>30</v>
      </c>
      <c r="D914">
        <v>1551.7223899999999</v>
      </c>
      <c r="E914">
        <v>2.4055648330000001</v>
      </c>
      <c r="F914">
        <v>0.64687970400000006</v>
      </c>
      <c r="G914">
        <v>1119.236087</v>
      </c>
      <c r="H914">
        <v>645.05531859999996</v>
      </c>
      <c r="I914">
        <v>17.25389234</v>
      </c>
      <c r="J914">
        <v>13.190619</v>
      </c>
      <c r="K914">
        <v>118.011</v>
      </c>
      <c r="L914">
        <v>190.28399999999999</v>
      </c>
      <c r="M914">
        <v>608.21634840000002</v>
      </c>
      <c r="N914">
        <v>416.89189119999998</v>
      </c>
      <c r="O914">
        <v>0.26890969399999998</v>
      </c>
      <c r="P914">
        <v>916.28599999999994</v>
      </c>
      <c r="Q914">
        <v>721.22299999999996</v>
      </c>
      <c r="R914">
        <v>222.523</v>
      </c>
      <c r="S914">
        <v>3.6342365000000001E-2</v>
      </c>
      <c r="T914">
        <v>418.58199999999999</v>
      </c>
      <c r="U914">
        <v>258.10599999999999</v>
      </c>
      <c r="V914" s="1" t="str">
        <f>IF(Energy_data_1990___2020[[#This Row],[CO2 emissions from fuel combustion (MtCO2)]]&gt;Energy_data_1990___2020[[#Totals],[CO2 emissions from fuel combustion (MtCO2)]],"Above Average","")</f>
        <v>Above Average</v>
      </c>
      <c r="W914" s="1">
        <f>SUM(Energy_data_1990___2020[[#This Row],[Coal and lignite production (Mt)]]-Energy_data_1990___2020[[#This Row],[Coal and lignite domestic consumption (Mt)]])</f>
        <v>35.582999999999998</v>
      </c>
    </row>
    <row r="915" spans="1:23">
      <c r="A915" t="s">
        <v>59</v>
      </c>
      <c r="B915">
        <v>2004</v>
      </c>
      <c r="C915" t="s">
        <v>30</v>
      </c>
      <c r="D915">
        <v>1549.918136</v>
      </c>
      <c r="E915">
        <v>2.3950507540000001</v>
      </c>
      <c r="F915">
        <v>0.60273121600000001</v>
      </c>
      <c r="G915">
        <v>1172.1092650000001</v>
      </c>
      <c r="H915">
        <v>647.13373360000003</v>
      </c>
      <c r="I915">
        <v>19.126697539999999</v>
      </c>
      <c r="J915">
        <v>13.472800400000001</v>
      </c>
      <c r="K915">
        <v>117.24</v>
      </c>
      <c r="L915">
        <v>193.68</v>
      </c>
      <c r="M915">
        <v>619.75759870000002</v>
      </c>
      <c r="N915">
        <v>421.8327491</v>
      </c>
      <c r="O915">
        <v>0.25165696999999998</v>
      </c>
      <c r="P915">
        <v>931.86500000000001</v>
      </c>
      <c r="Q915">
        <v>739.053</v>
      </c>
      <c r="R915">
        <v>215.065</v>
      </c>
      <c r="S915">
        <v>4.3997789000000002E-2</v>
      </c>
      <c r="T915">
        <v>456.25299999999999</v>
      </c>
      <c r="U915">
        <v>260.42700000000002</v>
      </c>
      <c r="V915" s="1" t="str">
        <f>IF(Energy_data_1990___2020[[#This Row],[CO2 emissions from fuel combustion (MtCO2)]]&gt;Energy_data_1990___2020[[#Totals],[CO2 emissions from fuel combustion (MtCO2)]],"Above Average","")</f>
        <v>Above Average</v>
      </c>
      <c r="W915" s="1">
        <f>SUM(Energy_data_1990___2020[[#This Row],[Coal and lignite production (Mt)]]-Energy_data_1990___2020[[#This Row],[Coal and lignite domestic consumption (Mt)]])</f>
        <v>45.362000000000023</v>
      </c>
    </row>
    <row r="916" spans="1:23">
      <c r="A916" t="s">
        <v>59</v>
      </c>
      <c r="B916">
        <v>2005</v>
      </c>
      <c r="C916" t="s">
        <v>30</v>
      </c>
      <c r="D916">
        <v>1547.782117</v>
      </c>
      <c r="E916">
        <v>2.3757435849999999</v>
      </c>
      <c r="F916">
        <v>0.56569620099999995</v>
      </c>
      <c r="G916">
        <v>1203.076147</v>
      </c>
      <c r="H916">
        <v>651.49375840000005</v>
      </c>
      <c r="I916">
        <v>18.367912230000002</v>
      </c>
      <c r="J916">
        <v>13.83559071</v>
      </c>
      <c r="K916">
        <v>117.358</v>
      </c>
      <c r="L916">
        <v>205.702</v>
      </c>
      <c r="M916">
        <v>627.70005230000004</v>
      </c>
      <c r="N916">
        <v>425.49343449999998</v>
      </c>
      <c r="O916">
        <v>0.23811332299999999</v>
      </c>
      <c r="P916">
        <v>953.08600000000001</v>
      </c>
      <c r="Q916">
        <v>759.86</v>
      </c>
      <c r="R916">
        <v>213.46799999999999</v>
      </c>
      <c r="S916">
        <v>4.3752609999999997E-2</v>
      </c>
      <c r="T916">
        <v>466.44799999999998</v>
      </c>
      <c r="U916">
        <v>284.52600000000001</v>
      </c>
      <c r="V916" s="1" t="str">
        <f>IF(Energy_data_1990___2020[[#This Row],[CO2 emissions from fuel combustion (MtCO2)]]&gt;Energy_data_1990___2020[[#Totals],[CO2 emissions from fuel combustion (MtCO2)]],"Above Average","")</f>
        <v>Above Average</v>
      </c>
      <c r="W916" s="1">
        <f>SUM(Energy_data_1990___2020[[#This Row],[Coal and lignite production (Mt)]]-Energy_data_1990___2020[[#This Row],[Coal and lignite domestic consumption (Mt)]])</f>
        <v>71.058000000000021</v>
      </c>
    </row>
    <row r="917" spans="1:23">
      <c r="A917" t="s">
        <v>59</v>
      </c>
      <c r="B917">
        <v>2006</v>
      </c>
      <c r="C917" t="s">
        <v>30</v>
      </c>
      <c r="D917">
        <v>1609.006212</v>
      </c>
      <c r="E917">
        <v>2.3999850130000002</v>
      </c>
      <c r="F917">
        <v>0.54350509999999996</v>
      </c>
      <c r="G917">
        <v>1226.8021209999999</v>
      </c>
      <c r="H917">
        <v>670.42344160000005</v>
      </c>
      <c r="I917">
        <v>17.65365126</v>
      </c>
      <c r="J917">
        <v>14.04394035</v>
      </c>
      <c r="K917">
        <v>120.93</v>
      </c>
      <c r="L917">
        <v>216.548</v>
      </c>
      <c r="M917">
        <v>639.90724560000001</v>
      </c>
      <c r="N917">
        <v>436.49162960000001</v>
      </c>
      <c r="O917">
        <v>0.22646187200000001</v>
      </c>
      <c r="P917">
        <v>995.79399999999998</v>
      </c>
      <c r="Q917">
        <v>797.81299999999999</v>
      </c>
      <c r="R917">
        <v>219.45500000000001</v>
      </c>
      <c r="S917">
        <v>4.6997671999999997E-2</v>
      </c>
      <c r="T917">
        <v>475.827</v>
      </c>
      <c r="U917">
        <v>285.92200000000003</v>
      </c>
      <c r="V917" s="1" t="str">
        <f>IF(Energy_data_1990___2020[[#This Row],[CO2 emissions from fuel combustion (MtCO2)]]&gt;Energy_data_1990___2020[[#Totals],[CO2 emissions from fuel combustion (MtCO2)]],"Above Average","")</f>
        <v>Above Average</v>
      </c>
      <c r="W917" s="1">
        <f>SUM(Energy_data_1990___2020[[#This Row],[Coal and lignite production (Mt)]]-Energy_data_1990___2020[[#This Row],[Coal and lignite domestic consumption (Mt)]])</f>
        <v>66.467000000000013</v>
      </c>
    </row>
    <row r="918" spans="1:23">
      <c r="A918" t="s">
        <v>59</v>
      </c>
      <c r="B918">
        <v>2007</v>
      </c>
      <c r="C918" t="s">
        <v>30</v>
      </c>
      <c r="D918">
        <v>1589.0605459999999</v>
      </c>
      <c r="E918">
        <v>2.363468637</v>
      </c>
      <c r="F918">
        <v>0.49471684500000002</v>
      </c>
      <c r="G918">
        <v>1238.9261100000001</v>
      </c>
      <c r="H918">
        <v>672.3425565</v>
      </c>
      <c r="I918">
        <v>17.677747100000001</v>
      </c>
      <c r="J918">
        <v>14.386854230000001</v>
      </c>
      <c r="K918">
        <v>122.9</v>
      </c>
      <c r="L918">
        <v>223.73099999999999</v>
      </c>
      <c r="M918">
        <v>635.19008629999996</v>
      </c>
      <c r="N918">
        <v>445.4442846</v>
      </c>
      <c r="O918">
        <v>0.20931813399999999</v>
      </c>
      <c r="P918">
        <v>1015.333</v>
      </c>
      <c r="Q918">
        <v>820.69799999999998</v>
      </c>
      <c r="R918">
        <v>210.197</v>
      </c>
      <c r="S918">
        <v>4.8457009000000002E-2</v>
      </c>
      <c r="T918">
        <v>487.68099999999998</v>
      </c>
      <c r="U918">
        <v>290.30799999999999</v>
      </c>
      <c r="V918" s="1" t="str">
        <f>IF(Energy_data_1990___2020[[#This Row],[CO2 emissions from fuel combustion (MtCO2)]]&gt;Energy_data_1990___2020[[#Totals],[CO2 emissions from fuel combustion (MtCO2)]],"Above Average","")</f>
        <v>Above Average</v>
      </c>
      <c r="W918" s="1">
        <f>SUM(Energy_data_1990___2020[[#This Row],[Coal and lignite production (Mt)]]-Energy_data_1990___2020[[#This Row],[Coal and lignite domestic consumption (Mt)]])</f>
        <v>80.11099999999999</v>
      </c>
    </row>
    <row r="919" spans="1:23">
      <c r="A919" t="s">
        <v>59</v>
      </c>
      <c r="B919">
        <v>2008</v>
      </c>
      <c r="C919" t="s">
        <v>30</v>
      </c>
      <c r="D919">
        <v>1604.2941020000001</v>
      </c>
      <c r="E919">
        <v>2.3317809559999998</v>
      </c>
      <c r="F919">
        <v>0.47477148499999999</v>
      </c>
      <c r="G919">
        <v>1253.758503</v>
      </c>
      <c r="H919">
        <v>688.01235280000003</v>
      </c>
      <c r="I919">
        <v>16.071546999999999</v>
      </c>
      <c r="J919">
        <v>14.657348430000001</v>
      </c>
      <c r="K919">
        <v>126.836</v>
      </c>
      <c r="L919">
        <v>229.92400000000001</v>
      </c>
      <c r="M919">
        <v>650.76583830000004</v>
      </c>
      <c r="N919">
        <v>445.69887519999997</v>
      </c>
      <c r="O919">
        <v>0.20360895600000001</v>
      </c>
      <c r="P919">
        <v>1040.3789999999999</v>
      </c>
      <c r="Q919">
        <v>843.37</v>
      </c>
      <c r="R919">
        <v>227.49460769999999</v>
      </c>
      <c r="S919">
        <v>4.5175844999999999E-2</v>
      </c>
      <c r="T919">
        <v>486.17</v>
      </c>
      <c r="U919">
        <v>305.721</v>
      </c>
      <c r="V919" s="1" t="str">
        <f>IF(Energy_data_1990___2020[[#This Row],[CO2 emissions from fuel combustion (MtCO2)]]&gt;Energy_data_1990___2020[[#Totals],[CO2 emissions from fuel combustion (MtCO2)]],"Above Average","")</f>
        <v>Above Average</v>
      </c>
      <c r="W919" s="1">
        <f>SUM(Energy_data_1990___2020[[#This Row],[Coal and lignite production (Mt)]]-Energy_data_1990___2020[[#This Row],[Coal and lignite domestic consumption (Mt)]])</f>
        <v>78.226392300000015</v>
      </c>
    </row>
    <row r="920" spans="1:23">
      <c r="A920" t="s">
        <v>59</v>
      </c>
      <c r="B920">
        <v>2009</v>
      </c>
      <c r="C920" t="s">
        <v>30</v>
      </c>
      <c r="D920">
        <v>1506.5714350000001</v>
      </c>
      <c r="E920">
        <v>2.3293512440000002</v>
      </c>
      <c r="F920">
        <v>0.48357007699999999</v>
      </c>
      <c r="G920">
        <v>1190.442855</v>
      </c>
      <c r="H920">
        <v>646.77726819999998</v>
      </c>
      <c r="I920">
        <v>17.80469364</v>
      </c>
      <c r="J920">
        <v>14.314576929999999</v>
      </c>
      <c r="K920">
        <v>121.023</v>
      </c>
      <c r="L920">
        <v>227.92699999999999</v>
      </c>
      <c r="M920">
        <v>582.54140729999995</v>
      </c>
      <c r="N920">
        <v>426.3761705</v>
      </c>
      <c r="O920">
        <v>0.20759860899999999</v>
      </c>
      <c r="P920">
        <v>991.98</v>
      </c>
      <c r="Q920">
        <v>807.93700000000001</v>
      </c>
      <c r="R920">
        <v>203.43600000000001</v>
      </c>
      <c r="S920">
        <v>4.7178370999999997E-2</v>
      </c>
      <c r="T920">
        <v>491.24700000000001</v>
      </c>
      <c r="U920">
        <v>276.90100000000001</v>
      </c>
      <c r="V920" s="1" t="str">
        <f>IF(Energy_data_1990___2020[[#This Row],[CO2 emissions from fuel combustion (MtCO2)]]&gt;Energy_data_1990___2020[[#Totals],[CO2 emissions from fuel combustion (MtCO2)]],"Above Average","")</f>
        <v>Above Average</v>
      </c>
      <c r="W920" s="1">
        <f>SUM(Energy_data_1990___2020[[#This Row],[Coal and lignite production (Mt)]]-Energy_data_1990___2020[[#This Row],[Coal and lignite domestic consumption (Mt)]])</f>
        <v>73.465000000000003</v>
      </c>
    </row>
    <row r="921" spans="1:23">
      <c r="A921" t="s">
        <v>59</v>
      </c>
      <c r="B921">
        <v>2010</v>
      </c>
      <c r="C921" t="s">
        <v>30</v>
      </c>
      <c r="D921">
        <v>1609.705215</v>
      </c>
      <c r="E921">
        <v>2.3391269139999999</v>
      </c>
      <c r="F921">
        <v>0.49442423600000002</v>
      </c>
      <c r="G921">
        <v>1279.188343</v>
      </c>
      <c r="H921">
        <v>688.16497509999999</v>
      </c>
      <c r="I921">
        <v>16.275252160000001</v>
      </c>
      <c r="J921">
        <v>14.15063709</v>
      </c>
      <c r="K921">
        <v>126.93600000000001</v>
      </c>
      <c r="L921">
        <v>246.084</v>
      </c>
      <c r="M921">
        <v>657.29132770000001</v>
      </c>
      <c r="N921">
        <v>465.77747840000001</v>
      </c>
      <c r="O921">
        <v>0.211371274</v>
      </c>
      <c r="P921">
        <v>1038.03</v>
      </c>
      <c r="Q921">
        <v>850.66099999999994</v>
      </c>
      <c r="R921">
        <v>212.39</v>
      </c>
      <c r="S921">
        <v>4.9035191999999998E-2</v>
      </c>
      <c r="T921">
        <v>504.10199999999998</v>
      </c>
      <c r="U921">
        <v>299.76400000000001</v>
      </c>
      <c r="V921" s="1" t="str">
        <f>IF(Energy_data_1990___2020[[#This Row],[CO2 emissions from fuel combustion (MtCO2)]]&gt;Energy_data_1990___2020[[#Totals],[CO2 emissions from fuel combustion (MtCO2)]],"Above Average","")</f>
        <v>Above Average</v>
      </c>
      <c r="W921" s="1">
        <f>SUM(Energy_data_1990___2020[[#This Row],[Coal and lignite production (Mt)]]-Energy_data_1990___2020[[#This Row],[Coal and lignite domestic consumption (Mt)]])</f>
        <v>87.374000000000024</v>
      </c>
    </row>
    <row r="922" spans="1:23">
      <c r="A922" t="s">
        <v>59</v>
      </c>
      <c r="B922">
        <v>2011</v>
      </c>
      <c r="C922" t="s">
        <v>30</v>
      </c>
      <c r="D922">
        <v>1673.9842610000001</v>
      </c>
      <c r="E922">
        <v>2.3543012339999998</v>
      </c>
      <c r="F922">
        <v>0.49296983</v>
      </c>
      <c r="G922">
        <v>1299.1977870000001</v>
      </c>
      <c r="H922">
        <v>711.03231659999994</v>
      </c>
      <c r="I922">
        <v>15.943835829999999</v>
      </c>
      <c r="J922">
        <v>14.129311769999999</v>
      </c>
      <c r="K922">
        <v>126.595</v>
      </c>
      <c r="L922">
        <v>249.86</v>
      </c>
      <c r="M922">
        <v>672.77598739999996</v>
      </c>
      <c r="N922">
        <v>476.18197750000002</v>
      </c>
      <c r="O922">
        <v>0.209391144</v>
      </c>
      <c r="P922">
        <v>1054.7650000000001</v>
      </c>
      <c r="Q922">
        <v>856.23900000000003</v>
      </c>
      <c r="R922">
        <v>220.94200000000001</v>
      </c>
      <c r="S922">
        <v>4.9963736000000002E-2</v>
      </c>
      <c r="T922">
        <v>512.38800000000003</v>
      </c>
      <c r="U922">
        <v>297.07100000000003</v>
      </c>
      <c r="V922" s="1" t="str">
        <f>IF(Energy_data_1990___2020[[#This Row],[CO2 emissions from fuel combustion (MtCO2)]]&gt;Energy_data_1990___2020[[#Totals],[CO2 emissions from fuel combustion (MtCO2)]],"Above Average","")</f>
        <v>Above Average</v>
      </c>
      <c r="W922" s="1">
        <f>SUM(Energy_data_1990___2020[[#This Row],[Coal and lignite production (Mt)]]-Energy_data_1990___2020[[#This Row],[Coal and lignite domestic consumption (Mt)]])</f>
        <v>76.129000000000019</v>
      </c>
    </row>
    <row r="923" spans="1:23">
      <c r="A923" t="s">
        <v>59</v>
      </c>
      <c r="B923">
        <v>2012</v>
      </c>
      <c r="C923" t="s">
        <v>30</v>
      </c>
      <c r="D923">
        <v>1653.362185</v>
      </c>
      <c r="E923">
        <v>2.2709515969999998</v>
      </c>
      <c r="F923">
        <v>0.46952419400000001</v>
      </c>
      <c r="G923">
        <v>1315.8076189999999</v>
      </c>
      <c r="H923">
        <v>728.04818350000005</v>
      </c>
      <c r="I923">
        <v>15.67578876</v>
      </c>
      <c r="J923">
        <v>14.422433699999999</v>
      </c>
      <c r="K923">
        <v>126.95</v>
      </c>
      <c r="L923">
        <v>255.29</v>
      </c>
      <c r="M923">
        <v>658.06162700000004</v>
      </c>
      <c r="N923">
        <v>471.06364109999998</v>
      </c>
      <c r="O923">
        <v>0.20675218000000001</v>
      </c>
      <c r="P923">
        <v>1070.7339999999999</v>
      </c>
      <c r="Q923">
        <v>874.73900000000003</v>
      </c>
      <c r="R923">
        <v>231.773</v>
      </c>
      <c r="S923">
        <v>4.5015848999999997E-2</v>
      </c>
      <c r="T923">
        <v>518.74699999999996</v>
      </c>
      <c r="U923">
        <v>330.52300000000002</v>
      </c>
      <c r="V923" s="1" t="str">
        <f>IF(Energy_data_1990___2020[[#This Row],[CO2 emissions from fuel combustion (MtCO2)]]&gt;Energy_data_1990___2020[[#Totals],[CO2 emissions from fuel combustion (MtCO2)]],"Above Average","")</f>
        <v>Above Average</v>
      </c>
      <c r="W923" s="1">
        <f>SUM(Energy_data_1990___2020[[#This Row],[Coal and lignite production (Mt)]]-Energy_data_1990___2020[[#This Row],[Coal and lignite domestic consumption (Mt)]])</f>
        <v>98.750000000000028</v>
      </c>
    </row>
    <row r="924" spans="1:23">
      <c r="A924" t="s">
        <v>59</v>
      </c>
      <c r="B924">
        <v>2013</v>
      </c>
      <c r="C924" t="s">
        <v>30</v>
      </c>
      <c r="D924">
        <v>1602.9299100000001</v>
      </c>
      <c r="E924">
        <v>2.2686088359999999</v>
      </c>
      <c r="F924">
        <v>0.44715359700000001</v>
      </c>
      <c r="G924">
        <v>1330.982209</v>
      </c>
      <c r="H924">
        <v>706.56954370000005</v>
      </c>
      <c r="I924">
        <v>17.292171029999999</v>
      </c>
      <c r="J924">
        <v>14.876875679999999</v>
      </c>
      <c r="K924">
        <v>125.684</v>
      </c>
      <c r="L924">
        <v>266.65600000000001</v>
      </c>
      <c r="M924">
        <v>674.50400209999998</v>
      </c>
      <c r="N924">
        <v>465.91616529999999</v>
      </c>
      <c r="O924">
        <v>0.19710475899999999</v>
      </c>
      <c r="P924">
        <v>1059.0920000000001</v>
      </c>
      <c r="Q924">
        <v>871.74</v>
      </c>
      <c r="R924">
        <v>207.26068849999999</v>
      </c>
      <c r="S924">
        <v>4.2394806E-2</v>
      </c>
      <c r="T924">
        <v>521.68799999999999</v>
      </c>
      <c r="U924">
        <v>327.50900000000001</v>
      </c>
      <c r="V924" s="1" t="str">
        <f>IF(Energy_data_1990___2020[[#This Row],[CO2 emissions from fuel combustion (MtCO2)]]&gt;Energy_data_1990___2020[[#Totals],[CO2 emissions from fuel combustion (MtCO2)]],"Above Average","")</f>
        <v>Above Average</v>
      </c>
      <c r="W924" s="1">
        <f>SUM(Energy_data_1990___2020[[#This Row],[Coal and lignite production (Mt)]]-Energy_data_1990___2020[[#This Row],[Coal and lignite domestic consumption (Mt)]])</f>
        <v>120.24831150000003</v>
      </c>
    </row>
    <row r="925" spans="1:23">
      <c r="A925" t="s">
        <v>59</v>
      </c>
      <c r="B925">
        <v>2014</v>
      </c>
      <c r="C925" t="s">
        <v>30</v>
      </c>
      <c r="D925">
        <v>1584.8377190000001</v>
      </c>
      <c r="E925">
        <v>2.241607584</v>
      </c>
      <c r="F925">
        <v>0.43903347799999998</v>
      </c>
      <c r="G925">
        <v>1319.407035</v>
      </c>
      <c r="H925">
        <v>707.00943859999995</v>
      </c>
      <c r="I925">
        <v>16.71516914</v>
      </c>
      <c r="J925">
        <v>14.206987489999999</v>
      </c>
      <c r="K925">
        <v>133.56</v>
      </c>
      <c r="L925">
        <v>283.32799999999997</v>
      </c>
      <c r="M925">
        <v>646.54598480000004</v>
      </c>
      <c r="N925">
        <v>464.63601879999999</v>
      </c>
      <c r="O925">
        <v>0.195856528</v>
      </c>
      <c r="P925">
        <v>1064.2070000000001</v>
      </c>
      <c r="Q925">
        <v>877.12699999999995</v>
      </c>
      <c r="R925">
        <v>199.126</v>
      </c>
      <c r="S925">
        <v>6.6810309999999998E-2</v>
      </c>
      <c r="T925">
        <v>526.12599999999998</v>
      </c>
      <c r="U925">
        <v>334.084</v>
      </c>
      <c r="V925" s="1" t="str">
        <f>IF(Energy_data_1990___2020[[#This Row],[CO2 emissions from fuel combustion (MtCO2)]]&gt;Energy_data_1990___2020[[#Totals],[CO2 emissions from fuel combustion (MtCO2)]],"Above Average","")</f>
        <v>Above Average</v>
      </c>
      <c r="W925" s="1">
        <f>SUM(Energy_data_1990___2020[[#This Row],[Coal and lignite production (Mt)]]-Energy_data_1990___2020[[#This Row],[Coal and lignite domestic consumption (Mt)]])</f>
        <v>134.958</v>
      </c>
    </row>
    <row r="926" spans="1:23">
      <c r="A926" t="s">
        <v>59</v>
      </c>
      <c r="B926">
        <v>2015</v>
      </c>
      <c r="C926" t="s">
        <v>30</v>
      </c>
      <c r="D926">
        <v>1592.3160170000001</v>
      </c>
      <c r="E926">
        <v>2.2993362620000002</v>
      </c>
      <c r="F926">
        <v>0.45152499800000001</v>
      </c>
      <c r="G926">
        <v>1334.4087589999999</v>
      </c>
      <c r="H926">
        <v>692.51115800000002</v>
      </c>
      <c r="I926">
        <v>16.007209069999998</v>
      </c>
      <c r="J926">
        <v>14.181257370000001</v>
      </c>
      <c r="K926">
        <v>132.66499999999999</v>
      </c>
      <c r="L926">
        <v>278.11799999999999</v>
      </c>
      <c r="M926">
        <v>638.02600050000001</v>
      </c>
      <c r="N926">
        <v>445.44627259999999</v>
      </c>
      <c r="O926">
        <v>0.196371886</v>
      </c>
      <c r="P926">
        <v>1067.5440000000001</v>
      </c>
      <c r="Q926">
        <v>876.81600000000003</v>
      </c>
      <c r="R926">
        <v>221.922</v>
      </c>
      <c r="S926">
        <v>8.8052577000000007E-2</v>
      </c>
      <c r="T926">
        <v>533.71299999999997</v>
      </c>
      <c r="U926">
        <v>352.62900000000002</v>
      </c>
      <c r="V926" s="1" t="str">
        <f>IF(Energy_data_1990___2020[[#This Row],[CO2 emissions from fuel combustion (MtCO2)]]&gt;Energy_data_1990___2020[[#Totals],[CO2 emissions from fuel combustion (MtCO2)]],"Above Average","")</f>
        <v>Above Average</v>
      </c>
      <c r="W926" s="1">
        <f>SUM(Energy_data_1990___2020[[#This Row],[Coal and lignite production (Mt)]]-Energy_data_1990___2020[[#This Row],[Coal and lignite domestic consumption (Mt)]])</f>
        <v>130.70700000000002</v>
      </c>
    </row>
    <row r="927" spans="1:23">
      <c r="A927" t="s">
        <v>59</v>
      </c>
      <c r="B927">
        <v>2016</v>
      </c>
      <c r="C927" t="s">
        <v>30</v>
      </c>
      <c r="D927">
        <v>1571.7568120000001</v>
      </c>
      <c r="E927">
        <v>2.200458019</v>
      </c>
      <c r="F927">
        <v>0.44423235700000002</v>
      </c>
      <c r="G927">
        <v>1373.6294989999999</v>
      </c>
      <c r="H927">
        <v>714.28620679999995</v>
      </c>
      <c r="I927">
        <v>17.20739193</v>
      </c>
      <c r="J927">
        <v>14.07431081</v>
      </c>
      <c r="K927">
        <v>126.087</v>
      </c>
      <c r="L927">
        <v>269.88099999999997</v>
      </c>
      <c r="M927">
        <v>644.22242570000003</v>
      </c>
      <c r="N927">
        <v>444.09964159999998</v>
      </c>
      <c r="O927">
        <v>0.20188176899999999</v>
      </c>
      <c r="P927">
        <v>1090.973</v>
      </c>
      <c r="Q927">
        <v>898.48800000000006</v>
      </c>
      <c r="R927">
        <v>215.09</v>
      </c>
      <c r="S927">
        <v>9.6794328999999998E-2</v>
      </c>
      <c r="T927">
        <v>547.73400000000004</v>
      </c>
      <c r="U927">
        <v>367.54399999999998</v>
      </c>
      <c r="V927" s="1" t="str">
        <f>IF(Energy_data_1990___2020[[#This Row],[CO2 emissions from fuel combustion (MtCO2)]]&gt;Energy_data_1990___2020[[#Totals],[CO2 emissions from fuel combustion (MtCO2)]],"Above Average","")</f>
        <v>Above Average</v>
      </c>
      <c r="W927" s="1">
        <f>SUM(Energy_data_1990___2020[[#This Row],[Coal and lignite production (Mt)]]-Energy_data_1990___2020[[#This Row],[Coal and lignite domestic consumption (Mt)]])</f>
        <v>152.45399999999998</v>
      </c>
    </row>
    <row r="928" spans="1:23">
      <c r="A928" t="s">
        <v>59</v>
      </c>
      <c r="B928">
        <v>2017</v>
      </c>
      <c r="C928" t="s">
        <v>30</v>
      </c>
      <c r="D928">
        <v>1614.581582</v>
      </c>
      <c r="E928">
        <v>2.2144854650000001</v>
      </c>
      <c r="F928">
        <v>0.449016305</v>
      </c>
      <c r="G928">
        <v>1429.196541</v>
      </c>
      <c r="H928">
        <v>729.10010369999998</v>
      </c>
      <c r="I928">
        <v>17.21190756</v>
      </c>
      <c r="J928">
        <v>13.668079430000001</v>
      </c>
      <c r="K928">
        <v>133.76806400000001</v>
      </c>
      <c r="L928">
        <v>280.433313</v>
      </c>
      <c r="M928">
        <v>695.13013679999995</v>
      </c>
      <c r="N928">
        <v>463.02094549999998</v>
      </c>
      <c r="O928">
        <v>0.202763266</v>
      </c>
      <c r="P928">
        <v>1094.2886100000001</v>
      </c>
      <c r="Q928">
        <v>904.87786300000005</v>
      </c>
      <c r="R928">
        <v>214.2602</v>
      </c>
      <c r="S928">
        <v>0.10349628</v>
      </c>
      <c r="T928">
        <v>546.39800000000002</v>
      </c>
      <c r="U928">
        <v>388.6001</v>
      </c>
      <c r="V928" s="1" t="str">
        <f>IF(Energy_data_1990___2020[[#This Row],[CO2 emissions from fuel combustion (MtCO2)]]&gt;Energy_data_1990___2020[[#Totals],[CO2 emissions from fuel combustion (MtCO2)]],"Above Average","")</f>
        <v>Above Average</v>
      </c>
      <c r="W928" s="1">
        <f>SUM(Energy_data_1990___2020[[#This Row],[Coal and lignite production (Mt)]]-Energy_data_1990___2020[[#This Row],[Coal and lignite domestic consumption (Mt)]])</f>
        <v>174.3399</v>
      </c>
    </row>
    <row r="929" spans="1:23">
      <c r="A929" t="s">
        <v>59</v>
      </c>
      <c r="B929">
        <v>2018</v>
      </c>
      <c r="C929" t="s">
        <v>30</v>
      </c>
      <c r="D929">
        <v>1674.260485</v>
      </c>
      <c r="E929">
        <v>2.203928248</v>
      </c>
      <c r="F929">
        <v>0.45534589199999997</v>
      </c>
      <c r="G929">
        <v>1484.0903330000001</v>
      </c>
      <c r="H929">
        <v>759.67104949999998</v>
      </c>
      <c r="I929">
        <v>17.440514919999998</v>
      </c>
      <c r="J929">
        <v>12.942529520000001</v>
      </c>
      <c r="K929">
        <v>132.713537</v>
      </c>
      <c r="L929">
        <v>277.08409999999998</v>
      </c>
      <c r="M929">
        <v>738.15737249999995</v>
      </c>
      <c r="N929">
        <v>498.54161720000002</v>
      </c>
      <c r="O929">
        <v>0.206606496</v>
      </c>
      <c r="P929">
        <v>1115.0931889999999</v>
      </c>
      <c r="Q929">
        <v>926.17671499999994</v>
      </c>
      <c r="R929">
        <v>227.399035</v>
      </c>
      <c r="S929">
        <v>0.12359245100000001</v>
      </c>
      <c r="T929">
        <v>555.52059999999994</v>
      </c>
      <c r="U929">
        <v>420.37612799999999</v>
      </c>
      <c r="V929" s="1" t="str">
        <f>IF(Energy_data_1990___2020[[#This Row],[CO2 emissions from fuel combustion (MtCO2)]]&gt;Energy_data_1990___2020[[#Totals],[CO2 emissions from fuel combustion (MtCO2)]],"Above Average","")</f>
        <v>Above Average</v>
      </c>
      <c r="W929" s="1">
        <f>SUM(Energy_data_1990___2020[[#This Row],[Coal and lignite production (Mt)]]-Energy_data_1990___2020[[#This Row],[Coal and lignite domestic consumption (Mt)]])</f>
        <v>192.977093</v>
      </c>
    </row>
    <row r="930" spans="1:23">
      <c r="A930" t="s">
        <v>59</v>
      </c>
      <c r="B930">
        <v>2019</v>
      </c>
      <c r="C930" t="s">
        <v>30</v>
      </c>
      <c r="D930">
        <v>1719.2733049999999</v>
      </c>
      <c r="E930">
        <v>2.2387460190000001</v>
      </c>
      <c r="F930">
        <v>0.46139602099999999</v>
      </c>
      <c r="G930">
        <v>1505.350608</v>
      </c>
      <c r="H930">
        <v>767.96264069999995</v>
      </c>
      <c r="I930">
        <v>17.94045229</v>
      </c>
      <c r="J930">
        <v>12.973295759999999</v>
      </c>
      <c r="K930">
        <v>134.05865679999999</v>
      </c>
      <c r="L930">
        <v>275.24974529999997</v>
      </c>
      <c r="M930">
        <v>750.77544720000003</v>
      </c>
      <c r="N930">
        <v>501.1458394</v>
      </c>
      <c r="O930">
        <v>0.206095741</v>
      </c>
      <c r="P930">
        <v>1125.1934819999999</v>
      </c>
      <c r="Q930">
        <v>929.56126080000001</v>
      </c>
      <c r="R930">
        <v>229.09230310000001</v>
      </c>
      <c r="S930">
        <v>0.171090521</v>
      </c>
      <c r="T930">
        <v>560.71611640000003</v>
      </c>
      <c r="U930">
        <v>424.5908278</v>
      </c>
      <c r="V930" s="1" t="str">
        <f>IF(Energy_data_1990___2020[[#This Row],[CO2 emissions from fuel combustion (MtCO2)]]&gt;Energy_data_1990___2020[[#Totals],[CO2 emissions from fuel combustion (MtCO2)]],"Above Average","")</f>
        <v>Above Average</v>
      </c>
      <c r="W930" s="1">
        <f>SUM(Energy_data_1990___2020[[#This Row],[Coal and lignite production (Mt)]]-Energy_data_1990___2020[[#This Row],[Coal and lignite domestic consumption (Mt)]])</f>
        <v>195.49852469999999</v>
      </c>
    </row>
    <row r="931" spans="1:23">
      <c r="A931" t="s">
        <v>59</v>
      </c>
      <c r="B931">
        <v>2020</v>
      </c>
      <c r="C931" t="s">
        <v>30</v>
      </c>
      <c r="D931">
        <v>1619.084595</v>
      </c>
      <c r="E931">
        <v>2.21383902</v>
      </c>
      <c r="F931">
        <v>0.450735155</v>
      </c>
      <c r="G931">
        <v>1401.5569989999999</v>
      </c>
      <c r="H931">
        <v>731.34703139999999</v>
      </c>
      <c r="I931">
        <v>20.301107009999999</v>
      </c>
      <c r="J931">
        <v>12.99110159</v>
      </c>
      <c r="K931">
        <v>129.4406281</v>
      </c>
      <c r="L931">
        <v>265.82907940000001</v>
      </c>
      <c r="M931">
        <v>705.1813846</v>
      </c>
      <c r="N931">
        <v>484.45488719999997</v>
      </c>
      <c r="O931">
        <v>0.20359888400000001</v>
      </c>
      <c r="P931">
        <v>1091.5351639999999</v>
      </c>
      <c r="Q931">
        <v>905.59500439999999</v>
      </c>
      <c r="R931">
        <v>204.80826200000001</v>
      </c>
      <c r="S931">
        <v>0.336201111</v>
      </c>
      <c r="T931">
        <v>512.3578483</v>
      </c>
      <c r="U931">
        <v>385.56452539999998</v>
      </c>
      <c r="V931" s="1" t="str">
        <f>IF(Energy_data_1990___2020[[#This Row],[CO2 emissions from fuel combustion (MtCO2)]]&gt;Energy_data_1990___2020[[#Totals],[CO2 emissions from fuel combustion (MtCO2)]],"Above Average","")</f>
        <v>Above Average</v>
      </c>
      <c r="W931" s="1">
        <f>SUM(Energy_data_1990___2020[[#This Row],[Coal and lignite production (Mt)]]-Energy_data_1990___2020[[#This Row],[Coal and lignite domestic consumption (Mt)]])</f>
        <v>180.75626339999997</v>
      </c>
    </row>
    <row r="932" spans="1:23">
      <c r="A932" t="s">
        <v>60</v>
      </c>
      <c r="B932">
        <v>1990</v>
      </c>
      <c r="C932" t="s">
        <v>39</v>
      </c>
      <c r="D932">
        <v>155.6998811</v>
      </c>
      <c r="E932">
        <v>2.684029819</v>
      </c>
      <c r="F932">
        <v>0.23527477799999999</v>
      </c>
      <c r="G932">
        <v>368.44259490000002</v>
      </c>
      <c r="H932">
        <v>58.00974342</v>
      </c>
      <c r="I932">
        <v>0</v>
      </c>
      <c r="J932">
        <v>11.96367734</v>
      </c>
      <c r="K932">
        <v>34.341999999999999</v>
      </c>
      <c r="L932">
        <v>89.817999999999998</v>
      </c>
      <c r="M932">
        <v>23.855971790000002</v>
      </c>
      <c r="N932">
        <v>23.855971790000002</v>
      </c>
      <c r="O932">
        <v>8.7657288999999999E-2</v>
      </c>
      <c r="P932">
        <v>69.207999999999998</v>
      </c>
      <c r="Q932">
        <v>63.633000000000003</v>
      </c>
      <c r="R932">
        <v>0</v>
      </c>
      <c r="S932">
        <v>0</v>
      </c>
      <c r="T932">
        <v>341.81700000000001</v>
      </c>
      <c r="V932" s="1" t="str">
        <f>IF(Energy_data_1990___2020[[#This Row],[CO2 emissions from fuel combustion (MtCO2)]]&gt;Energy_data_1990___2020[[#Totals],[CO2 emissions from fuel combustion (MtCO2)]],"Above Average","")</f>
        <v/>
      </c>
      <c r="W932" s="1">
        <f>SUM(Energy_data_1990___2020[[#This Row],[Coal and lignite production (Mt)]]-Energy_data_1990___2020[[#This Row],[Coal and lignite domestic consumption (Mt)]])</f>
        <v>0</v>
      </c>
    </row>
    <row r="933" spans="1:23">
      <c r="A933" t="s">
        <v>60</v>
      </c>
      <c r="B933">
        <v>1991</v>
      </c>
      <c r="C933" t="s">
        <v>39</v>
      </c>
      <c r="D933">
        <v>162.07217030000001</v>
      </c>
      <c r="E933">
        <v>2.40013034</v>
      </c>
      <c r="F933">
        <v>0.21294524200000001</v>
      </c>
      <c r="G933">
        <v>463.65968140000001</v>
      </c>
      <c r="H933">
        <v>67.526403720000005</v>
      </c>
      <c r="I933">
        <v>0</v>
      </c>
      <c r="J933">
        <v>12.27676816</v>
      </c>
      <c r="K933">
        <v>35.551000000000002</v>
      </c>
      <c r="L933">
        <v>84.816000000000003</v>
      </c>
      <c r="M933">
        <v>24.362021550000001</v>
      </c>
      <c r="N933">
        <v>24.362021550000001</v>
      </c>
      <c r="O933">
        <v>8.8722365999999997E-2</v>
      </c>
      <c r="P933">
        <v>74.010999999999996</v>
      </c>
      <c r="Q933">
        <v>67.436999999999998</v>
      </c>
      <c r="R933">
        <v>0</v>
      </c>
      <c r="S933">
        <v>0</v>
      </c>
      <c r="T933">
        <v>435.05500000000001</v>
      </c>
      <c r="V933" s="1" t="str">
        <f>IF(Energy_data_1990___2020[[#This Row],[CO2 emissions from fuel combustion (MtCO2)]]&gt;Energy_data_1990___2020[[#Totals],[CO2 emissions from fuel combustion (MtCO2)]],"Above Average","")</f>
        <v/>
      </c>
      <c r="W933" s="1">
        <f>SUM(Energy_data_1990___2020[[#This Row],[Coal and lignite production (Mt)]]-Energy_data_1990___2020[[#This Row],[Coal and lignite domestic consumption (Mt)]])</f>
        <v>0</v>
      </c>
    </row>
    <row r="934" spans="1:23">
      <c r="A934" t="s">
        <v>60</v>
      </c>
      <c r="B934">
        <v>1992</v>
      </c>
      <c r="C934" t="s">
        <v>39</v>
      </c>
      <c r="D934">
        <v>176.79354649999999</v>
      </c>
      <c r="E934">
        <v>2.2980310890000002</v>
      </c>
      <c r="F934">
        <v>0.22338015899999999</v>
      </c>
      <c r="G934">
        <v>477.20288110000001</v>
      </c>
      <c r="H934">
        <v>76.932617390000004</v>
      </c>
      <c r="I934">
        <v>0</v>
      </c>
      <c r="J934">
        <v>11.87426921</v>
      </c>
      <c r="K934">
        <v>39.06</v>
      </c>
      <c r="L934">
        <v>88.790999999999997</v>
      </c>
      <c r="M934">
        <v>26.99998158</v>
      </c>
      <c r="N934">
        <v>26.99998158</v>
      </c>
      <c r="O934">
        <v>9.7205020000000003E-2</v>
      </c>
      <c r="P934">
        <v>82.19</v>
      </c>
      <c r="Q934">
        <v>74.111999999999995</v>
      </c>
      <c r="R934">
        <v>0</v>
      </c>
      <c r="S934">
        <v>0</v>
      </c>
      <c r="T934">
        <v>446.14800000000002</v>
      </c>
      <c r="V934" s="1" t="str">
        <f>IF(Energy_data_1990___2020[[#This Row],[CO2 emissions from fuel combustion (MtCO2)]]&gt;Energy_data_1990___2020[[#Totals],[CO2 emissions from fuel combustion (MtCO2)]],"Above Average","")</f>
        <v/>
      </c>
      <c r="W934" s="1">
        <f>SUM(Energy_data_1990___2020[[#This Row],[Coal and lignite production (Mt)]]-Energy_data_1990___2020[[#This Row],[Coal and lignite domestic consumption (Mt)]])</f>
        <v>0</v>
      </c>
    </row>
    <row r="935" spans="1:23">
      <c r="A935" t="s">
        <v>60</v>
      </c>
      <c r="B935">
        <v>1993</v>
      </c>
      <c r="C935" t="s">
        <v>39</v>
      </c>
      <c r="D935">
        <v>187.37428059999999</v>
      </c>
      <c r="E935">
        <v>2.346140465</v>
      </c>
      <c r="F935">
        <v>0.240022291</v>
      </c>
      <c r="G935">
        <v>471.76032259999999</v>
      </c>
      <c r="H935">
        <v>79.864902979999997</v>
      </c>
      <c r="I935">
        <v>0</v>
      </c>
      <c r="J935">
        <v>12.72951582</v>
      </c>
      <c r="K935">
        <v>41.091999999999999</v>
      </c>
      <c r="L935">
        <v>90.28</v>
      </c>
      <c r="M935">
        <v>28.09197992</v>
      </c>
      <c r="N935">
        <v>28.09197992</v>
      </c>
      <c r="O935">
        <v>0.102305166</v>
      </c>
      <c r="P935">
        <v>91.04</v>
      </c>
      <c r="Q935">
        <v>82.197999999999993</v>
      </c>
      <c r="R935">
        <v>0</v>
      </c>
      <c r="S935">
        <v>0</v>
      </c>
      <c r="T935">
        <v>439.82100000000003</v>
      </c>
      <c r="V935" s="1" t="str">
        <f>IF(Energy_data_1990___2020[[#This Row],[CO2 emissions from fuel combustion (MtCO2)]]&gt;Energy_data_1990___2020[[#Totals],[CO2 emissions from fuel combustion (MtCO2)]],"Above Average","")</f>
        <v/>
      </c>
      <c r="W935" s="1">
        <f>SUM(Energy_data_1990___2020[[#This Row],[Coal and lignite production (Mt)]]-Energy_data_1990___2020[[#This Row],[Coal and lignite domestic consumption (Mt)]])</f>
        <v>0</v>
      </c>
    </row>
    <row r="936" spans="1:23">
      <c r="A936" t="s">
        <v>60</v>
      </c>
      <c r="B936">
        <v>1994</v>
      </c>
      <c r="C936" t="s">
        <v>39</v>
      </c>
      <c r="D936">
        <v>199.50461530000001</v>
      </c>
      <c r="E936">
        <v>2.374052088</v>
      </c>
      <c r="F936">
        <v>0.25414104199999998</v>
      </c>
      <c r="G936">
        <v>461.85501040000003</v>
      </c>
      <c r="H936">
        <v>84.035483600000006</v>
      </c>
      <c r="I936">
        <v>0</v>
      </c>
      <c r="J936">
        <v>12.37560418</v>
      </c>
      <c r="K936">
        <v>42.012999999999998</v>
      </c>
      <c r="L936">
        <v>91.518000000000001</v>
      </c>
      <c r="M936">
        <v>30.453027509999998</v>
      </c>
      <c r="N936">
        <v>30.453027509999998</v>
      </c>
      <c r="O936">
        <v>0.10704948</v>
      </c>
      <c r="P936">
        <v>93.921999999999997</v>
      </c>
      <c r="Q936">
        <v>85.909000000000006</v>
      </c>
      <c r="R936">
        <v>0</v>
      </c>
      <c r="S936">
        <v>0</v>
      </c>
      <c r="T936">
        <v>428.10500000000002</v>
      </c>
      <c r="V936" s="1" t="str">
        <f>IF(Energy_data_1990___2020[[#This Row],[CO2 emissions from fuel combustion (MtCO2)]]&gt;Energy_data_1990___2020[[#Totals],[CO2 emissions from fuel combustion (MtCO2)]],"Above Average","")</f>
        <v/>
      </c>
      <c r="W936" s="1">
        <f>SUM(Energy_data_1990___2020[[#This Row],[Coal and lignite production (Mt)]]-Energy_data_1990___2020[[#This Row],[Coal and lignite domestic consumption (Mt)]])</f>
        <v>0</v>
      </c>
    </row>
    <row r="937" spans="1:23">
      <c r="A937" t="s">
        <v>60</v>
      </c>
      <c r="B937">
        <v>1995</v>
      </c>
      <c r="C937" t="s">
        <v>39</v>
      </c>
      <c r="D937">
        <v>198.65265779999999</v>
      </c>
      <c r="E937">
        <v>2.3505521850000002</v>
      </c>
      <c r="F937">
        <v>0.25252019399999998</v>
      </c>
      <c r="G937">
        <v>464.24421530000001</v>
      </c>
      <c r="H937">
        <v>84.513187590000001</v>
      </c>
      <c r="I937">
        <v>0</v>
      </c>
      <c r="J937">
        <v>12.984609949999999</v>
      </c>
      <c r="K937">
        <v>41.143000000000001</v>
      </c>
      <c r="L937">
        <v>89.204999999999998</v>
      </c>
      <c r="M937">
        <v>30.330996519999999</v>
      </c>
      <c r="N937">
        <v>30.330996519999999</v>
      </c>
      <c r="O937">
        <v>0.107430159</v>
      </c>
      <c r="P937">
        <v>97.846000000000004</v>
      </c>
      <c r="Q937">
        <v>89.641999999999996</v>
      </c>
      <c r="R937">
        <v>0</v>
      </c>
      <c r="S937">
        <v>0</v>
      </c>
      <c r="T937">
        <v>430.44</v>
      </c>
      <c r="V937" s="1" t="str">
        <f>IF(Energy_data_1990___2020[[#This Row],[CO2 emissions from fuel combustion (MtCO2)]]&gt;Energy_data_1990___2020[[#Totals],[CO2 emissions from fuel combustion (MtCO2)]],"Above Average","")</f>
        <v/>
      </c>
      <c r="W937" s="1">
        <f>SUM(Energy_data_1990___2020[[#This Row],[Coal and lignite production (Mt)]]-Energy_data_1990___2020[[#This Row],[Coal and lignite domestic consumption (Mt)]])</f>
        <v>0</v>
      </c>
    </row>
    <row r="938" spans="1:23">
      <c r="A938" t="s">
        <v>60</v>
      </c>
      <c r="B938">
        <v>1996</v>
      </c>
      <c r="C938" t="s">
        <v>39</v>
      </c>
      <c r="D938">
        <v>211.53218150000001</v>
      </c>
      <c r="E938">
        <v>2.3382662440000002</v>
      </c>
      <c r="F938">
        <v>0.26198259400000001</v>
      </c>
      <c r="G938">
        <v>469.0658487</v>
      </c>
      <c r="H938">
        <v>90.465395939999993</v>
      </c>
      <c r="I938">
        <v>0</v>
      </c>
      <c r="J938">
        <v>12.14047107</v>
      </c>
      <c r="K938">
        <v>44.920999999999999</v>
      </c>
      <c r="L938">
        <v>99.591999999999999</v>
      </c>
      <c r="M938">
        <v>31.471014700000001</v>
      </c>
      <c r="N938">
        <v>31.471014700000001</v>
      </c>
      <c r="O938">
        <v>0.11204138700000001</v>
      </c>
      <c r="P938">
        <v>101.114</v>
      </c>
      <c r="Q938">
        <v>92.228999999999999</v>
      </c>
      <c r="R938">
        <v>0</v>
      </c>
      <c r="S938">
        <v>0</v>
      </c>
      <c r="T938">
        <v>434.18900000000002</v>
      </c>
      <c r="V938" s="1" t="str">
        <f>IF(Energy_data_1990___2020[[#This Row],[CO2 emissions from fuel combustion (MtCO2)]]&gt;Energy_data_1990___2020[[#Totals],[CO2 emissions from fuel combustion (MtCO2)]],"Above Average","")</f>
        <v/>
      </c>
      <c r="W938" s="1">
        <f>SUM(Energy_data_1990___2020[[#This Row],[Coal and lignite production (Mt)]]-Energy_data_1990___2020[[#This Row],[Coal and lignite domestic consumption (Mt)]])</f>
        <v>0</v>
      </c>
    </row>
    <row r="939" spans="1:23">
      <c r="A939" t="s">
        <v>60</v>
      </c>
      <c r="B939">
        <v>1997</v>
      </c>
      <c r="C939" t="s">
        <v>39</v>
      </c>
      <c r="D939">
        <v>214.0115084</v>
      </c>
      <c r="E939">
        <v>2.4806762280000001</v>
      </c>
      <c r="F939">
        <v>0.26215957000000001</v>
      </c>
      <c r="G939">
        <v>464.48402290000001</v>
      </c>
      <c r="H939">
        <v>86.271439200000003</v>
      </c>
      <c r="I939">
        <v>0</v>
      </c>
      <c r="J939">
        <v>12.83247789</v>
      </c>
      <c r="K939">
        <v>45.274999999999999</v>
      </c>
      <c r="L939">
        <v>96.662000000000006</v>
      </c>
      <c r="M939">
        <v>32.509986789999999</v>
      </c>
      <c r="N939">
        <v>32.509986789999999</v>
      </c>
      <c r="O939">
        <v>0.10568068799999999</v>
      </c>
      <c r="P939">
        <v>107.54600000000001</v>
      </c>
      <c r="Q939">
        <v>97.051000000000002</v>
      </c>
      <c r="R939">
        <v>0</v>
      </c>
      <c r="S939">
        <v>0</v>
      </c>
      <c r="T939">
        <v>428.858</v>
      </c>
      <c r="V939" s="1" t="str">
        <f>IF(Energy_data_1990___2020[[#This Row],[CO2 emissions from fuel combustion (MtCO2)]]&gt;Energy_data_1990___2020[[#Totals],[CO2 emissions from fuel combustion (MtCO2)]],"Above Average","")</f>
        <v/>
      </c>
      <c r="W939" s="1">
        <f>SUM(Energy_data_1990___2020[[#This Row],[Coal and lignite production (Mt)]]-Energy_data_1990___2020[[#This Row],[Coal and lignite domestic consumption (Mt)]])</f>
        <v>0</v>
      </c>
    </row>
    <row r="940" spans="1:23">
      <c r="A940" t="s">
        <v>60</v>
      </c>
      <c r="B940">
        <v>1998</v>
      </c>
      <c r="C940" t="s">
        <v>39</v>
      </c>
      <c r="D940">
        <v>228.9147562</v>
      </c>
      <c r="E940">
        <v>2.489873862</v>
      </c>
      <c r="F940">
        <v>0.27253043999999998</v>
      </c>
      <c r="G940">
        <v>478.66129360000002</v>
      </c>
      <c r="H940">
        <v>91.938294420000005</v>
      </c>
      <c r="I940">
        <v>0</v>
      </c>
      <c r="J940">
        <v>13.1775608</v>
      </c>
      <c r="K940">
        <v>47.981000000000002</v>
      </c>
      <c r="L940">
        <v>97.706999999999994</v>
      </c>
      <c r="M940">
        <v>34.191971160000001</v>
      </c>
      <c r="N940">
        <v>34.191971160000001</v>
      </c>
      <c r="O940">
        <v>0.109455521</v>
      </c>
      <c r="P940">
        <v>114.623</v>
      </c>
      <c r="Q940">
        <v>105.611</v>
      </c>
      <c r="R940">
        <v>0</v>
      </c>
      <c r="S940">
        <v>0</v>
      </c>
      <c r="T940">
        <v>441.47300000000001</v>
      </c>
      <c r="V940" s="1" t="str">
        <f>IF(Energy_data_1990___2020[[#This Row],[CO2 emissions from fuel combustion (MtCO2)]]&gt;Energy_data_1990___2020[[#Totals],[CO2 emissions from fuel combustion (MtCO2)]],"Above Average","")</f>
        <v/>
      </c>
      <c r="W940" s="1">
        <f>SUM(Energy_data_1990___2020[[#This Row],[Coal and lignite production (Mt)]]-Energy_data_1990___2020[[#This Row],[Coal and lignite domestic consumption (Mt)]])</f>
        <v>0</v>
      </c>
    </row>
    <row r="941" spans="1:23">
      <c r="A941" t="s">
        <v>60</v>
      </c>
      <c r="B941">
        <v>1999</v>
      </c>
      <c r="C941" t="s">
        <v>39</v>
      </c>
      <c r="D941">
        <v>234.94536880000001</v>
      </c>
      <c r="E941">
        <v>2.5101590919999999</v>
      </c>
      <c r="F941">
        <v>0.29064799299999999</v>
      </c>
      <c r="G941">
        <v>442.37697300000002</v>
      </c>
      <c r="H941">
        <v>93.597800050000004</v>
      </c>
      <c r="I941">
        <v>0</v>
      </c>
      <c r="J941">
        <v>13.52273982</v>
      </c>
      <c r="K941">
        <v>50.381999999999998</v>
      </c>
      <c r="L941">
        <v>96.176000000000002</v>
      </c>
      <c r="M941">
        <v>34.121024720000001</v>
      </c>
      <c r="N941">
        <v>34.121024720000001</v>
      </c>
      <c r="O941">
        <v>0.11578867399999999</v>
      </c>
      <c r="P941">
        <v>119.015</v>
      </c>
      <c r="Q941">
        <v>110.61199999999999</v>
      </c>
      <c r="R941">
        <v>0</v>
      </c>
      <c r="S941">
        <v>0</v>
      </c>
      <c r="T941">
        <v>405.851</v>
      </c>
      <c r="V941" s="1" t="str">
        <f>IF(Energy_data_1990___2020[[#This Row],[CO2 emissions from fuel combustion (MtCO2)]]&gt;Energy_data_1990___2020[[#Totals],[CO2 emissions from fuel combustion (MtCO2)]],"Above Average","")</f>
        <v/>
      </c>
      <c r="W941" s="1">
        <f>SUM(Energy_data_1990___2020[[#This Row],[Coal and lignite production (Mt)]]-Energy_data_1990___2020[[#This Row],[Coal and lignite domestic consumption (Mt)]])</f>
        <v>0</v>
      </c>
    </row>
    <row r="942" spans="1:23">
      <c r="A942" t="s">
        <v>60</v>
      </c>
      <c r="B942">
        <v>2000</v>
      </c>
      <c r="C942" t="s">
        <v>39</v>
      </c>
      <c r="D942">
        <v>244.17253070000001</v>
      </c>
      <c r="E942">
        <v>2.4949796769999999</v>
      </c>
      <c r="F942">
        <v>0.285975488</v>
      </c>
      <c r="G942">
        <v>475.83443979999998</v>
      </c>
      <c r="H942">
        <v>97.865538909999998</v>
      </c>
      <c r="I942">
        <v>0</v>
      </c>
      <c r="J942">
        <v>13.40181194</v>
      </c>
      <c r="K942">
        <v>52.343000000000004</v>
      </c>
      <c r="L942">
        <v>99.978999999999999</v>
      </c>
      <c r="M942">
        <v>37.679959580000002</v>
      </c>
      <c r="N942">
        <v>37.679959580000002</v>
      </c>
      <c r="O942">
        <v>0.114620368</v>
      </c>
      <c r="P942">
        <v>126.191</v>
      </c>
      <c r="Q942">
        <v>114.161</v>
      </c>
      <c r="R942">
        <v>0</v>
      </c>
      <c r="S942">
        <v>0</v>
      </c>
      <c r="T942">
        <v>435.85599999999999</v>
      </c>
      <c r="V942" s="1" t="str">
        <f>IF(Energy_data_1990___2020[[#This Row],[CO2 emissions from fuel combustion (MtCO2)]]&gt;Energy_data_1990___2020[[#Totals],[CO2 emissions from fuel combustion (MtCO2)]],"Above Average","")</f>
        <v/>
      </c>
      <c r="W942" s="1">
        <f>SUM(Energy_data_1990___2020[[#This Row],[Coal and lignite production (Mt)]]-Energy_data_1990___2020[[#This Row],[Coal and lignite domestic consumption (Mt)]])</f>
        <v>0</v>
      </c>
    </row>
    <row r="943" spans="1:23">
      <c r="A943" t="s">
        <v>60</v>
      </c>
      <c r="B943">
        <v>2001</v>
      </c>
      <c r="C943" t="s">
        <v>39</v>
      </c>
      <c r="D943">
        <v>248.17285649999999</v>
      </c>
      <c r="E943">
        <v>2.470422777</v>
      </c>
      <c r="F943">
        <v>0.294222967</v>
      </c>
      <c r="G943">
        <v>464.0135204</v>
      </c>
      <c r="H943">
        <v>100.45764579999999</v>
      </c>
      <c r="I943">
        <v>0</v>
      </c>
      <c r="J943">
        <v>14.12462332</v>
      </c>
      <c r="K943">
        <v>55.427</v>
      </c>
      <c r="L943">
        <v>99.558999999999997</v>
      </c>
      <c r="M943">
        <v>39.107035719999999</v>
      </c>
      <c r="N943">
        <v>39.107035719999999</v>
      </c>
      <c r="O943">
        <v>0.119098225</v>
      </c>
      <c r="P943">
        <v>133.673</v>
      </c>
      <c r="Q943">
        <v>122.943</v>
      </c>
      <c r="R943">
        <v>0</v>
      </c>
      <c r="S943">
        <v>0</v>
      </c>
      <c r="T943">
        <v>423.089</v>
      </c>
      <c r="V943" s="1" t="str">
        <f>IF(Energy_data_1990___2020[[#This Row],[CO2 emissions from fuel combustion (MtCO2)]]&gt;Energy_data_1990___2020[[#Totals],[CO2 emissions from fuel combustion (MtCO2)]],"Above Average","")</f>
        <v/>
      </c>
      <c r="W943" s="1">
        <f>SUM(Energy_data_1990___2020[[#This Row],[Coal and lignite production (Mt)]]-Energy_data_1990___2020[[#This Row],[Coal and lignite domestic consumption (Mt)]])</f>
        <v>0</v>
      </c>
    </row>
    <row r="944" spans="1:23">
      <c r="A944" t="s">
        <v>60</v>
      </c>
      <c r="B944">
        <v>2002</v>
      </c>
      <c r="C944" t="s">
        <v>39</v>
      </c>
      <c r="D944">
        <v>265.67214280000002</v>
      </c>
      <c r="E944">
        <v>2.327403554</v>
      </c>
      <c r="F944">
        <v>0.32410648800000003</v>
      </c>
      <c r="G944">
        <v>434.75048989999999</v>
      </c>
      <c r="H944">
        <v>114.149582</v>
      </c>
      <c r="I944">
        <v>0</v>
      </c>
      <c r="J944">
        <v>13.6223049</v>
      </c>
      <c r="K944">
        <v>59.548999999999999</v>
      </c>
      <c r="L944">
        <v>99.391999999999996</v>
      </c>
      <c r="M944">
        <v>45.694966010000002</v>
      </c>
      <c r="N944">
        <v>45.694966010000002</v>
      </c>
      <c r="O944">
        <v>0.13925667799999999</v>
      </c>
      <c r="P944">
        <v>141.73599999999999</v>
      </c>
      <c r="Q944">
        <v>128.62799999999999</v>
      </c>
      <c r="R944">
        <v>0</v>
      </c>
      <c r="S944">
        <v>0</v>
      </c>
      <c r="T944">
        <v>388.87099999999998</v>
      </c>
      <c r="V944" s="1" t="str">
        <f>IF(Energy_data_1990___2020[[#This Row],[CO2 emissions from fuel combustion (MtCO2)]]&gt;Energy_data_1990___2020[[#Totals],[CO2 emissions from fuel combustion (MtCO2)]],"Above Average","")</f>
        <v/>
      </c>
      <c r="W944" s="1">
        <f>SUM(Energy_data_1990___2020[[#This Row],[Coal and lignite production (Mt)]]-Energy_data_1990___2020[[#This Row],[Coal and lignite domestic consumption (Mt)]])</f>
        <v>0</v>
      </c>
    </row>
    <row r="945" spans="1:23">
      <c r="A945" t="s">
        <v>60</v>
      </c>
      <c r="B945">
        <v>2003</v>
      </c>
      <c r="C945" t="s">
        <v>39</v>
      </c>
      <c r="D945">
        <v>276.57601729999999</v>
      </c>
      <c r="E945">
        <v>2.4150033899999999</v>
      </c>
      <c r="F945">
        <v>0.30331032699999999</v>
      </c>
      <c r="G945">
        <v>506.44477230000001</v>
      </c>
      <c r="H945">
        <v>114.52406999999999</v>
      </c>
      <c r="I945">
        <v>0</v>
      </c>
      <c r="J945">
        <v>14.6367121</v>
      </c>
      <c r="K945">
        <v>63.238999999999997</v>
      </c>
      <c r="L945">
        <v>107.407</v>
      </c>
      <c r="M945">
        <v>47.134030009999996</v>
      </c>
      <c r="N945">
        <v>47.134030009999996</v>
      </c>
      <c r="O945">
        <v>0.12559416200000001</v>
      </c>
      <c r="P945">
        <v>153</v>
      </c>
      <c r="Q945">
        <v>142.19499999999999</v>
      </c>
      <c r="R945">
        <v>0</v>
      </c>
      <c r="S945">
        <v>0</v>
      </c>
      <c r="T945">
        <v>458.37599999999998</v>
      </c>
      <c r="V945" s="1" t="str">
        <f>IF(Energy_data_1990___2020[[#This Row],[CO2 emissions from fuel combustion (MtCO2)]]&gt;Energy_data_1990___2020[[#Totals],[CO2 emissions from fuel combustion (MtCO2)]],"Above Average","")</f>
        <v/>
      </c>
      <c r="W945" s="1">
        <f>SUM(Energy_data_1990___2020[[#This Row],[Coal and lignite production (Mt)]]-Energy_data_1990___2020[[#This Row],[Coal and lignite domestic consumption (Mt)]])</f>
        <v>0</v>
      </c>
    </row>
    <row r="946" spans="1:23">
      <c r="A946" t="s">
        <v>60</v>
      </c>
      <c r="B946">
        <v>2004</v>
      </c>
      <c r="C946" t="s">
        <v>39</v>
      </c>
      <c r="D946">
        <v>293.97012139999998</v>
      </c>
      <c r="E946">
        <v>2.5483058500000002</v>
      </c>
      <c r="F946">
        <v>0.29862025599999997</v>
      </c>
      <c r="G946">
        <v>542.60013509999999</v>
      </c>
      <c r="H946">
        <v>115.35904189999999</v>
      </c>
      <c r="I946">
        <v>0</v>
      </c>
      <c r="J946">
        <v>13.825655640000001</v>
      </c>
      <c r="K946">
        <v>68.298000000000002</v>
      </c>
      <c r="L946">
        <v>115.104</v>
      </c>
      <c r="M946">
        <v>51.205983209999999</v>
      </c>
      <c r="N946">
        <v>51.205983209999999</v>
      </c>
      <c r="O946">
        <v>0.117183836</v>
      </c>
      <c r="P946">
        <v>159.875</v>
      </c>
      <c r="Q946">
        <v>144.38499999999999</v>
      </c>
      <c r="R946">
        <v>0</v>
      </c>
      <c r="S946">
        <v>0</v>
      </c>
      <c r="T946">
        <v>490.32499999999999</v>
      </c>
      <c r="V946" s="1" t="str">
        <f>IF(Energy_data_1990___2020[[#This Row],[CO2 emissions from fuel combustion (MtCO2)]]&gt;Energy_data_1990___2020[[#Totals],[CO2 emissions from fuel combustion (MtCO2)]],"Above Average","")</f>
        <v/>
      </c>
      <c r="W946" s="1">
        <f>SUM(Energy_data_1990___2020[[#This Row],[Coal and lignite production (Mt)]]-Energy_data_1990___2020[[#This Row],[Coal and lignite domestic consumption (Mt)]])</f>
        <v>0</v>
      </c>
    </row>
    <row r="947" spans="1:23">
      <c r="A947" t="s">
        <v>60</v>
      </c>
      <c r="B947">
        <v>2005</v>
      </c>
      <c r="C947" t="s">
        <v>39</v>
      </c>
      <c r="D947">
        <v>310.23810379999998</v>
      </c>
      <c r="E947">
        <v>2.5282073810000001</v>
      </c>
      <c r="F947">
        <v>0.29850722600000001</v>
      </c>
      <c r="G947">
        <v>570.93311519999997</v>
      </c>
      <c r="H947">
        <v>122.7107025</v>
      </c>
      <c r="I947">
        <v>0</v>
      </c>
      <c r="J947">
        <v>13.915850600000001</v>
      </c>
      <c r="K947">
        <v>70.483000000000004</v>
      </c>
      <c r="L947">
        <v>118.824</v>
      </c>
      <c r="M947">
        <v>56.275049539999998</v>
      </c>
      <c r="N947">
        <v>56.275049539999998</v>
      </c>
      <c r="O947">
        <v>0.118070704</v>
      </c>
      <c r="P947">
        <v>176.124</v>
      </c>
      <c r="Q947">
        <v>153.28399999999999</v>
      </c>
      <c r="R947">
        <v>0</v>
      </c>
      <c r="S947">
        <v>0</v>
      </c>
      <c r="T947">
        <v>514.01499999999999</v>
      </c>
      <c r="V947" s="1" t="str">
        <f>IF(Energy_data_1990___2020[[#This Row],[CO2 emissions from fuel combustion (MtCO2)]]&gt;Energy_data_1990___2020[[#Totals],[CO2 emissions from fuel combustion (MtCO2)]],"Above Average","")</f>
        <v/>
      </c>
      <c r="W947" s="1">
        <f>SUM(Energy_data_1990___2020[[#This Row],[Coal and lignite production (Mt)]]-Energy_data_1990___2020[[#This Row],[Coal and lignite domestic consumption (Mt)]])</f>
        <v>0</v>
      </c>
    </row>
    <row r="948" spans="1:23">
      <c r="A948" t="s">
        <v>60</v>
      </c>
      <c r="B948">
        <v>2006</v>
      </c>
      <c r="C948" t="s">
        <v>39</v>
      </c>
      <c r="D948">
        <v>329.09049290000002</v>
      </c>
      <c r="E948">
        <v>2.5003222040000002</v>
      </c>
      <c r="F948">
        <v>0.30805689400000003</v>
      </c>
      <c r="G948">
        <v>565.3022608</v>
      </c>
      <c r="H948">
        <v>131.61923379999999</v>
      </c>
      <c r="I948">
        <v>0</v>
      </c>
      <c r="J948">
        <v>14.068683010000001</v>
      </c>
      <c r="K948">
        <v>74.793000000000006</v>
      </c>
      <c r="L948">
        <v>118.229</v>
      </c>
      <c r="M948">
        <v>59.080021469999998</v>
      </c>
      <c r="N948">
        <v>59.080021469999998</v>
      </c>
      <c r="O948">
        <v>0.12320687800000001</v>
      </c>
      <c r="P948">
        <v>181.434</v>
      </c>
      <c r="Q948">
        <v>163.15100000000001</v>
      </c>
      <c r="R948">
        <v>0</v>
      </c>
      <c r="S948">
        <v>0</v>
      </c>
      <c r="T948">
        <v>506.24700000000001</v>
      </c>
      <c r="V948" s="1" t="str">
        <f>IF(Energy_data_1990___2020[[#This Row],[CO2 emissions from fuel combustion (MtCO2)]]&gt;Energy_data_1990___2020[[#Totals],[CO2 emissions from fuel combustion (MtCO2)]],"Above Average","")</f>
        <v/>
      </c>
      <c r="W948" s="1">
        <f>SUM(Energy_data_1990___2020[[#This Row],[Coal and lignite production (Mt)]]-Energy_data_1990___2020[[#This Row],[Coal and lignite domestic consumption (Mt)]])</f>
        <v>0</v>
      </c>
    </row>
    <row r="949" spans="1:23">
      <c r="A949" t="s">
        <v>60</v>
      </c>
      <c r="B949">
        <v>2007</v>
      </c>
      <c r="C949" t="s">
        <v>39</v>
      </c>
      <c r="D949">
        <v>346.3951323</v>
      </c>
      <c r="E949">
        <v>2.5064681790000001</v>
      </c>
      <c r="F949">
        <v>0.31837472300000003</v>
      </c>
      <c r="G949">
        <v>546.49706509999999</v>
      </c>
      <c r="H949">
        <v>138.20049069999999</v>
      </c>
      <c r="I949">
        <v>0</v>
      </c>
      <c r="J949">
        <v>14.1721877</v>
      </c>
      <c r="K949">
        <v>77.819000000000003</v>
      </c>
      <c r="L949">
        <v>114.90600000000001</v>
      </c>
      <c r="M949">
        <v>60.703024470000003</v>
      </c>
      <c r="N949">
        <v>60.703024470000003</v>
      </c>
      <c r="O949">
        <v>0.127021251</v>
      </c>
      <c r="P949">
        <v>190.535</v>
      </c>
      <c r="Q949">
        <v>169.78</v>
      </c>
      <c r="R949">
        <v>0</v>
      </c>
      <c r="S949">
        <v>0</v>
      </c>
      <c r="T949">
        <v>486.447</v>
      </c>
      <c r="V949" s="1" t="str">
        <f>IF(Energy_data_1990___2020[[#This Row],[CO2 emissions from fuel combustion (MtCO2)]]&gt;Energy_data_1990___2020[[#Totals],[CO2 emissions from fuel combustion (MtCO2)]],"Above Average","")</f>
        <v/>
      </c>
      <c r="W949" s="1">
        <f>SUM(Energy_data_1990___2020[[#This Row],[Coal and lignite production (Mt)]]-Energy_data_1990___2020[[#This Row],[Coal and lignite domestic consumption (Mt)]])</f>
        <v>0</v>
      </c>
    </row>
    <row r="950" spans="1:23">
      <c r="A950" t="s">
        <v>60</v>
      </c>
      <c r="B950">
        <v>2008</v>
      </c>
      <c r="C950" t="s">
        <v>39</v>
      </c>
      <c r="D950">
        <v>378.19369840000002</v>
      </c>
      <c r="E950">
        <v>2.4970174119999999</v>
      </c>
      <c r="F950">
        <v>0.32715463500000003</v>
      </c>
      <c r="G950">
        <v>572.96476419999999</v>
      </c>
      <c r="H950">
        <v>151.4581743</v>
      </c>
      <c r="I950">
        <v>0</v>
      </c>
      <c r="J950">
        <v>14.09039793</v>
      </c>
      <c r="K950">
        <v>83.692999999999998</v>
      </c>
      <c r="L950">
        <v>119.538</v>
      </c>
      <c r="M950">
        <v>66.945937130000004</v>
      </c>
      <c r="N950">
        <v>66.945937130000004</v>
      </c>
      <c r="O950">
        <v>0.13101816299999999</v>
      </c>
      <c r="P950">
        <v>204.2</v>
      </c>
      <c r="Q950">
        <v>181.09800000000001</v>
      </c>
      <c r="R950">
        <v>0</v>
      </c>
      <c r="S950">
        <v>0</v>
      </c>
      <c r="T950">
        <v>507.43900000000002</v>
      </c>
      <c r="V950" s="1" t="str">
        <f>IF(Energy_data_1990___2020[[#This Row],[CO2 emissions from fuel combustion (MtCO2)]]&gt;Energy_data_1990___2020[[#Totals],[CO2 emissions from fuel combustion (MtCO2)]],"Above Average","")</f>
        <v/>
      </c>
      <c r="W950" s="1">
        <f>SUM(Energy_data_1990___2020[[#This Row],[Coal and lignite production (Mt)]]-Energy_data_1990___2020[[#This Row],[Coal and lignite domestic consumption (Mt)]])</f>
        <v>0</v>
      </c>
    </row>
    <row r="951" spans="1:23">
      <c r="A951" t="s">
        <v>60</v>
      </c>
      <c r="B951">
        <v>2009</v>
      </c>
      <c r="C951" t="s">
        <v>39</v>
      </c>
      <c r="D951">
        <v>395.05402049999998</v>
      </c>
      <c r="E951">
        <v>2.4849689709999998</v>
      </c>
      <c r="F951">
        <v>0.34892487500000002</v>
      </c>
      <c r="G951">
        <v>519.28898179999999</v>
      </c>
      <c r="H951">
        <v>158.97744599999999</v>
      </c>
      <c r="I951">
        <v>0</v>
      </c>
      <c r="J951">
        <v>14.550646759999999</v>
      </c>
      <c r="K951">
        <v>80.864000000000004</v>
      </c>
      <c r="L951">
        <v>115.93300000000001</v>
      </c>
      <c r="M951">
        <v>63.977005079999998</v>
      </c>
      <c r="N951">
        <v>63.977005079999998</v>
      </c>
      <c r="O951">
        <v>0.140414178</v>
      </c>
      <c r="P951">
        <v>217.08199999999999</v>
      </c>
      <c r="Q951">
        <v>193.47200000000001</v>
      </c>
      <c r="R951">
        <v>0</v>
      </c>
      <c r="S951">
        <v>0</v>
      </c>
      <c r="T951">
        <v>456.92599999999999</v>
      </c>
      <c r="V951" s="1" t="str">
        <f>IF(Energy_data_1990___2020[[#This Row],[CO2 emissions from fuel combustion (MtCO2)]]&gt;Energy_data_1990___2020[[#Totals],[CO2 emissions from fuel combustion (MtCO2)]],"Above Average","")</f>
        <v/>
      </c>
      <c r="W951" s="1">
        <f>SUM(Energy_data_1990___2020[[#This Row],[Coal and lignite production (Mt)]]-Energy_data_1990___2020[[#This Row],[Coal and lignite domestic consumption (Mt)]])</f>
        <v>0</v>
      </c>
    </row>
    <row r="952" spans="1:23">
      <c r="A952" t="s">
        <v>60</v>
      </c>
      <c r="B952">
        <v>2010</v>
      </c>
      <c r="C952" t="s">
        <v>39</v>
      </c>
      <c r="D952">
        <v>434.81797310000002</v>
      </c>
      <c r="E952">
        <v>2.478835261</v>
      </c>
      <c r="F952">
        <v>0.36562031</v>
      </c>
      <c r="G952">
        <v>531.46106999999995</v>
      </c>
      <c r="H952">
        <v>175.4122107</v>
      </c>
      <c r="I952">
        <v>1.6661740000000001E-3</v>
      </c>
      <c r="J952">
        <v>14.456274219999999</v>
      </c>
      <c r="K952">
        <v>84.498999999999995</v>
      </c>
      <c r="L952">
        <v>117.526</v>
      </c>
      <c r="M952">
        <v>73.330070180000007</v>
      </c>
      <c r="N952">
        <v>73.330070180000007</v>
      </c>
      <c r="O952">
        <v>0.147496817</v>
      </c>
      <c r="P952">
        <v>240.071</v>
      </c>
      <c r="Q952">
        <v>212.26300000000001</v>
      </c>
      <c r="R952">
        <v>0</v>
      </c>
      <c r="S952">
        <v>1.6661740000000001E-3</v>
      </c>
      <c r="T952">
        <v>461.09899999999999</v>
      </c>
      <c r="V952" s="1" t="str">
        <f>IF(Energy_data_1990___2020[[#This Row],[CO2 emissions from fuel combustion (MtCO2)]]&gt;Energy_data_1990___2020[[#Totals],[CO2 emissions from fuel combustion (MtCO2)]],"Above Average","")</f>
        <v/>
      </c>
      <c r="W952" s="1">
        <f>SUM(Energy_data_1990___2020[[#This Row],[Coal and lignite production (Mt)]]-Energy_data_1990___2020[[#This Row],[Coal and lignite domestic consumption (Mt)]])</f>
        <v>0</v>
      </c>
    </row>
    <row r="953" spans="1:23">
      <c r="A953" t="s">
        <v>60</v>
      </c>
      <c r="B953">
        <v>2011</v>
      </c>
      <c r="C953" t="s">
        <v>39</v>
      </c>
      <c r="D953">
        <v>451.10448200000002</v>
      </c>
      <c r="E953">
        <v>2.4548902579999998</v>
      </c>
      <c r="F953">
        <v>0.34484162899999998</v>
      </c>
      <c r="G953">
        <v>592.69698579999999</v>
      </c>
      <c r="H953">
        <v>183.7574941</v>
      </c>
      <c r="I953">
        <v>1.9993440000000001E-3</v>
      </c>
      <c r="J953">
        <v>14.43757868</v>
      </c>
      <c r="K953">
        <v>88.924999999999997</v>
      </c>
      <c r="L953">
        <v>116.94799999999999</v>
      </c>
      <c r="M953">
        <v>74.688040290000004</v>
      </c>
      <c r="N953">
        <v>74.688040290000004</v>
      </c>
      <c r="O953">
        <v>0.14047130099999999</v>
      </c>
      <c r="P953">
        <v>250.08199999999999</v>
      </c>
      <c r="Q953">
        <v>219.66200000000001</v>
      </c>
      <c r="R953">
        <v>0</v>
      </c>
      <c r="S953">
        <v>1.9993440000000001E-3</v>
      </c>
      <c r="T953">
        <v>520.16800000000001</v>
      </c>
      <c r="V953" s="1" t="str">
        <f>IF(Energy_data_1990___2020[[#This Row],[CO2 emissions from fuel combustion (MtCO2)]]&gt;Energy_data_1990___2020[[#Totals],[CO2 emissions from fuel combustion (MtCO2)]],"Above Average","")</f>
        <v/>
      </c>
      <c r="W953" s="1">
        <f>SUM(Energy_data_1990___2020[[#This Row],[Coal and lignite production (Mt)]]-Energy_data_1990___2020[[#This Row],[Coal and lignite domestic consumption (Mt)]])</f>
        <v>0</v>
      </c>
    </row>
    <row r="954" spans="1:23">
      <c r="A954" t="s">
        <v>60</v>
      </c>
      <c r="B954">
        <v>2012</v>
      </c>
      <c r="C954" t="s">
        <v>39</v>
      </c>
      <c r="D954">
        <v>481.72022709999999</v>
      </c>
      <c r="E954">
        <v>2.5531775520000002</v>
      </c>
      <c r="F954">
        <v>0.349341083</v>
      </c>
      <c r="G954">
        <v>625.02075430000002</v>
      </c>
      <c r="H954">
        <v>188.67478560000001</v>
      </c>
      <c r="I954">
        <v>8.3127819999999995E-3</v>
      </c>
      <c r="J954">
        <v>16.46547876</v>
      </c>
      <c r="K954">
        <v>96.225999999999999</v>
      </c>
      <c r="L954">
        <v>122.446</v>
      </c>
      <c r="M954">
        <v>81.092032059999994</v>
      </c>
      <c r="N954">
        <v>81.092032059999994</v>
      </c>
      <c r="O954">
        <v>0.136826004</v>
      </c>
      <c r="P954">
        <v>288.71199999999999</v>
      </c>
      <c r="Q954">
        <v>262.74599999999998</v>
      </c>
      <c r="R954">
        <v>0</v>
      </c>
      <c r="S954">
        <v>8.3127819999999995E-3</v>
      </c>
      <c r="T954">
        <v>546.68499999999995</v>
      </c>
      <c r="V954" s="1" t="str">
        <f>IF(Energy_data_1990___2020[[#This Row],[CO2 emissions from fuel combustion (MtCO2)]]&gt;Energy_data_1990___2020[[#Totals],[CO2 emissions from fuel combustion (MtCO2)]],"Above Average","")</f>
        <v/>
      </c>
      <c r="W954" s="1">
        <f>SUM(Energy_data_1990___2020[[#This Row],[Coal and lignite production (Mt)]]-Energy_data_1990___2020[[#This Row],[Coal and lignite domestic consumption (Mt)]])</f>
        <v>0</v>
      </c>
    </row>
    <row r="955" spans="1:23">
      <c r="A955" t="s">
        <v>60</v>
      </c>
      <c r="B955">
        <v>2013</v>
      </c>
      <c r="C955" t="s">
        <v>39</v>
      </c>
      <c r="D955">
        <v>488.6146766</v>
      </c>
      <c r="E955">
        <v>2.6043532030000001</v>
      </c>
      <c r="F955">
        <v>0.34502772599999998</v>
      </c>
      <c r="G955">
        <v>614.50067300000001</v>
      </c>
      <c r="H955">
        <v>187.614597</v>
      </c>
      <c r="I955">
        <v>1.2907155E-2</v>
      </c>
      <c r="J955">
        <v>17.548404300000001</v>
      </c>
      <c r="K955">
        <v>99.033000000000001</v>
      </c>
      <c r="L955">
        <v>116.648</v>
      </c>
      <c r="M955">
        <v>81.953937080000003</v>
      </c>
      <c r="N955">
        <v>81.953937080000003</v>
      </c>
      <c r="O955">
        <v>0.13248115699999999</v>
      </c>
      <c r="P955">
        <v>302.15800000000002</v>
      </c>
      <c r="Q955">
        <v>279.36</v>
      </c>
      <c r="R955">
        <v>0</v>
      </c>
      <c r="S955">
        <v>1.2907155E-2</v>
      </c>
      <c r="T955">
        <v>535.81799999999998</v>
      </c>
      <c r="V955" s="1" t="str">
        <f>IF(Energy_data_1990___2020[[#This Row],[CO2 emissions from fuel combustion (MtCO2)]]&gt;Energy_data_1990___2020[[#Totals],[CO2 emissions from fuel combustion (MtCO2)]],"Above Average","")</f>
        <v/>
      </c>
      <c r="W955" s="1">
        <f>SUM(Energy_data_1990___2020[[#This Row],[Coal and lignite production (Mt)]]-Energy_data_1990___2020[[#This Row],[Coal and lignite domestic consumption (Mt)]])</f>
        <v>0</v>
      </c>
    </row>
    <row r="956" spans="1:23">
      <c r="A956" t="s">
        <v>60</v>
      </c>
      <c r="B956">
        <v>2014</v>
      </c>
      <c r="C956" t="s">
        <v>39</v>
      </c>
      <c r="D956">
        <v>525.02366300000006</v>
      </c>
      <c r="E956">
        <v>2.5403471039999999</v>
      </c>
      <c r="F956">
        <v>0.35767341499999999</v>
      </c>
      <c r="G956">
        <v>622.44126610000001</v>
      </c>
      <c r="H956">
        <v>206.67398650000001</v>
      </c>
      <c r="I956">
        <v>1.2482985E-2</v>
      </c>
      <c r="J956">
        <v>17.319919899999999</v>
      </c>
      <c r="K956">
        <v>107.104</v>
      </c>
      <c r="L956">
        <v>133.36199999999999</v>
      </c>
      <c r="M956">
        <v>85.125894070000001</v>
      </c>
      <c r="N956">
        <v>85.125894070000001</v>
      </c>
      <c r="O956">
        <v>0.140797064</v>
      </c>
      <c r="P956">
        <v>336.45800000000003</v>
      </c>
      <c r="Q956">
        <v>303.48099999999999</v>
      </c>
      <c r="R956">
        <v>0</v>
      </c>
      <c r="S956">
        <v>1.2482985E-2</v>
      </c>
      <c r="T956">
        <v>541.00300000000004</v>
      </c>
      <c r="V956" s="1" t="str">
        <f>IF(Energy_data_1990___2020[[#This Row],[CO2 emissions from fuel combustion (MtCO2)]]&gt;Energy_data_1990___2020[[#Totals],[CO2 emissions from fuel combustion (MtCO2)]],"Above Average","")</f>
        <v/>
      </c>
      <c r="W956" s="1">
        <f>SUM(Energy_data_1990___2020[[#This Row],[Coal and lignite production (Mt)]]-Energy_data_1990___2020[[#This Row],[Coal and lignite domestic consumption (Mt)]])</f>
        <v>0</v>
      </c>
    </row>
    <row r="957" spans="1:23">
      <c r="A957" t="s">
        <v>60</v>
      </c>
      <c r="B957">
        <v>2015</v>
      </c>
      <c r="C957" t="s">
        <v>39</v>
      </c>
      <c r="D957">
        <v>550.7009736</v>
      </c>
      <c r="E957">
        <v>2.54487613</v>
      </c>
      <c r="F957">
        <v>0.36036795199999999</v>
      </c>
      <c r="G957">
        <v>648.63917819999995</v>
      </c>
      <c r="H957">
        <v>216.39598369999999</v>
      </c>
      <c r="I957">
        <v>3.5930345000000002E-2</v>
      </c>
      <c r="J957">
        <v>17.101763269999999</v>
      </c>
      <c r="K957">
        <v>115.166</v>
      </c>
      <c r="L957">
        <v>145.39099999999999</v>
      </c>
      <c r="M957">
        <v>87.254959240000005</v>
      </c>
      <c r="N957">
        <v>87.254959240000005</v>
      </c>
      <c r="O957">
        <v>0.14160530199999999</v>
      </c>
      <c r="P957">
        <v>359.02800000000002</v>
      </c>
      <c r="Q957">
        <v>318.947</v>
      </c>
      <c r="R957">
        <v>0</v>
      </c>
      <c r="S957">
        <v>3.5930345000000002E-2</v>
      </c>
      <c r="T957">
        <v>565.06200000000001</v>
      </c>
      <c r="V957" s="1" t="str">
        <f>IF(Energy_data_1990___2020[[#This Row],[CO2 emissions from fuel combustion (MtCO2)]]&gt;Energy_data_1990___2020[[#Totals],[CO2 emissions from fuel combustion (MtCO2)]],"Above Average","")</f>
        <v>Above Average</v>
      </c>
      <c r="W957" s="1">
        <f>SUM(Energy_data_1990___2020[[#This Row],[Coal and lignite production (Mt)]]-Energy_data_1990___2020[[#This Row],[Coal and lignite domestic consumption (Mt)]])</f>
        <v>0</v>
      </c>
    </row>
    <row r="958" spans="1:23">
      <c r="A958" t="s">
        <v>60</v>
      </c>
      <c r="B958">
        <v>2016</v>
      </c>
      <c r="C958" t="s">
        <v>39</v>
      </c>
      <c r="D958">
        <v>546.77614719999997</v>
      </c>
      <c r="E958">
        <v>2.5453703719999998</v>
      </c>
      <c r="F958">
        <v>0.35192035399999999</v>
      </c>
      <c r="G958">
        <v>670.59507819999999</v>
      </c>
      <c r="H958">
        <v>214.8120184</v>
      </c>
      <c r="I958">
        <v>3.5088386999999999E-2</v>
      </c>
      <c r="J958">
        <v>17.712821080000001</v>
      </c>
      <c r="K958">
        <v>112.902</v>
      </c>
      <c r="L958">
        <v>157.24199999999999</v>
      </c>
      <c r="M958">
        <v>90.793918959999999</v>
      </c>
      <c r="N958">
        <v>90.793918959999999</v>
      </c>
      <c r="O958">
        <v>0.13825899699999999</v>
      </c>
      <c r="P958">
        <v>367.64299999999997</v>
      </c>
      <c r="Q958">
        <v>322.43200000000002</v>
      </c>
      <c r="R958">
        <v>0</v>
      </c>
      <c r="S958">
        <v>3.5088386999999999E-2</v>
      </c>
      <c r="T958">
        <v>583.61400000000003</v>
      </c>
      <c r="V958" s="1" t="str">
        <f>IF(Energy_data_1990___2020[[#This Row],[CO2 emissions from fuel combustion (MtCO2)]]&gt;Energy_data_1990___2020[[#Totals],[CO2 emissions from fuel combustion (MtCO2)]],"Above Average","")</f>
        <v/>
      </c>
      <c r="W958" s="1">
        <f>SUM(Energy_data_1990___2020[[#This Row],[Coal and lignite production (Mt)]]-Energy_data_1990___2020[[#This Row],[Coal and lignite domestic consumption (Mt)]])</f>
        <v>0</v>
      </c>
    </row>
    <row r="959" spans="1:23">
      <c r="A959" t="s">
        <v>60</v>
      </c>
      <c r="B959">
        <v>2017</v>
      </c>
      <c r="C959" t="s">
        <v>39</v>
      </c>
      <c r="D959">
        <v>535.94287459999998</v>
      </c>
      <c r="E959">
        <v>2.4484832719999998</v>
      </c>
      <c r="F959">
        <v>0.34752466300000001</v>
      </c>
      <c r="G959">
        <v>646.74900309999998</v>
      </c>
      <c r="H959">
        <v>218.88770109999999</v>
      </c>
      <c r="I959">
        <v>4.1051405999999999E-2</v>
      </c>
      <c r="J959">
        <v>17.916980070000001</v>
      </c>
      <c r="K959">
        <v>110.76154099999999</v>
      </c>
      <c r="L959">
        <v>158.27030199999999</v>
      </c>
      <c r="M959">
        <v>95.49988845</v>
      </c>
      <c r="N959">
        <v>95.49988845</v>
      </c>
      <c r="O959">
        <v>0.14193466900000001</v>
      </c>
      <c r="P959">
        <v>378.29398400000002</v>
      </c>
      <c r="Q959">
        <v>324.68959699999999</v>
      </c>
      <c r="R959">
        <v>0</v>
      </c>
      <c r="S959">
        <v>4.1051405999999999E-2</v>
      </c>
      <c r="T959">
        <v>556.40472499999998</v>
      </c>
      <c r="V959" s="1" t="str">
        <f>IF(Energy_data_1990___2020[[#This Row],[CO2 emissions from fuel combustion (MtCO2)]]&gt;Energy_data_1990___2020[[#Totals],[CO2 emissions from fuel combustion (MtCO2)]],"Above Average","")</f>
        <v/>
      </c>
      <c r="W959" s="1">
        <f>SUM(Energy_data_1990___2020[[#This Row],[Coal and lignite production (Mt)]]-Energy_data_1990___2020[[#This Row],[Coal and lignite domestic consumption (Mt)]])</f>
        <v>0</v>
      </c>
    </row>
    <row r="960" spans="1:23">
      <c r="A960" t="s">
        <v>60</v>
      </c>
      <c r="B960">
        <v>2018</v>
      </c>
      <c r="C960" t="s">
        <v>39</v>
      </c>
      <c r="D960">
        <v>511.43630519999999</v>
      </c>
      <c r="E960">
        <v>2.3939171250000002</v>
      </c>
      <c r="F960">
        <v>0.32375320899999999</v>
      </c>
      <c r="G960">
        <v>665.37432720000004</v>
      </c>
      <c r="H960">
        <v>213.6399376</v>
      </c>
      <c r="I960">
        <v>4.1066641000000001E-2</v>
      </c>
      <c r="J960">
        <v>17.90165721</v>
      </c>
      <c r="K960">
        <v>105.54419300000001</v>
      </c>
      <c r="L960">
        <v>156.04569699999999</v>
      </c>
      <c r="M960">
        <v>96.844957289999996</v>
      </c>
      <c r="N960">
        <v>96.844957289999996</v>
      </c>
      <c r="O960">
        <v>0.13523994</v>
      </c>
      <c r="P960">
        <v>378.15364599999998</v>
      </c>
      <c r="Q960">
        <v>321.56766800000003</v>
      </c>
      <c r="R960">
        <v>0</v>
      </c>
      <c r="S960">
        <v>4.1066641000000001E-2</v>
      </c>
      <c r="T960">
        <v>573.68058900000005</v>
      </c>
      <c r="V960" s="1" t="str">
        <f>IF(Energy_data_1990___2020[[#This Row],[CO2 emissions from fuel combustion (MtCO2)]]&gt;Energy_data_1990___2020[[#Totals],[CO2 emissions from fuel combustion (MtCO2)]],"Above Average","")</f>
        <v/>
      </c>
      <c r="W960" s="1">
        <f>SUM(Energy_data_1990___2020[[#This Row],[Coal and lignite production (Mt)]]-Energy_data_1990___2020[[#This Row],[Coal and lignite domestic consumption (Mt)]])</f>
        <v>0</v>
      </c>
    </row>
    <row r="961" spans="1:23">
      <c r="A961" t="s">
        <v>60</v>
      </c>
      <c r="B961">
        <v>2019</v>
      </c>
      <c r="C961" t="s">
        <v>39</v>
      </c>
      <c r="D961">
        <v>508.28885830000002</v>
      </c>
      <c r="E961">
        <v>2.3629539820000001</v>
      </c>
      <c r="F961">
        <v>0.32069927399999998</v>
      </c>
      <c r="G961">
        <v>637.36911540000006</v>
      </c>
      <c r="H961">
        <v>215.1073877</v>
      </c>
      <c r="I961">
        <v>0.198613225</v>
      </c>
      <c r="J961">
        <v>17.122799789999998</v>
      </c>
      <c r="K961">
        <v>106.693021</v>
      </c>
      <c r="L961">
        <v>140.36127569999999</v>
      </c>
      <c r="M961">
        <v>96.787697859999994</v>
      </c>
      <c r="N961">
        <v>96.787697859999994</v>
      </c>
      <c r="O961">
        <v>0.135719644</v>
      </c>
      <c r="P961">
        <v>366.74672600000002</v>
      </c>
      <c r="Q961">
        <v>310.11420379999998</v>
      </c>
      <c r="R961">
        <v>0</v>
      </c>
      <c r="S961">
        <v>0.198613225</v>
      </c>
      <c r="T961">
        <v>546.85981990000005</v>
      </c>
      <c r="V961" s="1" t="str">
        <f>IF(Energy_data_1990___2020[[#This Row],[CO2 emissions from fuel combustion (MtCO2)]]&gt;Energy_data_1990___2020[[#Totals],[CO2 emissions from fuel combustion (MtCO2)]],"Above Average","")</f>
        <v/>
      </c>
      <c r="W961" s="1">
        <f>SUM(Energy_data_1990___2020[[#This Row],[Coal and lignite production (Mt)]]-Energy_data_1990___2020[[#This Row],[Coal and lignite domestic consumption (Mt)]])</f>
        <v>0</v>
      </c>
    </row>
    <row r="962" spans="1:23">
      <c r="A962" t="s">
        <v>60</v>
      </c>
      <c r="B962">
        <v>2020</v>
      </c>
      <c r="C962" t="s">
        <v>39</v>
      </c>
      <c r="D962">
        <v>491.77638760000002</v>
      </c>
      <c r="E962">
        <v>2.3487026129999999</v>
      </c>
      <c r="F962">
        <v>0.32320928300000001</v>
      </c>
      <c r="G962">
        <v>599.08751240000004</v>
      </c>
      <c r="H962">
        <v>209.38214350000001</v>
      </c>
      <c r="I962">
        <v>0.20075892200000001</v>
      </c>
      <c r="J962">
        <v>17.516536899999998</v>
      </c>
      <c r="K962">
        <v>101.8131216</v>
      </c>
      <c r="L962">
        <v>123.2612197</v>
      </c>
      <c r="M962">
        <v>97.391408159999997</v>
      </c>
      <c r="N962">
        <v>97.391408159999997</v>
      </c>
      <c r="O962">
        <v>0.13761183799999999</v>
      </c>
      <c r="P962">
        <v>362.82696349999998</v>
      </c>
      <c r="Q962">
        <v>306.79972559999999</v>
      </c>
      <c r="R962">
        <v>0</v>
      </c>
      <c r="S962">
        <v>0.20075892200000001</v>
      </c>
      <c r="T962">
        <v>508.31819639999998</v>
      </c>
      <c r="V962" s="1" t="str">
        <f>IF(Energy_data_1990___2020[[#This Row],[CO2 emissions from fuel combustion (MtCO2)]]&gt;Energy_data_1990___2020[[#Totals],[CO2 emissions from fuel combustion (MtCO2)]],"Above Average","")</f>
        <v/>
      </c>
      <c r="W962" s="1">
        <f>SUM(Energy_data_1990___2020[[#This Row],[Coal and lignite production (Mt)]]-Energy_data_1990___2020[[#This Row],[Coal and lignite domestic consumption (Mt)]])</f>
        <v>0</v>
      </c>
    </row>
    <row r="963" spans="1:23">
      <c r="A963" t="s">
        <v>61</v>
      </c>
      <c r="B963">
        <v>1990</v>
      </c>
      <c r="C963" t="s">
        <v>54</v>
      </c>
      <c r="D963">
        <v>251.9443354</v>
      </c>
      <c r="E963">
        <v>2.8082462879999999</v>
      </c>
      <c r="F963">
        <v>0.66530893999999996</v>
      </c>
      <c r="G963">
        <v>114.5365078</v>
      </c>
      <c r="H963">
        <v>89.715897240000004</v>
      </c>
      <c r="I963">
        <v>1.704878428</v>
      </c>
      <c r="J963">
        <v>23.034759810000001</v>
      </c>
      <c r="K963">
        <v>15.276999999999999</v>
      </c>
      <c r="L963">
        <v>13.083</v>
      </c>
      <c r="M963">
        <v>1.8419986209999999</v>
      </c>
      <c r="N963">
        <v>1.8419986209999999</v>
      </c>
      <c r="O963">
        <v>0.236912604</v>
      </c>
      <c r="P963">
        <v>167.226</v>
      </c>
      <c r="Q963">
        <v>140.71100000000001</v>
      </c>
      <c r="R963">
        <v>134.17500000000001</v>
      </c>
      <c r="S963">
        <v>0</v>
      </c>
      <c r="T963">
        <v>4.468</v>
      </c>
      <c r="U963">
        <v>174.8</v>
      </c>
      <c r="V963" s="1" t="str">
        <f>IF(Energy_data_1990___2020[[#This Row],[CO2 emissions from fuel combustion (MtCO2)]]&gt;Energy_data_1990___2020[[#Totals],[CO2 emissions from fuel combustion (MtCO2)]],"Above Average","")</f>
        <v/>
      </c>
      <c r="W963" s="1">
        <f>SUM(Energy_data_1990___2020[[#This Row],[Coal and lignite production (Mt)]]-Energy_data_1990___2020[[#This Row],[Coal and lignite domestic consumption (Mt)]])</f>
        <v>40.625</v>
      </c>
    </row>
    <row r="964" spans="1:23">
      <c r="A964" t="s">
        <v>61</v>
      </c>
      <c r="B964">
        <v>1991</v>
      </c>
      <c r="C964" t="s">
        <v>54</v>
      </c>
      <c r="D964">
        <v>247.85233700000001</v>
      </c>
      <c r="E964">
        <v>2.6885074090000001</v>
      </c>
      <c r="F964">
        <v>0.67613056999999999</v>
      </c>
      <c r="G964">
        <v>116.9323694</v>
      </c>
      <c r="H964">
        <v>92.189568140000006</v>
      </c>
      <c r="I964">
        <v>2.2481522850000002</v>
      </c>
      <c r="J964">
        <v>23.27910954</v>
      </c>
      <c r="K964">
        <v>15.227</v>
      </c>
      <c r="L964">
        <v>13.223000000000001</v>
      </c>
      <c r="M964">
        <v>1.867998295</v>
      </c>
      <c r="N964">
        <v>1.867998295</v>
      </c>
      <c r="O964">
        <v>0.251489197</v>
      </c>
      <c r="P964">
        <v>168.316</v>
      </c>
      <c r="Q964">
        <v>140.172</v>
      </c>
      <c r="R964">
        <v>131.351</v>
      </c>
      <c r="S964">
        <v>0</v>
      </c>
      <c r="T964">
        <v>4.468</v>
      </c>
      <c r="U964">
        <v>178.2</v>
      </c>
      <c r="V964" s="1" t="str">
        <f>IF(Energy_data_1990___2020[[#This Row],[CO2 emissions from fuel combustion (MtCO2)]]&gt;Energy_data_1990___2020[[#Totals],[CO2 emissions from fuel combustion (MtCO2)]],"Above Average","")</f>
        <v/>
      </c>
      <c r="W964" s="1">
        <f>SUM(Energy_data_1990___2020[[#This Row],[Coal and lignite production (Mt)]]-Energy_data_1990___2020[[#This Row],[Coal and lignite domestic consumption (Mt)]])</f>
        <v>46.84899999999999</v>
      </c>
    </row>
    <row r="965" spans="1:23">
      <c r="A965" t="s">
        <v>61</v>
      </c>
      <c r="B965">
        <v>1992</v>
      </c>
      <c r="C965" t="s">
        <v>54</v>
      </c>
      <c r="D965">
        <v>244.93427829999999</v>
      </c>
      <c r="E965">
        <v>2.78738485</v>
      </c>
      <c r="F965">
        <v>0.68276122699999997</v>
      </c>
      <c r="G965">
        <v>115.0428258</v>
      </c>
      <c r="H965">
        <v>87.872429370000006</v>
      </c>
      <c r="I965">
        <v>1.240406925</v>
      </c>
      <c r="J965">
        <v>22.684626819999998</v>
      </c>
      <c r="K965">
        <v>15.022</v>
      </c>
      <c r="L965">
        <v>12.292999999999999</v>
      </c>
      <c r="M965">
        <v>1.881999921</v>
      </c>
      <c r="N965">
        <v>1.881999921</v>
      </c>
      <c r="O965">
        <v>0.244946882</v>
      </c>
      <c r="P965">
        <v>168.09</v>
      </c>
      <c r="Q965">
        <v>140.69</v>
      </c>
      <c r="R965">
        <v>129.69399999999999</v>
      </c>
      <c r="S965">
        <v>0</v>
      </c>
      <c r="T965">
        <v>5.5469999999999997</v>
      </c>
      <c r="U965">
        <v>174.4</v>
      </c>
      <c r="V965" s="1" t="str">
        <f>IF(Energy_data_1990___2020[[#This Row],[CO2 emissions from fuel combustion (MtCO2)]]&gt;Energy_data_1990___2020[[#Totals],[CO2 emissions from fuel combustion (MtCO2)]],"Above Average","")</f>
        <v/>
      </c>
      <c r="W965" s="1">
        <f>SUM(Energy_data_1990___2020[[#This Row],[Coal and lignite production (Mt)]]-Energy_data_1990___2020[[#This Row],[Coal and lignite domestic consumption (Mt)]])</f>
        <v>44.706000000000017</v>
      </c>
    </row>
    <row r="966" spans="1:23">
      <c r="A966" t="s">
        <v>61</v>
      </c>
      <c r="B966">
        <v>1993</v>
      </c>
      <c r="C966" t="s">
        <v>54</v>
      </c>
      <c r="D966">
        <v>252.58544989999999</v>
      </c>
      <c r="E966">
        <v>2.6960939719999999</v>
      </c>
      <c r="F966">
        <v>0.69550983200000005</v>
      </c>
      <c r="G966">
        <v>122.9857839</v>
      </c>
      <c r="H966">
        <v>93.685699589999999</v>
      </c>
      <c r="I966">
        <v>0.85343376900000001</v>
      </c>
      <c r="J966">
        <v>23.484934259999999</v>
      </c>
      <c r="K966">
        <v>14.313000000000001</v>
      </c>
      <c r="L966">
        <v>13.275</v>
      </c>
      <c r="M966">
        <v>2.099998158</v>
      </c>
      <c r="N966">
        <v>2.099998158</v>
      </c>
      <c r="O966">
        <v>0.25796943300000003</v>
      </c>
      <c r="P966">
        <v>174.70599999999999</v>
      </c>
      <c r="Q966">
        <v>146.077</v>
      </c>
      <c r="R966">
        <v>133.679</v>
      </c>
      <c r="S966">
        <v>0</v>
      </c>
      <c r="T966">
        <v>7.1139999999999999</v>
      </c>
      <c r="U966">
        <v>188.214</v>
      </c>
      <c r="V966" s="1" t="str">
        <f>IF(Energy_data_1990___2020[[#This Row],[CO2 emissions from fuel combustion (MtCO2)]]&gt;Energy_data_1990___2020[[#Totals],[CO2 emissions from fuel combustion (MtCO2)]],"Above Average","")</f>
        <v/>
      </c>
      <c r="W966" s="1">
        <f>SUM(Energy_data_1990___2020[[#This Row],[Coal and lignite production (Mt)]]-Energy_data_1990___2020[[#This Row],[Coal and lignite domestic consumption (Mt)]])</f>
        <v>54.534999999999997</v>
      </c>
    </row>
    <row r="967" spans="1:23">
      <c r="A967" t="s">
        <v>61</v>
      </c>
      <c r="B967">
        <v>1994</v>
      </c>
      <c r="C967" t="s">
        <v>54</v>
      </c>
      <c r="D967">
        <v>257.66237180000002</v>
      </c>
      <c r="E967">
        <v>2.6246433219999998</v>
      </c>
      <c r="F967">
        <v>0.687489774</v>
      </c>
      <c r="G967">
        <v>128.2839477</v>
      </c>
      <c r="H967">
        <v>98.17043314</v>
      </c>
      <c r="I967">
        <v>1.426055369</v>
      </c>
      <c r="J967">
        <v>23.861300669999999</v>
      </c>
      <c r="K967">
        <v>14.97</v>
      </c>
      <c r="L967">
        <v>14.173</v>
      </c>
      <c r="M967">
        <v>2.099998158</v>
      </c>
      <c r="N967">
        <v>2.099998158</v>
      </c>
      <c r="O967">
        <v>0.26193645700000001</v>
      </c>
      <c r="P967">
        <v>181.69</v>
      </c>
      <c r="Q967">
        <v>151.59700000000001</v>
      </c>
      <c r="R967">
        <v>135.53700000000001</v>
      </c>
      <c r="S967">
        <v>0</v>
      </c>
      <c r="T967">
        <v>7.0830000000000002</v>
      </c>
      <c r="U967">
        <v>195.80500000000001</v>
      </c>
      <c r="V967" s="1" t="str">
        <f>IF(Energy_data_1990___2020[[#This Row],[CO2 emissions from fuel combustion (MtCO2)]]&gt;Energy_data_1990___2020[[#Totals],[CO2 emissions from fuel combustion (MtCO2)]],"Above Average","")</f>
        <v/>
      </c>
      <c r="W967" s="1">
        <f>SUM(Energy_data_1990___2020[[#This Row],[Coal and lignite production (Mt)]]-Energy_data_1990___2020[[#This Row],[Coal and lignite domestic consumption (Mt)]])</f>
        <v>60.268000000000001</v>
      </c>
    </row>
    <row r="968" spans="1:23">
      <c r="A968" t="s">
        <v>61</v>
      </c>
      <c r="B968">
        <v>1995</v>
      </c>
      <c r="C968" t="s">
        <v>54</v>
      </c>
      <c r="D968">
        <v>273.73688600000003</v>
      </c>
      <c r="E968">
        <v>2.643636452</v>
      </c>
      <c r="F968">
        <v>0.70841854100000001</v>
      </c>
      <c r="G968">
        <v>134.77961199999999</v>
      </c>
      <c r="H968">
        <v>103.5455862</v>
      </c>
      <c r="I968">
        <v>0.96595322900000002</v>
      </c>
      <c r="J968">
        <v>23.27617863</v>
      </c>
      <c r="K968">
        <v>16.373999999999999</v>
      </c>
      <c r="L968">
        <v>15.832000000000001</v>
      </c>
      <c r="M968">
        <v>2.099998158</v>
      </c>
      <c r="N968">
        <v>2.099998158</v>
      </c>
      <c r="O968">
        <v>0.26797124100000003</v>
      </c>
      <c r="P968">
        <v>186.655</v>
      </c>
      <c r="Q968">
        <v>157.042</v>
      </c>
      <c r="R968">
        <v>144.346</v>
      </c>
      <c r="S968">
        <v>0</v>
      </c>
      <c r="T968">
        <v>7.524</v>
      </c>
      <c r="U968">
        <v>206.21100000000001</v>
      </c>
      <c r="V968" s="1" t="str">
        <f>IF(Energy_data_1990___2020[[#This Row],[CO2 emissions from fuel combustion (MtCO2)]]&gt;Energy_data_1990___2020[[#Totals],[CO2 emissions from fuel combustion (MtCO2)]],"Above Average","")</f>
        <v/>
      </c>
      <c r="W968" s="1">
        <f>SUM(Energy_data_1990___2020[[#This Row],[Coal and lignite production (Mt)]]-Energy_data_1990___2020[[#This Row],[Coal and lignite domestic consumption (Mt)]])</f>
        <v>61.865000000000009</v>
      </c>
    </row>
    <row r="969" spans="1:23">
      <c r="A969" t="s">
        <v>61</v>
      </c>
      <c r="B969">
        <v>1996</v>
      </c>
      <c r="C969" t="s">
        <v>54</v>
      </c>
      <c r="D969">
        <v>284.07903440000001</v>
      </c>
      <c r="E969">
        <v>2.665115015</v>
      </c>
      <c r="F969">
        <v>0.70487397399999996</v>
      </c>
      <c r="G969">
        <v>134.99464180000001</v>
      </c>
      <c r="H969">
        <v>106.5916603</v>
      </c>
      <c r="I969">
        <v>1.7841916360000001</v>
      </c>
      <c r="J969">
        <v>26.06937409</v>
      </c>
      <c r="K969">
        <v>16.331</v>
      </c>
      <c r="L969">
        <v>15.266</v>
      </c>
      <c r="M969">
        <v>1.890001263</v>
      </c>
      <c r="N969">
        <v>1.890001263</v>
      </c>
      <c r="O969">
        <v>0.26448163400000002</v>
      </c>
      <c r="P969">
        <v>201.71600000000001</v>
      </c>
      <c r="Q969">
        <v>183.18</v>
      </c>
      <c r="R969">
        <v>150.166</v>
      </c>
      <c r="S969">
        <v>0</v>
      </c>
      <c r="T969">
        <v>7.6440000000000001</v>
      </c>
      <c r="U969">
        <v>206.36199999999999</v>
      </c>
      <c r="V969" s="1" t="str">
        <f>IF(Energy_data_1990___2020[[#This Row],[CO2 emissions from fuel combustion (MtCO2)]]&gt;Energy_data_1990___2020[[#Totals],[CO2 emissions from fuel combustion (MtCO2)]],"Above Average","")</f>
        <v/>
      </c>
      <c r="W969" s="1">
        <f>SUM(Energy_data_1990___2020[[#This Row],[Coal and lignite production (Mt)]]-Energy_data_1990___2020[[#This Row],[Coal and lignite domestic consumption (Mt)]])</f>
        <v>56.195999999999998</v>
      </c>
    </row>
    <row r="970" spans="1:23">
      <c r="A970" t="s">
        <v>61</v>
      </c>
      <c r="B970">
        <v>1997</v>
      </c>
      <c r="C970" t="s">
        <v>54</v>
      </c>
      <c r="D970">
        <v>298.93476179999999</v>
      </c>
      <c r="E970">
        <v>2.7508065249999998</v>
      </c>
      <c r="F970">
        <v>0.72293848199999999</v>
      </c>
      <c r="G970">
        <v>143.36496460000001</v>
      </c>
      <c r="H970">
        <v>108.6716783</v>
      </c>
      <c r="I970">
        <v>2.3036479970000001</v>
      </c>
      <c r="J970">
        <v>26.373237270000001</v>
      </c>
      <c r="K970">
        <v>16.835999999999999</v>
      </c>
      <c r="L970">
        <v>21.09</v>
      </c>
      <c r="M970">
        <v>1.6869999449999999</v>
      </c>
      <c r="N970">
        <v>1.6869999449999999</v>
      </c>
      <c r="O970">
        <v>0.26280964299999998</v>
      </c>
      <c r="P970">
        <v>210.36199999999999</v>
      </c>
      <c r="Q970">
        <v>190.87100000000001</v>
      </c>
      <c r="R970">
        <v>156.18</v>
      </c>
      <c r="S970">
        <v>0</v>
      </c>
      <c r="T970">
        <v>8.0470000000000006</v>
      </c>
      <c r="U970">
        <v>220.07300000000001</v>
      </c>
      <c r="V970" s="1" t="str">
        <f>IF(Energy_data_1990___2020[[#This Row],[CO2 emissions from fuel combustion (MtCO2)]]&gt;Energy_data_1990___2020[[#Totals],[CO2 emissions from fuel combustion (MtCO2)]],"Above Average","")</f>
        <v/>
      </c>
      <c r="W970" s="1">
        <f>SUM(Energy_data_1990___2020[[#This Row],[Coal and lignite production (Mt)]]-Energy_data_1990___2020[[#This Row],[Coal and lignite domestic consumption (Mt)]])</f>
        <v>63.893000000000001</v>
      </c>
    </row>
    <row r="971" spans="1:23">
      <c r="A971" t="s">
        <v>61</v>
      </c>
      <c r="B971">
        <v>1998</v>
      </c>
      <c r="C971" t="s">
        <v>54</v>
      </c>
      <c r="D971">
        <v>306.60154720000003</v>
      </c>
      <c r="E971">
        <v>2.7681465630000002</v>
      </c>
      <c r="F971">
        <v>0.73779073799999995</v>
      </c>
      <c r="G971">
        <v>144.9931799</v>
      </c>
      <c r="H971">
        <v>110.7605903</v>
      </c>
      <c r="I971">
        <v>2.067447681</v>
      </c>
      <c r="J971">
        <v>25.686230259999999</v>
      </c>
      <c r="K971">
        <v>16.699000000000002</v>
      </c>
      <c r="L971">
        <v>15.887</v>
      </c>
      <c r="M971">
        <v>1.4210016480000001</v>
      </c>
      <c r="N971">
        <v>1.4210016480000001</v>
      </c>
      <c r="O971">
        <v>0.26652878400000002</v>
      </c>
      <c r="P971">
        <v>205.374</v>
      </c>
      <c r="Q971">
        <v>185.53899999999999</v>
      </c>
      <c r="R971">
        <v>159.13200000000001</v>
      </c>
      <c r="S971">
        <v>0</v>
      </c>
      <c r="T971">
        <v>7.8280000000000003</v>
      </c>
      <c r="U971">
        <v>222.977</v>
      </c>
      <c r="V971" s="1" t="str">
        <f>IF(Energy_data_1990___2020[[#This Row],[CO2 emissions from fuel combustion (MtCO2)]]&gt;Energy_data_1990___2020[[#Totals],[CO2 emissions from fuel combustion (MtCO2)]],"Above Average","")</f>
        <v/>
      </c>
      <c r="W971" s="1">
        <f>SUM(Energy_data_1990___2020[[#This Row],[Coal and lignite production (Mt)]]-Energy_data_1990___2020[[#This Row],[Coal and lignite domestic consumption (Mt)]])</f>
        <v>63.844999999999999</v>
      </c>
    </row>
    <row r="972" spans="1:23">
      <c r="A972" t="s">
        <v>61</v>
      </c>
      <c r="B972">
        <v>1999</v>
      </c>
      <c r="C972" t="s">
        <v>54</v>
      </c>
      <c r="D972">
        <v>289.73932539999998</v>
      </c>
      <c r="E972">
        <v>2.6575612039999998</v>
      </c>
      <c r="F972">
        <v>0.68087338900000005</v>
      </c>
      <c r="G972">
        <v>144.76209750000001</v>
      </c>
      <c r="H972">
        <v>109.0245165</v>
      </c>
      <c r="I972">
        <v>1.7304395800000001</v>
      </c>
      <c r="J972">
        <v>26.174060799999999</v>
      </c>
      <c r="K972">
        <v>16.736000000000001</v>
      </c>
      <c r="L972">
        <v>17.431000000000001</v>
      </c>
      <c r="M972">
        <v>1.858998487</v>
      </c>
      <c r="N972">
        <v>1.858998487</v>
      </c>
      <c r="O972">
        <v>0.25620233599999997</v>
      </c>
      <c r="P972">
        <v>203.012</v>
      </c>
      <c r="Q972">
        <v>182.93700000000001</v>
      </c>
      <c r="R972">
        <v>151.92500000000001</v>
      </c>
      <c r="S972">
        <v>0</v>
      </c>
      <c r="T972">
        <v>8.1120000000000001</v>
      </c>
      <c r="U972">
        <v>223.51400000000001</v>
      </c>
      <c r="V972" s="1" t="str">
        <f>IF(Energy_data_1990___2020[[#This Row],[CO2 emissions from fuel combustion (MtCO2)]]&gt;Energy_data_1990___2020[[#Totals],[CO2 emissions from fuel combustion (MtCO2)]],"Above Average","")</f>
        <v/>
      </c>
      <c r="W972" s="1">
        <f>SUM(Energy_data_1990___2020[[#This Row],[Coal and lignite production (Mt)]]-Energy_data_1990___2020[[#This Row],[Coal and lignite domestic consumption (Mt)]])</f>
        <v>71.588999999999999</v>
      </c>
    </row>
    <row r="973" spans="1:23">
      <c r="A973" t="s">
        <v>61</v>
      </c>
      <c r="B973">
        <v>2000</v>
      </c>
      <c r="C973" t="s">
        <v>54</v>
      </c>
      <c r="D973">
        <v>296.10569959999998</v>
      </c>
      <c r="E973">
        <v>2.7127779109999999</v>
      </c>
      <c r="F973">
        <v>0.66778698400000003</v>
      </c>
      <c r="G973">
        <v>143.62764250000001</v>
      </c>
      <c r="H973">
        <v>109.1522083</v>
      </c>
      <c r="I973">
        <v>2.0131010589999998</v>
      </c>
      <c r="J973">
        <v>27.651459020000001</v>
      </c>
      <c r="K973">
        <v>16.317</v>
      </c>
      <c r="L973">
        <v>17.213999999999999</v>
      </c>
      <c r="M973">
        <v>1.7110003030000001</v>
      </c>
      <c r="N973">
        <v>1.7110003030000001</v>
      </c>
      <c r="O973">
        <v>0.24616352899999999</v>
      </c>
      <c r="P973">
        <v>210.67</v>
      </c>
      <c r="Q973">
        <v>190.23099999999999</v>
      </c>
      <c r="R973">
        <v>157.27500000000001</v>
      </c>
      <c r="S973">
        <v>0</v>
      </c>
      <c r="T973">
        <v>8.9120000000000008</v>
      </c>
      <c r="U973">
        <v>224.2</v>
      </c>
      <c r="V973" s="1" t="str">
        <f>IF(Energy_data_1990___2020[[#This Row],[CO2 emissions from fuel combustion (MtCO2)]]&gt;Energy_data_1990___2020[[#Totals],[CO2 emissions from fuel combustion (MtCO2)]],"Above Average","")</f>
        <v/>
      </c>
      <c r="W973" s="1">
        <f>SUM(Energy_data_1990___2020[[#This Row],[Coal and lignite production (Mt)]]-Energy_data_1990___2020[[#This Row],[Coal and lignite domestic consumption (Mt)]])</f>
        <v>66.924999999999983</v>
      </c>
    </row>
    <row r="974" spans="1:23">
      <c r="A974" t="s">
        <v>61</v>
      </c>
      <c r="B974">
        <v>2001</v>
      </c>
      <c r="C974" t="s">
        <v>54</v>
      </c>
      <c r="D974">
        <v>330.700399</v>
      </c>
      <c r="E974">
        <v>3.1354541</v>
      </c>
      <c r="F974">
        <v>0.72619872299999999</v>
      </c>
      <c r="G974">
        <v>142.32040380000001</v>
      </c>
      <c r="H974">
        <v>105.4712933</v>
      </c>
      <c r="I974">
        <v>2.0080913850000002</v>
      </c>
      <c r="J974">
        <v>27.242583280000002</v>
      </c>
      <c r="K974">
        <v>16.757999999999999</v>
      </c>
      <c r="L974">
        <v>21.131</v>
      </c>
      <c r="M974">
        <v>2.2229999629999999</v>
      </c>
      <c r="N974">
        <v>2.2229999629999999</v>
      </c>
      <c r="O974">
        <v>0.23160878800000001</v>
      </c>
      <c r="P974">
        <v>210.1</v>
      </c>
      <c r="Q974">
        <v>181.286</v>
      </c>
      <c r="R974">
        <v>155.685</v>
      </c>
      <c r="S974">
        <v>0</v>
      </c>
      <c r="T974">
        <v>5.3890000000000002</v>
      </c>
      <c r="U974">
        <v>223.56</v>
      </c>
      <c r="V974" s="1" t="str">
        <f>IF(Energy_data_1990___2020[[#This Row],[CO2 emissions from fuel combustion (MtCO2)]]&gt;Energy_data_1990___2020[[#Totals],[CO2 emissions from fuel combustion (MtCO2)]],"Above Average","")</f>
        <v/>
      </c>
      <c r="W974" s="1">
        <f>SUM(Energy_data_1990___2020[[#This Row],[Coal and lignite production (Mt)]]-Energy_data_1990___2020[[#This Row],[Coal and lignite domestic consumption (Mt)]])</f>
        <v>67.875</v>
      </c>
    </row>
    <row r="975" spans="1:23">
      <c r="A975" t="s">
        <v>61</v>
      </c>
      <c r="B975">
        <v>2002</v>
      </c>
      <c r="C975" t="s">
        <v>54</v>
      </c>
      <c r="D975">
        <v>341.84269899999998</v>
      </c>
      <c r="E975">
        <v>3.4162516140000001</v>
      </c>
      <c r="F975">
        <v>0.72388022600000002</v>
      </c>
      <c r="G975">
        <v>140.37945379999999</v>
      </c>
      <c r="H975">
        <v>100.06367729999999</v>
      </c>
      <c r="I975">
        <v>2.109486569</v>
      </c>
      <c r="J975">
        <v>28.00152684</v>
      </c>
      <c r="K975">
        <v>17.183</v>
      </c>
      <c r="L975">
        <v>23.974</v>
      </c>
      <c r="M975">
        <v>2.2040025889999999</v>
      </c>
      <c r="N975">
        <v>2.2040025889999999</v>
      </c>
      <c r="O975">
        <v>0.21189312399999999</v>
      </c>
      <c r="P975">
        <v>220.57499999999999</v>
      </c>
      <c r="Q975">
        <v>193.529</v>
      </c>
      <c r="R975">
        <v>160.71100000000001</v>
      </c>
      <c r="S975">
        <v>0</v>
      </c>
      <c r="T975">
        <v>5.7320000000000002</v>
      </c>
      <c r="U975">
        <v>220.21299999999999</v>
      </c>
      <c r="V975" s="1" t="str">
        <f>IF(Energy_data_1990___2020[[#This Row],[CO2 emissions from fuel combustion (MtCO2)]]&gt;Energy_data_1990___2020[[#Totals],[CO2 emissions from fuel combustion (MtCO2)]],"Above Average","")</f>
        <v/>
      </c>
      <c r="W975" s="1">
        <f>SUM(Energy_data_1990___2020[[#This Row],[Coal and lignite production (Mt)]]-Energy_data_1990___2020[[#This Row],[Coal and lignite domestic consumption (Mt)]])</f>
        <v>59.501999999999981</v>
      </c>
    </row>
    <row r="976" spans="1:23">
      <c r="A976" t="s">
        <v>61</v>
      </c>
      <c r="B976">
        <v>2003</v>
      </c>
      <c r="C976" t="s">
        <v>54</v>
      </c>
      <c r="D976">
        <v>363.84839119999998</v>
      </c>
      <c r="E976">
        <v>3.2291278409999999</v>
      </c>
      <c r="F976">
        <v>0.74840795900000001</v>
      </c>
      <c r="G976">
        <v>149.77229550000001</v>
      </c>
      <c r="H976">
        <v>112.67698559999999</v>
      </c>
      <c r="I976">
        <v>1.68510304</v>
      </c>
      <c r="J976">
        <v>27.686613309999998</v>
      </c>
      <c r="K976">
        <v>17.971</v>
      </c>
      <c r="L976">
        <v>22.096</v>
      </c>
      <c r="M976">
        <v>1.321999452</v>
      </c>
      <c r="N976">
        <v>1.321999452</v>
      </c>
      <c r="O976">
        <v>0.23176783200000001</v>
      </c>
      <c r="P976">
        <v>234.22900000000001</v>
      </c>
      <c r="Q976">
        <v>195.65600000000001</v>
      </c>
      <c r="R976">
        <v>170.54900000000001</v>
      </c>
      <c r="S976">
        <v>2.5615960000000002E-3</v>
      </c>
      <c r="T976">
        <v>5.0529999999999999</v>
      </c>
      <c r="U976">
        <v>238.751</v>
      </c>
      <c r="V976" s="1" t="str">
        <f>IF(Energy_data_1990___2020[[#This Row],[CO2 emissions from fuel combustion (MtCO2)]]&gt;Energy_data_1990___2020[[#Totals],[CO2 emissions from fuel combustion (MtCO2)]],"Above Average","")</f>
        <v/>
      </c>
      <c r="W976" s="1">
        <f>SUM(Energy_data_1990___2020[[#This Row],[Coal and lignite production (Mt)]]-Energy_data_1990___2020[[#This Row],[Coal and lignite domestic consumption (Mt)]])</f>
        <v>68.201999999999998</v>
      </c>
    </row>
    <row r="977" spans="1:23">
      <c r="A977" t="s">
        <v>61</v>
      </c>
      <c r="B977">
        <v>2004</v>
      </c>
      <c r="C977" t="s">
        <v>54</v>
      </c>
      <c r="D977">
        <v>387.07057259999999</v>
      </c>
      <c r="E977">
        <v>3.1525547930000002</v>
      </c>
      <c r="F977">
        <v>0.76149164800000002</v>
      </c>
      <c r="G977">
        <v>153.72839450000001</v>
      </c>
      <c r="H977">
        <v>122.7799667</v>
      </c>
      <c r="I977">
        <v>2.0065002760000001</v>
      </c>
      <c r="J977">
        <v>26.826840870000002</v>
      </c>
      <c r="K977">
        <v>18.675000000000001</v>
      </c>
      <c r="L977">
        <v>20.05</v>
      </c>
      <c r="M977">
        <v>2.0310024480000002</v>
      </c>
      <c r="N977">
        <v>3.4040039370000001</v>
      </c>
      <c r="O977">
        <v>0.24154747500000001</v>
      </c>
      <c r="P977">
        <v>244.60499999999999</v>
      </c>
      <c r="Q977">
        <v>198.82400000000001</v>
      </c>
      <c r="R977">
        <v>181.137</v>
      </c>
      <c r="S977">
        <v>4.9058690000000002E-3</v>
      </c>
      <c r="T977">
        <v>6.3070000000000004</v>
      </c>
      <c r="U977">
        <v>242.821</v>
      </c>
      <c r="V977" s="1" t="str">
        <f>IF(Energy_data_1990___2020[[#This Row],[CO2 emissions from fuel combustion (MtCO2)]]&gt;Energy_data_1990___2020[[#Totals],[CO2 emissions from fuel combustion (MtCO2)]],"Above Average","")</f>
        <v/>
      </c>
      <c r="W977" s="1">
        <f>SUM(Energy_data_1990___2020[[#This Row],[Coal and lignite production (Mt)]]-Energy_data_1990___2020[[#This Row],[Coal and lignite domestic consumption (Mt)]])</f>
        <v>61.683999999999997</v>
      </c>
    </row>
    <row r="978" spans="1:23">
      <c r="A978" t="s">
        <v>61</v>
      </c>
      <c r="B978">
        <v>2005</v>
      </c>
      <c r="C978" t="s">
        <v>54</v>
      </c>
      <c r="D978">
        <v>379.1693745</v>
      </c>
      <c r="E978">
        <v>3.211062552</v>
      </c>
      <c r="F978">
        <v>0.70855653699999999</v>
      </c>
      <c r="G978">
        <v>152.98258190000001</v>
      </c>
      <c r="H978">
        <v>118.0822137</v>
      </c>
      <c r="I978">
        <v>1.835686463</v>
      </c>
      <c r="J978">
        <v>27.26313056</v>
      </c>
      <c r="K978">
        <v>19.552</v>
      </c>
      <c r="L978">
        <v>23.795000000000002</v>
      </c>
      <c r="M978">
        <v>2.1839985049999999</v>
      </c>
      <c r="N978">
        <v>3.3780017629999999</v>
      </c>
      <c r="O978">
        <v>0.22066108200000001</v>
      </c>
      <c r="P978">
        <v>244.922</v>
      </c>
      <c r="Q978">
        <v>204.041</v>
      </c>
      <c r="R978">
        <v>178.655</v>
      </c>
      <c r="S978">
        <v>4.8995189999999997E-3</v>
      </c>
      <c r="T978">
        <v>4.508</v>
      </c>
      <c r="U978">
        <v>244.98599999999999</v>
      </c>
      <c r="V978" s="1" t="str">
        <f>IF(Energy_data_1990___2020[[#This Row],[CO2 emissions from fuel combustion (MtCO2)]]&gt;Energy_data_1990___2020[[#Totals],[CO2 emissions from fuel combustion (MtCO2)]],"Above Average","")</f>
        <v/>
      </c>
      <c r="W978" s="1">
        <f>SUM(Energy_data_1990___2020[[#This Row],[Coal and lignite production (Mt)]]-Energy_data_1990___2020[[#This Row],[Coal and lignite domestic consumption (Mt)]])</f>
        <v>66.330999999999989</v>
      </c>
    </row>
    <row r="979" spans="1:23">
      <c r="A979" t="s">
        <v>61</v>
      </c>
      <c r="B979">
        <v>2006</v>
      </c>
      <c r="C979" t="s">
        <v>54</v>
      </c>
      <c r="D979">
        <v>378.8758004</v>
      </c>
      <c r="E979">
        <v>3.1467956730000002</v>
      </c>
      <c r="F979">
        <v>0.67043794700000003</v>
      </c>
      <c r="G979">
        <v>152.06187990000001</v>
      </c>
      <c r="H979">
        <v>120.40050890000001</v>
      </c>
      <c r="I979">
        <v>2.4263390569999999</v>
      </c>
      <c r="J979">
        <v>27.815653699999999</v>
      </c>
      <c r="K979">
        <v>19.878</v>
      </c>
      <c r="L979">
        <v>19.21</v>
      </c>
      <c r="M979">
        <v>1.903</v>
      </c>
      <c r="N979">
        <v>3.2770041769999998</v>
      </c>
      <c r="O979">
        <v>0.21305417200000001</v>
      </c>
      <c r="P979">
        <v>253.798</v>
      </c>
      <c r="Q979">
        <v>210.47300000000001</v>
      </c>
      <c r="R979">
        <v>180.90799999999999</v>
      </c>
      <c r="S979">
        <v>4.7281700000000003E-3</v>
      </c>
      <c r="T979">
        <v>5.4560000000000004</v>
      </c>
      <c r="U979">
        <v>244.774</v>
      </c>
      <c r="V979" s="1" t="str">
        <f>IF(Energy_data_1990___2020[[#This Row],[CO2 emissions from fuel combustion (MtCO2)]]&gt;Energy_data_1990___2020[[#Totals],[CO2 emissions from fuel combustion (MtCO2)]],"Above Average","")</f>
        <v/>
      </c>
      <c r="W979" s="1">
        <f>SUM(Energy_data_1990___2020[[#This Row],[Coal and lignite production (Mt)]]-Energy_data_1990___2020[[#This Row],[Coal and lignite domestic consumption (Mt)]])</f>
        <v>63.866000000000014</v>
      </c>
    </row>
    <row r="980" spans="1:23">
      <c r="A980" t="s">
        <v>61</v>
      </c>
      <c r="B980">
        <v>2007</v>
      </c>
      <c r="C980" t="s">
        <v>54</v>
      </c>
      <c r="D980">
        <v>400.36119680000002</v>
      </c>
      <c r="E980">
        <v>3.0525343079999998</v>
      </c>
      <c r="F980">
        <v>0.67241280599999997</v>
      </c>
      <c r="G980">
        <v>153.42496539999999</v>
      </c>
      <c r="H980">
        <v>131.15698510000001</v>
      </c>
      <c r="I980">
        <v>1.584946049</v>
      </c>
      <c r="J980">
        <v>27.239528450000002</v>
      </c>
      <c r="K980">
        <v>23.507999999999999</v>
      </c>
      <c r="L980">
        <v>17.661999999999999</v>
      </c>
      <c r="M980">
        <v>1.7819990000000001</v>
      </c>
      <c r="N980">
        <v>4.2219988529999997</v>
      </c>
      <c r="O980">
        <v>0.22028017999999999</v>
      </c>
      <c r="P980">
        <v>263.47899999999998</v>
      </c>
      <c r="Q980">
        <v>219.15100000000001</v>
      </c>
      <c r="R980">
        <v>186.66200000000001</v>
      </c>
      <c r="S980">
        <v>4.554443E-3</v>
      </c>
      <c r="T980">
        <v>4.5960000000000001</v>
      </c>
      <c r="U980">
        <v>247.666</v>
      </c>
      <c r="V980" s="1" t="str">
        <f>IF(Energy_data_1990___2020[[#This Row],[CO2 emissions from fuel combustion (MtCO2)]]&gt;Energy_data_1990___2020[[#Totals],[CO2 emissions from fuel combustion (MtCO2)]],"Above Average","")</f>
        <v/>
      </c>
      <c r="W980" s="1">
        <f>SUM(Energy_data_1990___2020[[#This Row],[Coal and lignite production (Mt)]]-Energy_data_1990___2020[[#This Row],[Coal and lignite domestic consumption (Mt)]])</f>
        <v>61.003999999999991</v>
      </c>
    </row>
    <row r="981" spans="1:23">
      <c r="A981" t="s">
        <v>61</v>
      </c>
      <c r="B981">
        <v>2008</v>
      </c>
      <c r="C981" t="s">
        <v>54</v>
      </c>
      <c r="D981">
        <v>432.59419789999998</v>
      </c>
      <c r="E981">
        <v>3.0436567870000002</v>
      </c>
      <c r="F981">
        <v>0.70408107200000003</v>
      </c>
      <c r="G981">
        <v>157.4114782</v>
      </c>
      <c r="H981">
        <v>142.12975650000001</v>
      </c>
      <c r="I981">
        <v>1.6736936250000001</v>
      </c>
      <c r="J981">
        <v>25.950267669999999</v>
      </c>
      <c r="K981">
        <v>23.402999999999999</v>
      </c>
      <c r="L981">
        <v>20.161999999999999</v>
      </c>
      <c r="M981">
        <v>1.5840015999999999</v>
      </c>
      <c r="N981">
        <v>4.3440026100000004</v>
      </c>
      <c r="O981">
        <v>0.23132735400000001</v>
      </c>
      <c r="P981">
        <v>258.291</v>
      </c>
      <c r="Q981">
        <v>213.46299999999999</v>
      </c>
      <c r="R981">
        <v>201.733</v>
      </c>
      <c r="S981">
        <v>8.1303650000000005E-3</v>
      </c>
      <c r="T981">
        <v>4.1429999999999998</v>
      </c>
      <c r="U981">
        <v>252.21299999999999</v>
      </c>
      <c r="V981" s="1" t="str">
        <f>IF(Energy_data_1990___2020[[#This Row],[CO2 emissions from fuel combustion (MtCO2)]]&gt;Energy_data_1990___2020[[#Totals],[CO2 emissions from fuel combustion (MtCO2)]],"Above Average","")</f>
        <v/>
      </c>
      <c r="W981" s="1">
        <f>SUM(Energy_data_1990___2020[[#This Row],[Coal and lignite production (Mt)]]-Energy_data_1990___2020[[#This Row],[Coal and lignite domestic consumption (Mt)]])</f>
        <v>50.47999999999999</v>
      </c>
    </row>
    <row r="982" spans="1:23">
      <c r="A982" t="s">
        <v>61</v>
      </c>
      <c r="B982">
        <v>2009</v>
      </c>
      <c r="C982" t="s">
        <v>54</v>
      </c>
      <c r="D982">
        <v>408.32439970000001</v>
      </c>
      <c r="E982">
        <v>2.8352405319999998</v>
      </c>
      <c r="F982">
        <v>0.67496157899999998</v>
      </c>
      <c r="G982">
        <v>155.6019177</v>
      </c>
      <c r="H982">
        <v>144.01755159999999</v>
      </c>
      <c r="I982">
        <v>1.800791002</v>
      </c>
      <c r="J982">
        <v>23.936167359999999</v>
      </c>
      <c r="K982">
        <v>22.844000000000001</v>
      </c>
      <c r="L982">
        <v>18.893000000000001</v>
      </c>
      <c r="M982">
        <v>1.234998421</v>
      </c>
      <c r="N982">
        <v>3.764997224</v>
      </c>
      <c r="O982">
        <v>0.23806148799999999</v>
      </c>
      <c r="P982">
        <v>249.55699999999999</v>
      </c>
      <c r="Q982">
        <v>205.315</v>
      </c>
      <c r="R982">
        <v>186.958</v>
      </c>
      <c r="S982">
        <v>1.2021301999999999E-2</v>
      </c>
      <c r="T982">
        <v>4.4320000000000004</v>
      </c>
      <c r="U982">
        <v>249.489</v>
      </c>
      <c r="V982" s="1" t="str">
        <f>IF(Energy_data_1990___2020[[#This Row],[CO2 emissions from fuel combustion (MtCO2)]]&gt;Energy_data_1990___2020[[#Totals],[CO2 emissions from fuel combustion (MtCO2)]],"Above Average","")</f>
        <v/>
      </c>
      <c r="W982" s="1">
        <f>SUM(Energy_data_1990___2020[[#This Row],[Coal and lignite production (Mt)]]-Energy_data_1990___2020[[#This Row],[Coal and lignite domestic consumption (Mt)]])</f>
        <v>62.531000000000006</v>
      </c>
    </row>
    <row r="983" spans="1:23">
      <c r="A983" t="s">
        <v>61</v>
      </c>
      <c r="B983">
        <v>2010</v>
      </c>
      <c r="C983" t="s">
        <v>54</v>
      </c>
      <c r="D983">
        <v>430.18281630000001</v>
      </c>
      <c r="E983">
        <v>3.1995631819999999</v>
      </c>
      <c r="F983">
        <v>0.69011594700000001</v>
      </c>
      <c r="G983">
        <v>158.52847729999999</v>
      </c>
      <c r="H983">
        <v>134.4504833</v>
      </c>
      <c r="I983">
        <v>2.0928270690000002</v>
      </c>
      <c r="J983">
        <v>27.537090589999998</v>
      </c>
      <c r="K983">
        <v>22.890999999999998</v>
      </c>
      <c r="L983">
        <v>18.696999999999999</v>
      </c>
      <c r="M983">
        <v>1.542999534</v>
      </c>
      <c r="N983">
        <v>4.7430016610000001</v>
      </c>
      <c r="O983">
        <v>0.215690676</v>
      </c>
      <c r="P983">
        <v>259.601</v>
      </c>
      <c r="Q983">
        <v>213.58600000000001</v>
      </c>
      <c r="R983">
        <v>193.37200000000001</v>
      </c>
      <c r="S983">
        <v>1.3097022E-2</v>
      </c>
      <c r="T983">
        <v>4.4960000000000004</v>
      </c>
      <c r="U983">
        <v>254.52199999999999</v>
      </c>
      <c r="V983" s="1" t="str">
        <f>IF(Energy_data_1990___2020[[#This Row],[CO2 emissions from fuel combustion (MtCO2)]]&gt;Energy_data_1990___2020[[#Totals],[CO2 emissions from fuel combustion (MtCO2)]],"Above Average","")</f>
        <v/>
      </c>
      <c r="W983" s="1">
        <f>SUM(Energy_data_1990___2020[[#This Row],[Coal and lignite production (Mt)]]-Energy_data_1990___2020[[#This Row],[Coal and lignite domestic consumption (Mt)]])</f>
        <v>61.149999999999977</v>
      </c>
    </row>
    <row r="984" spans="1:23">
      <c r="A984" t="s">
        <v>61</v>
      </c>
      <c r="B984">
        <v>2011</v>
      </c>
      <c r="C984" t="s">
        <v>54</v>
      </c>
      <c r="D984">
        <v>414.3106712</v>
      </c>
      <c r="E984">
        <v>3.025870254</v>
      </c>
      <c r="F984">
        <v>0.64351899099999998</v>
      </c>
      <c r="G984">
        <v>157.24398830000001</v>
      </c>
      <c r="H984">
        <v>136.92281439999999</v>
      </c>
      <c r="I984">
        <v>2.0564642069999999</v>
      </c>
      <c r="J984">
        <v>27.45911809</v>
      </c>
      <c r="K984">
        <v>24.509</v>
      </c>
      <c r="L984">
        <v>19.178999999999998</v>
      </c>
      <c r="M984">
        <v>1.3620008480000001</v>
      </c>
      <c r="N984">
        <v>4.708001726</v>
      </c>
      <c r="O984">
        <v>0.212672368</v>
      </c>
      <c r="P984">
        <v>262.53800000000001</v>
      </c>
      <c r="Q984">
        <v>216.43899999999999</v>
      </c>
      <c r="R984">
        <v>182.38499999999999</v>
      </c>
      <c r="S984">
        <v>1.4093197999999999E-2</v>
      </c>
      <c r="T984">
        <v>5.32</v>
      </c>
      <c r="U984">
        <v>252.75700000000001</v>
      </c>
      <c r="V984" s="1" t="str">
        <f>IF(Energy_data_1990___2020[[#This Row],[CO2 emissions from fuel combustion (MtCO2)]]&gt;Energy_data_1990___2020[[#Totals],[CO2 emissions from fuel combustion (MtCO2)]],"Above Average","")</f>
        <v/>
      </c>
      <c r="W984" s="1">
        <f>SUM(Energy_data_1990___2020[[#This Row],[Coal and lignite production (Mt)]]-Energy_data_1990___2020[[#This Row],[Coal and lignite domestic consumption (Mt)]])</f>
        <v>70.372000000000014</v>
      </c>
    </row>
    <row r="985" spans="1:23">
      <c r="A985" t="s">
        <v>61</v>
      </c>
      <c r="B985">
        <v>2012</v>
      </c>
      <c r="C985" t="s">
        <v>54</v>
      </c>
      <c r="D985">
        <v>431.320808</v>
      </c>
      <c r="E985">
        <v>3.2929653719999998</v>
      </c>
      <c r="F985">
        <v>0.65543256599999999</v>
      </c>
      <c r="G985">
        <v>159.3122425</v>
      </c>
      <c r="H985">
        <v>130.9824912</v>
      </c>
      <c r="I985">
        <v>1.7831179559999999</v>
      </c>
      <c r="J985">
        <v>25.934282469999999</v>
      </c>
      <c r="K985">
        <v>24.222999999999999</v>
      </c>
      <c r="L985">
        <v>19.016999999999999</v>
      </c>
      <c r="M985">
        <v>1.1799994739999999</v>
      </c>
      <c r="N985">
        <v>4.9500039469999999</v>
      </c>
      <c r="O985">
        <v>0.19904022399999999</v>
      </c>
      <c r="P985">
        <v>257.91899999999998</v>
      </c>
      <c r="Q985">
        <v>209.05500000000001</v>
      </c>
      <c r="R985">
        <v>190.148</v>
      </c>
      <c r="S985">
        <v>1.4345589000000001E-2</v>
      </c>
      <c r="T985">
        <v>5.0999999999999996</v>
      </c>
      <c r="U985">
        <v>258.57499999999999</v>
      </c>
      <c r="V985" s="1" t="str">
        <f>IF(Energy_data_1990___2020[[#This Row],[CO2 emissions from fuel combustion (MtCO2)]]&gt;Energy_data_1990___2020[[#Totals],[CO2 emissions from fuel combustion (MtCO2)]],"Above Average","")</f>
        <v/>
      </c>
      <c r="W985" s="1">
        <f>SUM(Energy_data_1990___2020[[#This Row],[Coal and lignite production (Mt)]]-Energy_data_1990___2020[[#This Row],[Coal and lignite domestic consumption (Mt)]])</f>
        <v>68.426999999999992</v>
      </c>
    </row>
    <row r="986" spans="1:23">
      <c r="A986" t="s">
        <v>61</v>
      </c>
      <c r="B986">
        <v>2013</v>
      </c>
      <c r="C986" t="s">
        <v>54</v>
      </c>
      <c r="D986">
        <v>441.02997490000001</v>
      </c>
      <c r="E986">
        <v>3.3958210480000002</v>
      </c>
      <c r="F986">
        <v>0.65393496399999995</v>
      </c>
      <c r="G986">
        <v>158.56705439999999</v>
      </c>
      <c r="H986">
        <v>129.87432749999999</v>
      </c>
      <c r="I986">
        <v>1.713573864</v>
      </c>
      <c r="J986">
        <v>24.697303130000002</v>
      </c>
      <c r="K986">
        <v>25.475999999999999</v>
      </c>
      <c r="L986">
        <v>19.731999999999999</v>
      </c>
      <c r="M986">
        <v>1.265001289</v>
      </c>
      <c r="N986">
        <v>5.0199985260000002</v>
      </c>
      <c r="O986">
        <v>0.192570502</v>
      </c>
      <c r="P986">
        <v>256.07299999999998</v>
      </c>
      <c r="Q986">
        <v>208.62100000000001</v>
      </c>
      <c r="R986">
        <v>192.42</v>
      </c>
      <c r="S986">
        <v>1.1324895999999999E-2</v>
      </c>
      <c r="T986">
        <v>5.2720000000000002</v>
      </c>
      <c r="U986">
        <v>256.28199999999998</v>
      </c>
      <c r="V986" s="1" t="str">
        <f>IF(Energy_data_1990___2020[[#This Row],[CO2 emissions from fuel combustion (MtCO2)]]&gt;Energy_data_1990___2020[[#Totals],[CO2 emissions from fuel combustion (MtCO2)]],"Above Average","")</f>
        <v/>
      </c>
      <c r="W986" s="1">
        <f>SUM(Energy_data_1990___2020[[#This Row],[Coal and lignite production (Mt)]]-Energy_data_1990___2020[[#This Row],[Coal and lignite domestic consumption (Mt)]])</f>
        <v>63.861999999999995</v>
      </c>
    </row>
    <row r="987" spans="1:23">
      <c r="A987" t="s">
        <v>61</v>
      </c>
      <c r="B987">
        <v>2014</v>
      </c>
      <c r="C987" t="s">
        <v>54</v>
      </c>
      <c r="D987">
        <v>453.17754450000001</v>
      </c>
      <c r="E987">
        <v>3.2914040679999998</v>
      </c>
      <c r="F987">
        <v>0.65976098100000002</v>
      </c>
      <c r="G987">
        <v>160.66986969999999</v>
      </c>
      <c r="H987">
        <v>137.6851748</v>
      </c>
      <c r="I987">
        <v>2.554458425</v>
      </c>
      <c r="J987">
        <v>24.56266042</v>
      </c>
      <c r="K987">
        <v>25.067</v>
      </c>
      <c r="L987">
        <v>20.164999999999999</v>
      </c>
      <c r="M987">
        <v>1.019001319</v>
      </c>
      <c r="N987">
        <v>4.7830000000000004</v>
      </c>
      <c r="O987">
        <v>0.200449707</v>
      </c>
      <c r="P987">
        <v>252.578</v>
      </c>
      <c r="Q987">
        <v>211.21600000000001</v>
      </c>
      <c r="R987">
        <v>199.571</v>
      </c>
      <c r="S987">
        <v>0.81756922600000004</v>
      </c>
      <c r="T987">
        <v>5.351</v>
      </c>
      <c r="U987">
        <v>260.54000000000002</v>
      </c>
      <c r="V987" s="1" t="str">
        <f>IF(Energy_data_1990___2020[[#This Row],[CO2 emissions from fuel combustion (MtCO2)]]&gt;Energy_data_1990___2020[[#Totals],[CO2 emissions from fuel combustion (MtCO2)]],"Above Average","")</f>
        <v/>
      </c>
      <c r="W987" s="1">
        <f>SUM(Energy_data_1990___2020[[#This Row],[Coal and lignite production (Mt)]]-Energy_data_1990___2020[[#This Row],[Coal and lignite domestic consumption (Mt)]])</f>
        <v>60.969000000000023</v>
      </c>
    </row>
    <row r="988" spans="1:23">
      <c r="A988" t="s">
        <v>61</v>
      </c>
      <c r="B988">
        <v>2015</v>
      </c>
      <c r="C988" t="s">
        <v>54</v>
      </c>
      <c r="D988">
        <v>428.05174160000001</v>
      </c>
      <c r="E988">
        <v>3.3229252969999998</v>
      </c>
      <c r="F988">
        <v>0.61583007899999997</v>
      </c>
      <c r="G988">
        <v>158.2153447</v>
      </c>
      <c r="H988">
        <v>128.81774440000001</v>
      </c>
      <c r="I988">
        <v>3.4996294890000001</v>
      </c>
      <c r="J988">
        <v>24.65965516</v>
      </c>
      <c r="K988">
        <v>25.917000000000002</v>
      </c>
      <c r="L988">
        <v>20.544</v>
      </c>
      <c r="M988">
        <v>1.1799994739999999</v>
      </c>
      <c r="N988">
        <v>5.2560040419999998</v>
      </c>
      <c r="O988">
        <v>0.18532769299999999</v>
      </c>
      <c r="P988">
        <v>249.655</v>
      </c>
      <c r="Q988">
        <v>206.983</v>
      </c>
      <c r="R988">
        <v>185.94</v>
      </c>
      <c r="S988">
        <v>1.8569626079999999</v>
      </c>
      <c r="T988">
        <v>5.69</v>
      </c>
      <c r="U988">
        <v>256.12900000000002</v>
      </c>
      <c r="V988" s="1" t="str">
        <f>IF(Energy_data_1990___2020[[#This Row],[CO2 emissions from fuel combustion (MtCO2)]]&gt;Energy_data_1990___2020[[#Totals],[CO2 emissions from fuel combustion (MtCO2)]],"Above Average","")</f>
        <v/>
      </c>
      <c r="W988" s="1">
        <f>SUM(Energy_data_1990___2020[[#This Row],[Coal and lignite production (Mt)]]-Energy_data_1990___2020[[#This Row],[Coal and lignite domestic consumption (Mt)]])</f>
        <v>70.189000000000021</v>
      </c>
    </row>
    <row r="989" spans="1:23">
      <c r="A989" t="s">
        <v>61</v>
      </c>
      <c r="B989">
        <v>2016</v>
      </c>
      <c r="C989" t="s">
        <v>54</v>
      </c>
      <c r="D989">
        <v>429.70070320000002</v>
      </c>
      <c r="E989">
        <v>3.1811178959999999</v>
      </c>
      <c r="F989">
        <v>0.61574504500000005</v>
      </c>
      <c r="G989">
        <v>158.78731329999999</v>
      </c>
      <c r="H989">
        <v>135.0785218</v>
      </c>
      <c r="I989">
        <v>4.3743348089999996</v>
      </c>
      <c r="J989">
        <v>26.46432798</v>
      </c>
      <c r="K989">
        <v>24.8</v>
      </c>
      <c r="L989">
        <v>20.285</v>
      </c>
      <c r="M989">
        <v>1.072000716</v>
      </c>
      <c r="N989">
        <v>5.3620064889999997</v>
      </c>
      <c r="O989">
        <v>0.19356247300000001</v>
      </c>
      <c r="P989">
        <v>252.74700000000001</v>
      </c>
      <c r="Q989">
        <v>220.02</v>
      </c>
      <c r="R989">
        <v>188.55099999999999</v>
      </c>
      <c r="S989">
        <v>2.6536417839999999</v>
      </c>
      <c r="T989">
        <v>5.5590000000000002</v>
      </c>
      <c r="U989">
        <v>255.81399999999999</v>
      </c>
      <c r="V989" s="1" t="str">
        <f>IF(Energy_data_1990___2020[[#This Row],[CO2 emissions from fuel combustion (MtCO2)]]&gt;Energy_data_1990___2020[[#Totals],[CO2 emissions from fuel combustion (MtCO2)]],"Above Average","")</f>
        <v/>
      </c>
      <c r="W989" s="1">
        <f>SUM(Energy_data_1990___2020[[#This Row],[Coal and lignite production (Mt)]]-Energy_data_1990___2020[[#This Row],[Coal and lignite domestic consumption (Mt)]])</f>
        <v>67.263000000000005</v>
      </c>
    </row>
    <row r="990" spans="1:23">
      <c r="A990" t="s">
        <v>61</v>
      </c>
      <c r="B990">
        <v>2017</v>
      </c>
      <c r="C990" t="s">
        <v>54</v>
      </c>
      <c r="D990">
        <v>436.6626784</v>
      </c>
      <c r="E990">
        <v>3.2133271529999998</v>
      </c>
      <c r="F990">
        <v>0.61699384000000002</v>
      </c>
      <c r="G990">
        <v>159.26414059999999</v>
      </c>
      <c r="H990">
        <v>135.89113639999999</v>
      </c>
      <c r="I990">
        <v>5.7092529140000003</v>
      </c>
      <c r="J990">
        <v>25.423760390000002</v>
      </c>
      <c r="K990">
        <v>27.492497</v>
      </c>
      <c r="L990">
        <v>18.741235</v>
      </c>
      <c r="M990">
        <v>0.85793684199999998</v>
      </c>
      <c r="N990">
        <v>5.173923684</v>
      </c>
      <c r="O990">
        <v>0.19201090000000001</v>
      </c>
      <c r="P990">
        <v>255.13432700000001</v>
      </c>
      <c r="Q990">
        <v>219.08038500000001</v>
      </c>
      <c r="R990">
        <v>188.61117100000001</v>
      </c>
      <c r="S990">
        <v>3.4726804910000002</v>
      </c>
      <c r="T990">
        <v>5.2176309999999999</v>
      </c>
      <c r="U990">
        <v>257.12474099999997</v>
      </c>
      <c r="V990" s="1" t="str">
        <f>IF(Energy_data_1990___2020[[#This Row],[CO2 emissions from fuel combustion (MtCO2)]]&gt;Energy_data_1990___2020[[#Totals],[CO2 emissions from fuel combustion (MtCO2)]],"Above Average","")</f>
        <v/>
      </c>
      <c r="W990" s="1">
        <f>SUM(Energy_data_1990___2020[[#This Row],[Coal and lignite production (Mt)]]-Energy_data_1990___2020[[#This Row],[Coal and lignite domestic consumption (Mt)]])</f>
        <v>68.513569999999959</v>
      </c>
    </row>
    <row r="991" spans="1:23">
      <c r="A991" t="s">
        <v>61</v>
      </c>
      <c r="B991">
        <v>2018</v>
      </c>
      <c r="C991" t="s">
        <v>54</v>
      </c>
      <c r="D991">
        <v>433.7892458</v>
      </c>
      <c r="E991">
        <v>3.2314829010000001</v>
      </c>
      <c r="F991">
        <v>0.60814729199999995</v>
      </c>
      <c r="G991">
        <v>158.1013117</v>
      </c>
      <c r="H991">
        <v>134.23844690000001</v>
      </c>
      <c r="I991">
        <v>6.578397979</v>
      </c>
      <c r="J991">
        <v>25.889297939999999</v>
      </c>
      <c r="K991">
        <v>27.401752999999999</v>
      </c>
      <c r="L991">
        <v>18.700849999999999</v>
      </c>
      <c r="M991">
        <v>1.029524211</v>
      </c>
      <c r="N991">
        <v>4.8789423159999998</v>
      </c>
      <c r="O991">
        <v>0.18819449499999999</v>
      </c>
      <c r="P991">
        <v>256.06422800000001</v>
      </c>
      <c r="Q991">
        <v>220.74861799999999</v>
      </c>
      <c r="R991">
        <v>187.04775699999999</v>
      </c>
      <c r="S991">
        <v>4.1817633350000003</v>
      </c>
      <c r="T991">
        <v>4.9240449999999996</v>
      </c>
      <c r="U991">
        <v>255.64149599999999</v>
      </c>
      <c r="V991" s="1" t="str">
        <f>IF(Energy_data_1990___2020[[#This Row],[CO2 emissions from fuel combustion (MtCO2)]]&gt;Energy_data_1990___2020[[#Totals],[CO2 emissions from fuel combustion (MtCO2)]],"Above Average","")</f>
        <v/>
      </c>
      <c r="W991" s="1">
        <f>SUM(Energy_data_1990___2020[[#This Row],[Coal and lignite production (Mt)]]-Energy_data_1990___2020[[#This Row],[Coal and lignite domestic consumption (Mt)]])</f>
        <v>68.593738999999999</v>
      </c>
    </row>
    <row r="992" spans="1:23">
      <c r="A992" t="s">
        <v>61</v>
      </c>
      <c r="B992">
        <v>2019</v>
      </c>
      <c r="C992" t="s">
        <v>54</v>
      </c>
      <c r="D992">
        <v>422.11861770000002</v>
      </c>
      <c r="E992">
        <v>3.274055894</v>
      </c>
      <c r="F992">
        <v>0.59088170100000004</v>
      </c>
      <c r="G992">
        <v>158.73939490000001</v>
      </c>
      <c r="H992">
        <v>128.928348</v>
      </c>
      <c r="I992">
        <v>6.8480624619999997</v>
      </c>
      <c r="J992">
        <v>26.13016777</v>
      </c>
      <c r="K992">
        <v>27.264545869999999</v>
      </c>
      <c r="L992">
        <v>18.624468579999998</v>
      </c>
      <c r="M992">
        <v>1.18</v>
      </c>
      <c r="N992">
        <v>4.8710000000000004</v>
      </c>
      <c r="O992">
        <v>0.18047392000000001</v>
      </c>
      <c r="P992">
        <v>252.22326459999999</v>
      </c>
      <c r="Q992">
        <v>218.5990673</v>
      </c>
      <c r="R992">
        <v>176.24123839999999</v>
      </c>
      <c r="S992">
        <v>4.3736397389999997</v>
      </c>
      <c r="T992">
        <v>4.9164649999999996</v>
      </c>
      <c r="U992">
        <v>253.56899899999999</v>
      </c>
      <c r="V992" s="1" t="str">
        <f>IF(Energy_data_1990___2020[[#This Row],[CO2 emissions from fuel combustion (MtCO2)]]&gt;Energy_data_1990___2020[[#Totals],[CO2 emissions from fuel combustion (MtCO2)]],"Above Average","")</f>
        <v/>
      </c>
      <c r="W992" s="1">
        <f>SUM(Energy_data_1990___2020[[#This Row],[Coal and lignite production (Mt)]]-Energy_data_1990___2020[[#This Row],[Coal and lignite domestic consumption (Mt)]])</f>
        <v>77.327760600000005</v>
      </c>
    </row>
    <row r="993" spans="1:23">
      <c r="A993" t="s">
        <v>61</v>
      </c>
      <c r="B993">
        <v>2020</v>
      </c>
      <c r="C993" t="s">
        <v>54</v>
      </c>
      <c r="D993">
        <v>394.70803869999997</v>
      </c>
      <c r="E993">
        <v>3.1812205389999999</v>
      </c>
      <c r="F993">
        <v>0.59537970799999995</v>
      </c>
      <c r="G993">
        <v>154.66153679999999</v>
      </c>
      <c r="H993">
        <v>124.0744029</v>
      </c>
      <c r="I993">
        <v>7.5606959539999998</v>
      </c>
      <c r="J993">
        <v>27.125212820000002</v>
      </c>
      <c r="K993">
        <v>22.856564120000002</v>
      </c>
      <c r="L993">
        <v>14.62446858</v>
      </c>
      <c r="M993">
        <v>1.2</v>
      </c>
      <c r="N993">
        <v>4.8347434390000004</v>
      </c>
      <c r="O993">
        <v>0.18715449000000001</v>
      </c>
      <c r="P993">
        <v>239.559335</v>
      </c>
      <c r="Q993">
        <v>208.03425010000001</v>
      </c>
      <c r="R993">
        <v>168.88743740000001</v>
      </c>
      <c r="S993">
        <v>4.9129494149999999</v>
      </c>
      <c r="T993">
        <v>4.8847543389999997</v>
      </c>
      <c r="U993">
        <v>247.48334299999999</v>
      </c>
      <c r="V993" s="1" t="str">
        <f>IF(Energy_data_1990___2020[[#This Row],[CO2 emissions from fuel combustion (MtCO2)]]&gt;Energy_data_1990___2020[[#Totals],[CO2 emissions from fuel combustion (MtCO2)]],"Above Average","")</f>
        <v/>
      </c>
      <c r="W993" s="1">
        <f>SUM(Energy_data_1990___2020[[#This Row],[Coal and lignite production (Mt)]]-Energy_data_1990___2020[[#This Row],[Coal and lignite domestic consumption (Mt)]])</f>
        <v>78.59590559999998</v>
      </c>
    </row>
    <row r="994" spans="1:23">
      <c r="A994" t="s">
        <v>62</v>
      </c>
      <c r="B994">
        <v>1990</v>
      </c>
      <c r="C994" t="s">
        <v>28</v>
      </c>
      <c r="D994">
        <v>243.49721629999999</v>
      </c>
      <c r="E994">
        <v>2.5913266589999999</v>
      </c>
      <c r="F994">
        <v>0.46666675699999999</v>
      </c>
      <c r="G994">
        <v>23.675366100000002</v>
      </c>
      <c r="H994">
        <v>93.966237509999999</v>
      </c>
      <c r="I994">
        <v>6.037714362</v>
      </c>
      <c r="J994">
        <v>11.589677699999999</v>
      </c>
      <c r="K994">
        <v>48.314999999999998</v>
      </c>
      <c r="L994">
        <v>42.365000000000002</v>
      </c>
      <c r="M994">
        <v>0</v>
      </c>
      <c r="N994">
        <v>3.0419989009999999</v>
      </c>
      <c r="O994">
        <v>0.18008797000000001</v>
      </c>
      <c r="P994">
        <v>105.371</v>
      </c>
      <c r="Q994">
        <v>94.384</v>
      </c>
      <c r="R994">
        <v>44.776000000000003</v>
      </c>
      <c r="S994">
        <v>9.4902799999999998E-4</v>
      </c>
      <c r="T994">
        <v>0</v>
      </c>
      <c r="U994">
        <v>17.216999999999999</v>
      </c>
      <c r="V994" s="1" t="str">
        <f>IF(Energy_data_1990___2020[[#This Row],[CO2 emissions from fuel combustion (MtCO2)]]&gt;Energy_data_1990___2020[[#Totals],[CO2 emissions from fuel combustion (MtCO2)]],"Above Average","")</f>
        <v/>
      </c>
      <c r="W994" s="1">
        <f>SUM(Energy_data_1990___2020[[#This Row],[Coal and lignite production (Mt)]]-Energy_data_1990___2020[[#This Row],[Coal and lignite domestic consumption (Mt)]])</f>
        <v>-27.559000000000005</v>
      </c>
    </row>
    <row r="995" spans="1:23">
      <c r="A995" t="s">
        <v>62</v>
      </c>
      <c r="B995">
        <v>1991</v>
      </c>
      <c r="C995" t="s">
        <v>28</v>
      </c>
      <c r="D995">
        <v>267.57197600000001</v>
      </c>
      <c r="E995">
        <v>2.6533691180000001</v>
      </c>
      <c r="F995">
        <v>0.46469243500000001</v>
      </c>
      <c r="G995">
        <v>23.169934009999999</v>
      </c>
      <c r="H995">
        <v>100.8423495</v>
      </c>
      <c r="I995">
        <v>4.3999303259999998</v>
      </c>
      <c r="J995">
        <v>11.58730854</v>
      </c>
      <c r="K995">
        <v>57.652999999999999</v>
      </c>
      <c r="L995">
        <v>57.29</v>
      </c>
      <c r="M995">
        <v>0</v>
      </c>
      <c r="N995">
        <v>3.5190028940000002</v>
      </c>
      <c r="O995">
        <v>0.17513297799999999</v>
      </c>
      <c r="P995">
        <v>114.82</v>
      </c>
      <c r="Q995">
        <v>104.374</v>
      </c>
      <c r="R995">
        <v>43.256999999999998</v>
      </c>
      <c r="S995">
        <v>8.7092799999999998E-4</v>
      </c>
      <c r="T995">
        <v>0</v>
      </c>
      <c r="U995">
        <v>15.058</v>
      </c>
      <c r="V995" s="1" t="str">
        <f>IF(Energy_data_1990___2020[[#This Row],[CO2 emissions from fuel combustion (MtCO2)]]&gt;Energy_data_1990___2020[[#Totals],[CO2 emissions from fuel combustion (MtCO2)]],"Above Average","")</f>
        <v/>
      </c>
      <c r="W995" s="1">
        <f>SUM(Energy_data_1990___2020[[#This Row],[Coal and lignite production (Mt)]]-Energy_data_1990___2020[[#This Row],[Coal and lignite domestic consumption (Mt)]])</f>
        <v>-28.198999999999998</v>
      </c>
    </row>
    <row r="996" spans="1:23">
      <c r="A996" t="s">
        <v>62</v>
      </c>
      <c r="B996">
        <v>1992</v>
      </c>
      <c r="C996" t="s">
        <v>28</v>
      </c>
      <c r="D996">
        <v>290.85939239999999</v>
      </c>
      <c r="E996">
        <v>2.611010855</v>
      </c>
      <c r="F996">
        <v>0.47575540500000002</v>
      </c>
      <c r="G996">
        <v>20.917824020000001</v>
      </c>
      <c r="H996">
        <v>111.39723600000001</v>
      </c>
      <c r="I996">
        <v>3.8559086950000001</v>
      </c>
      <c r="J996">
        <v>11.48066315</v>
      </c>
      <c r="K996">
        <v>69.323999999999998</v>
      </c>
      <c r="L996">
        <v>70.811000000000007</v>
      </c>
      <c r="M996">
        <v>0</v>
      </c>
      <c r="N996">
        <v>4.6029978549999999</v>
      </c>
      <c r="O996">
        <v>0.18221119399999999</v>
      </c>
      <c r="P996">
        <v>126.17</v>
      </c>
      <c r="Q996">
        <v>115.245</v>
      </c>
      <c r="R996">
        <v>40.143999999999998</v>
      </c>
      <c r="S996">
        <v>1.5851629999999999E-3</v>
      </c>
      <c r="T996">
        <v>0</v>
      </c>
      <c r="U996">
        <v>11.97</v>
      </c>
      <c r="V996" s="1" t="str">
        <f>IF(Energy_data_1990___2020[[#This Row],[CO2 emissions from fuel combustion (MtCO2)]]&gt;Energy_data_1990___2020[[#Totals],[CO2 emissions from fuel combustion (MtCO2)]],"Above Average","")</f>
        <v/>
      </c>
      <c r="W996" s="1">
        <f>SUM(Energy_data_1990___2020[[#This Row],[Coal and lignite production (Mt)]]-Energy_data_1990___2020[[#This Row],[Coal and lignite domestic consumption (Mt)]])</f>
        <v>-28.173999999999999</v>
      </c>
    </row>
    <row r="997" spans="1:23">
      <c r="A997" t="s">
        <v>62</v>
      </c>
      <c r="B997">
        <v>1993</v>
      </c>
      <c r="C997" t="s">
        <v>28</v>
      </c>
      <c r="D997">
        <v>317.39700699999997</v>
      </c>
      <c r="E997">
        <v>2.5397590559999998</v>
      </c>
      <c r="F997">
        <v>0.48589471299999998</v>
      </c>
      <c r="G997">
        <v>20.65883444</v>
      </c>
      <c r="H997">
        <v>124.97130629999999</v>
      </c>
      <c r="I997">
        <v>4.1494606879999996</v>
      </c>
      <c r="J997">
        <v>11.606162400000001</v>
      </c>
      <c r="K997">
        <v>75.55</v>
      </c>
      <c r="L997">
        <v>75.757000000000005</v>
      </c>
      <c r="M997">
        <v>0</v>
      </c>
      <c r="N997">
        <v>5.7500065989999998</v>
      </c>
      <c r="O997">
        <v>0.191315279</v>
      </c>
      <c r="P997">
        <v>144.81399999999999</v>
      </c>
      <c r="Q997">
        <v>127.733</v>
      </c>
      <c r="R997">
        <v>42.067999999999998</v>
      </c>
      <c r="S997">
        <v>2.0716229999999999E-3</v>
      </c>
      <c r="T997">
        <v>0</v>
      </c>
      <c r="U997">
        <v>9.4429999999999996</v>
      </c>
      <c r="V997" s="1" t="str">
        <f>IF(Energy_data_1990___2020[[#This Row],[CO2 emissions from fuel combustion (MtCO2)]]&gt;Energy_data_1990___2020[[#Totals],[CO2 emissions from fuel combustion (MtCO2)]],"Above Average","")</f>
        <v/>
      </c>
      <c r="W997" s="1">
        <f>SUM(Energy_data_1990___2020[[#This Row],[Coal and lignite production (Mt)]]-Energy_data_1990___2020[[#This Row],[Coal and lignite domestic consumption (Mt)]])</f>
        <v>-32.625</v>
      </c>
    </row>
    <row r="998" spans="1:23">
      <c r="A998" t="s">
        <v>62</v>
      </c>
      <c r="B998">
        <v>1994</v>
      </c>
      <c r="C998" t="s">
        <v>28</v>
      </c>
      <c r="D998">
        <v>342.47459930000002</v>
      </c>
      <c r="E998">
        <v>2.577346409</v>
      </c>
      <c r="F998">
        <v>0.48008777800000002</v>
      </c>
      <c r="G998">
        <v>20.077857080000001</v>
      </c>
      <c r="H998">
        <v>132.87876170000001</v>
      </c>
      <c r="I998">
        <v>2.508011448</v>
      </c>
      <c r="J998">
        <v>12.34607407</v>
      </c>
      <c r="K998">
        <v>81.149000000000001</v>
      </c>
      <c r="L998">
        <v>79.548000000000002</v>
      </c>
      <c r="M998">
        <v>0</v>
      </c>
      <c r="N998">
        <v>7.6540078520000003</v>
      </c>
      <c r="O998">
        <v>0.18627211900000001</v>
      </c>
      <c r="P998">
        <v>163.51599999999999</v>
      </c>
      <c r="Q998">
        <v>146.54</v>
      </c>
      <c r="R998">
        <v>42.807000000000002</v>
      </c>
      <c r="S998">
        <v>1.8346829999999999E-3</v>
      </c>
      <c r="T998">
        <v>0</v>
      </c>
      <c r="U998">
        <v>7.4379999999999997</v>
      </c>
      <c r="V998" s="1" t="str">
        <f>IF(Energy_data_1990___2020[[#This Row],[CO2 emissions from fuel combustion (MtCO2)]]&gt;Energy_data_1990___2020[[#Totals],[CO2 emissions from fuel combustion (MtCO2)]],"Above Average","")</f>
        <v/>
      </c>
      <c r="W998" s="1">
        <f>SUM(Energy_data_1990___2020[[#This Row],[Coal and lignite production (Mt)]]-Energy_data_1990___2020[[#This Row],[Coal and lignite domestic consumption (Mt)]])</f>
        <v>-35.369</v>
      </c>
    </row>
    <row r="999" spans="1:23">
      <c r="A999" t="s">
        <v>62</v>
      </c>
      <c r="B999">
        <v>1995</v>
      </c>
      <c r="C999" t="s">
        <v>28</v>
      </c>
      <c r="D999">
        <v>371.88794419999999</v>
      </c>
      <c r="E999">
        <v>2.552432477</v>
      </c>
      <c r="F999">
        <v>0.47578454100000001</v>
      </c>
      <c r="G999">
        <v>22.09215502</v>
      </c>
      <c r="H999">
        <v>145.6994249</v>
      </c>
      <c r="I999">
        <v>3.1165525380000001</v>
      </c>
      <c r="J999">
        <v>12.702159760000001</v>
      </c>
      <c r="K999">
        <v>87.998999999999995</v>
      </c>
      <c r="L999">
        <v>89.463999999999999</v>
      </c>
      <c r="M999">
        <v>0</v>
      </c>
      <c r="N999">
        <v>9.2549893710000006</v>
      </c>
      <c r="O999">
        <v>0.18640435899999999</v>
      </c>
      <c r="P999">
        <v>183.857</v>
      </c>
      <c r="Q999">
        <v>163.27000000000001</v>
      </c>
      <c r="R999">
        <v>44.406999999999996</v>
      </c>
      <c r="S999">
        <v>1.0878019999999999E-3</v>
      </c>
      <c r="T999">
        <v>0</v>
      </c>
      <c r="U999">
        <v>5.72</v>
      </c>
      <c r="V999" s="1" t="str">
        <f>IF(Energy_data_1990___2020[[#This Row],[CO2 emissions from fuel combustion (MtCO2)]]&gt;Energy_data_1990___2020[[#Totals],[CO2 emissions from fuel combustion (MtCO2)]],"Above Average","")</f>
        <v/>
      </c>
      <c r="W999" s="1">
        <f>SUM(Energy_data_1990___2020[[#This Row],[Coal and lignite production (Mt)]]-Energy_data_1990___2020[[#This Row],[Coal and lignite domestic consumption (Mt)]])</f>
        <v>-38.686999999999998</v>
      </c>
    </row>
    <row r="1000" spans="1:23">
      <c r="A1000" t="s">
        <v>62</v>
      </c>
      <c r="B1000">
        <v>1996</v>
      </c>
      <c r="C1000" t="s">
        <v>28</v>
      </c>
      <c r="D1000">
        <v>395.51029629999999</v>
      </c>
      <c r="E1000">
        <v>2.5007321870000001</v>
      </c>
      <c r="F1000">
        <v>0.47029018299999997</v>
      </c>
      <c r="G1000">
        <v>23.3635132</v>
      </c>
      <c r="H1000">
        <v>158.15779800000001</v>
      </c>
      <c r="I1000">
        <v>2.730034764</v>
      </c>
      <c r="J1000">
        <v>13.327257960000001</v>
      </c>
      <c r="K1000">
        <v>90.76</v>
      </c>
      <c r="L1000">
        <v>100.163</v>
      </c>
      <c r="M1000">
        <v>0</v>
      </c>
      <c r="N1000">
        <v>12.228008000000001</v>
      </c>
      <c r="O1000">
        <v>0.18806099500000001</v>
      </c>
      <c r="P1000">
        <v>205.38200000000001</v>
      </c>
      <c r="Q1000">
        <v>182.47</v>
      </c>
      <c r="R1000">
        <v>50.325000000000003</v>
      </c>
      <c r="S1000">
        <v>1.4606930000000001E-3</v>
      </c>
      <c r="T1000">
        <v>0</v>
      </c>
      <c r="U1000">
        <v>4.9509999999999996</v>
      </c>
      <c r="V1000" s="1" t="str">
        <f>IF(Energy_data_1990___2020[[#This Row],[CO2 emissions from fuel combustion (MtCO2)]]&gt;Energy_data_1990___2020[[#Totals],[CO2 emissions from fuel combustion (MtCO2)]],"Above Average","")</f>
        <v/>
      </c>
      <c r="W1000" s="1">
        <f>SUM(Energy_data_1990___2020[[#This Row],[Coal and lignite production (Mt)]]-Energy_data_1990___2020[[#This Row],[Coal and lignite domestic consumption (Mt)]])</f>
        <v>-45.374000000000002</v>
      </c>
    </row>
    <row r="1001" spans="1:23">
      <c r="A1001" t="s">
        <v>62</v>
      </c>
      <c r="B1001">
        <v>1997</v>
      </c>
      <c r="C1001" t="s">
        <v>28</v>
      </c>
      <c r="D1001">
        <v>418.40879269999999</v>
      </c>
      <c r="E1001">
        <v>2.4282953960000002</v>
      </c>
      <c r="F1001">
        <v>0.469701545</v>
      </c>
      <c r="G1001">
        <v>24.80204316</v>
      </c>
      <c r="H1001">
        <v>172.3055578</v>
      </c>
      <c r="I1001">
        <v>2.4409890339999998</v>
      </c>
      <c r="J1001">
        <v>13.81041467</v>
      </c>
      <c r="K1001">
        <v>96.762</v>
      </c>
      <c r="L1001">
        <v>120.97199999999999</v>
      </c>
      <c r="M1001">
        <v>0</v>
      </c>
      <c r="N1001">
        <v>14.858987490000001</v>
      </c>
      <c r="O1001">
        <v>0.193428504</v>
      </c>
      <c r="P1001">
        <v>224.70400000000001</v>
      </c>
      <c r="Q1001">
        <v>200.78299999999999</v>
      </c>
      <c r="R1001">
        <v>53.957000000000001</v>
      </c>
      <c r="S1001">
        <v>1.7801200000000001E-3</v>
      </c>
      <c r="T1001">
        <v>0.47</v>
      </c>
      <c r="U1001">
        <v>4.5140000000000002</v>
      </c>
      <c r="V1001" s="1" t="str">
        <f>IF(Energy_data_1990___2020[[#This Row],[CO2 emissions from fuel combustion (MtCO2)]]&gt;Energy_data_1990___2020[[#Totals],[CO2 emissions from fuel combustion (MtCO2)]],"Above Average","")</f>
        <v/>
      </c>
      <c r="W1001" s="1">
        <f>SUM(Energy_data_1990___2020[[#This Row],[Coal and lignite production (Mt)]]-Energy_data_1990___2020[[#This Row],[Coal and lignite domestic consumption (Mt)]])</f>
        <v>-49.442999999999998</v>
      </c>
    </row>
    <row r="1002" spans="1:23">
      <c r="A1002" t="s">
        <v>62</v>
      </c>
      <c r="B1002">
        <v>1998</v>
      </c>
      <c r="C1002" t="s">
        <v>28</v>
      </c>
      <c r="D1002">
        <v>361.09181849999999</v>
      </c>
      <c r="E1002">
        <v>2.2913461700000002</v>
      </c>
      <c r="F1002">
        <v>0.42881974899999997</v>
      </c>
      <c r="G1002">
        <v>28.324764399999999</v>
      </c>
      <c r="H1002">
        <v>157.58937839999999</v>
      </c>
      <c r="I1002">
        <v>2.828504422</v>
      </c>
      <c r="J1002">
        <v>14.69507269</v>
      </c>
      <c r="K1002">
        <v>79.444999999999993</v>
      </c>
      <c r="L1002">
        <v>113.96299999999999</v>
      </c>
      <c r="M1002">
        <v>0</v>
      </c>
      <c r="N1002">
        <v>13.89998776</v>
      </c>
      <c r="O1002">
        <v>0.18714751800000001</v>
      </c>
      <c r="P1002">
        <v>217.88900000000001</v>
      </c>
      <c r="Q1002">
        <v>193.47</v>
      </c>
      <c r="R1002">
        <v>55.905000000000001</v>
      </c>
      <c r="S1002">
        <v>2.7536959999999999E-3</v>
      </c>
      <c r="T1002">
        <v>0.39100000000000001</v>
      </c>
      <c r="U1002">
        <v>4.3609999999999998</v>
      </c>
      <c r="V1002" s="1" t="str">
        <f>IF(Energy_data_1990___2020[[#This Row],[CO2 emissions from fuel combustion (MtCO2)]]&gt;Energy_data_1990___2020[[#Totals],[CO2 emissions from fuel combustion (MtCO2)]],"Above Average","")</f>
        <v/>
      </c>
      <c r="W1002" s="1">
        <f>SUM(Energy_data_1990___2020[[#This Row],[Coal and lignite production (Mt)]]-Energy_data_1990___2020[[#This Row],[Coal and lignite domestic consumption (Mt)]])</f>
        <v>-51.544000000000004</v>
      </c>
    </row>
    <row r="1003" spans="1:23">
      <c r="A1003" t="s">
        <v>62</v>
      </c>
      <c r="B1003">
        <v>1999</v>
      </c>
      <c r="C1003" t="s">
        <v>28</v>
      </c>
      <c r="D1003">
        <v>394.93746010000001</v>
      </c>
      <c r="E1003">
        <v>2.2634439710000001</v>
      </c>
      <c r="F1003">
        <v>0.421363249</v>
      </c>
      <c r="G1003">
        <v>32.234092019999999</v>
      </c>
      <c r="H1003">
        <v>174.48519379999999</v>
      </c>
      <c r="I1003">
        <v>2.5953356379999999</v>
      </c>
      <c r="J1003">
        <v>14.73773664</v>
      </c>
      <c r="K1003">
        <v>86.697999999999993</v>
      </c>
      <c r="L1003">
        <v>120.349</v>
      </c>
      <c r="M1003">
        <v>0</v>
      </c>
      <c r="N1003">
        <v>16.926018490000001</v>
      </c>
      <c r="O1003">
        <v>0.18616023000000001</v>
      </c>
      <c r="P1003">
        <v>237.50299999999999</v>
      </c>
      <c r="Q1003">
        <v>214.215</v>
      </c>
      <c r="R1003">
        <v>59.152999999999999</v>
      </c>
      <c r="S1003">
        <v>4.6315200000000001E-3</v>
      </c>
      <c r="T1003">
        <v>0.44600000000000001</v>
      </c>
      <c r="U1003">
        <v>4.1970000000000001</v>
      </c>
      <c r="V1003" s="1" t="str">
        <f>IF(Energy_data_1990___2020[[#This Row],[CO2 emissions from fuel combustion (MtCO2)]]&gt;Energy_data_1990___2020[[#Totals],[CO2 emissions from fuel combustion (MtCO2)]],"Above Average","")</f>
        <v/>
      </c>
      <c r="W1003" s="1">
        <f>SUM(Energy_data_1990___2020[[#This Row],[Coal and lignite production (Mt)]]-Energy_data_1990___2020[[#This Row],[Coal and lignite domestic consumption (Mt)]])</f>
        <v>-54.955999999999996</v>
      </c>
    </row>
    <row r="1004" spans="1:23">
      <c r="A1004" t="s">
        <v>62</v>
      </c>
      <c r="B1004">
        <v>2000</v>
      </c>
      <c r="C1004" t="s">
        <v>28</v>
      </c>
      <c r="D1004">
        <v>446.53011099999998</v>
      </c>
      <c r="E1004">
        <v>2.3490024530000002</v>
      </c>
      <c r="F1004">
        <v>0.43737483900000002</v>
      </c>
      <c r="G1004">
        <v>36.37663165</v>
      </c>
      <c r="H1004">
        <v>190.09350559999999</v>
      </c>
      <c r="I1004">
        <v>1.968455085</v>
      </c>
      <c r="J1004">
        <v>16.811856850000002</v>
      </c>
      <c r="K1004">
        <v>89.501000000000005</v>
      </c>
      <c r="L1004">
        <v>122</v>
      </c>
      <c r="M1004">
        <v>0</v>
      </c>
      <c r="N1004">
        <v>18.93198864</v>
      </c>
      <c r="O1004">
        <v>0.18619599100000001</v>
      </c>
      <c r="P1004">
        <v>290.12599999999998</v>
      </c>
      <c r="Q1004">
        <v>263.12200000000001</v>
      </c>
      <c r="R1004">
        <v>71.843999999999994</v>
      </c>
      <c r="S1004">
        <v>7.5829119999999998E-3</v>
      </c>
      <c r="T1004">
        <v>0.67</v>
      </c>
      <c r="U1004">
        <v>8.3000000000000007</v>
      </c>
      <c r="V1004" s="1" t="str">
        <f>IF(Energy_data_1990___2020[[#This Row],[CO2 emissions from fuel combustion (MtCO2)]]&gt;Energy_data_1990___2020[[#Totals],[CO2 emissions from fuel combustion (MtCO2)]],"Above Average","")</f>
        <v/>
      </c>
      <c r="W1004" s="1">
        <f>SUM(Energy_data_1990___2020[[#This Row],[Coal and lignite production (Mt)]]-Energy_data_1990___2020[[#This Row],[Coal and lignite domestic consumption (Mt)]])</f>
        <v>-63.543999999999997</v>
      </c>
    </row>
    <row r="1005" spans="1:23">
      <c r="A1005" t="s">
        <v>62</v>
      </c>
      <c r="B1005">
        <v>2001</v>
      </c>
      <c r="C1005" t="s">
        <v>28</v>
      </c>
      <c r="D1005">
        <v>464.09309259999998</v>
      </c>
      <c r="E1005">
        <v>2.3999786040000002</v>
      </c>
      <c r="F1005">
        <v>0.43489728799999999</v>
      </c>
      <c r="G1005">
        <v>37.25559166</v>
      </c>
      <c r="H1005">
        <v>193.3738458</v>
      </c>
      <c r="I1005">
        <v>1.9549263889999999</v>
      </c>
      <c r="J1005">
        <v>17.59564743</v>
      </c>
      <c r="K1005">
        <v>89.272000000000006</v>
      </c>
      <c r="L1005">
        <v>119.208</v>
      </c>
      <c r="M1005">
        <v>0</v>
      </c>
      <c r="N1005">
        <v>20.879982729999998</v>
      </c>
      <c r="O1005">
        <v>0.18120881899999999</v>
      </c>
      <c r="P1005">
        <v>310.95800000000003</v>
      </c>
      <c r="Q1005">
        <v>281.572</v>
      </c>
      <c r="R1005">
        <v>77.838999999999999</v>
      </c>
      <c r="S1005">
        <v>6.11015E-3</v>
      </c>
      <c r="T1005">
        <v>0.57199999999999995</v>
      </c>
      <c r="U1005">
        <v>7.6340000000000003</v>
      </c>
      <c r="V1005" s="1" t="str">
        <f>IF(Energy_data_1990___2020[[#This Row],[CO2 emissions from fuel combustion (MtCO2)]]&gt;Energy_data_1990___2020[[#Totals],[CO2 emissions from fuel combustion (MtCO2)]],"Above Average","")</f>
        <v/>
      </c>
      <c r="W1005" s="1">
        <f>SUM(Energy_data_1990___2020[[#This Row],[Coal and lignite production (Mt)]]-Energy_data_1990___2020[[#This Row],[Coal and lignite domestic consumption (Mt)]])</f>
        <v>-70.204999999999998</v>
      </c>
    </row>
    <row r="1006" spans="1:23">
      <c r="A1006" t="s">
        <v>62</v>
      </c>
      <c r="B1006">
        <v>2002</v>
      </c>
      <c r="C1006" t="s">
        <v>28</v>
      </c>
      <c r="D1006">
        <v>461.84074579999998</v>
      </c>
      <c r="E1006">
        <v>2.2923548490000001</v>
      </c>
      <c r="F1006">
        <v>0.40284541699999998</v>
      </c>
      <c r="G1006">
        <v>37.661222709999997</v>
      </c>
      <c r="H1006">
        <v>201.4700062</v>
      </c>
      <c r="I1006">
        <v>1.6608312590000001</v>
      </c>
      <c r="J1006">
        <v>17.93299665</v>
      </c>
      <c r="K1006">
        <v>89.519000000000005</v>
      </c>
      <c r="L1006">
        <v>111.27</v>
      </c>
      <c r="M1006">
        <v>0</v>
      </c>
      <c r="N1006">
        <v>23.32298509</v>
      </c>
      <c r="O1006">
        <v>0.175734318</v>
      </c>
      <c r="P1006">
        <v>331.88200000000001</v>
      </c>
      <c r="Q1006">
        <v>300.786</v>
      </c>
      <c r="R1006">
        <v>74.891968390000002</v>
      </c>
      <c r="S1006">
        <v>6.6288620000000001E-3</v>
      </c>
      <c r="T1006">
        <v>0.52800000000000002</v>
      </c>
      <c r="U1006">
        <v>3.3180000000000001</v>
      </c>
      <c r="V1006" s="1" t="str">
        <f>IF(Energy_data_1990___2020[[#This Row],[CO2 emissions from fuel combustion (MtCO2)]]&gt;Energy_data_1990___2020[[#Totals],[CO2 emissions from fuel combustion (MtCO2)]],"Above Average","")</f>
        <v/>
      </c>
      <c r="W1006" s="1">
        <f>SUM(Energy_data_1990___2020[[#This Row],[Coal and lignite production (Mt)]]-Energy_data_1990___2020[[#This Row],[Coal and lignite domestic consumption (Mt)]])</f>
        <v>-71.573968390000005</v>
      </c>
    </row>
    <row r="1007" spans="1:23">
      <c r="A1007" t="s">
        <v>62</v>
      </c>
      <c r="B1007">
        <v>2003</v>
      </c>
      <c r="C1007" t="s">
        <v>28</v>
      </c>
      <c r="D1007">
        <v>464.85050239999998</v>
      </c>
      <c r="E1007">
        <v>2.2586121760000002</v>
      </c>
      <c r="F1007">
        <v>0.39391628499999998</v>
      </c>
      <c r="G1007">
        <v>41.056479830000001</v>
      </c>
      <c r="H1007">
        <v>205.8124487</v>
      </c>
      <c r="I1007">
        <v>2.0637789980000001</v>
      </c>
      <c r="J1007">
        <v>18.59337524</v>
      </c>
      <c r="K1007">
        <v>90.006</v>
      </c>
      <c r="L1007">
        <v>110.59399999999999</v>
      </c>
      <c r="M1007">
        <v>0</v>
      </c>
      <c r="N1007">
        <v>24.30198412</v>
      </c>
      <c r="O1007">
        <v>0.17440634099999999</v>
      </c>
      <c r="P1007">
        <v>345.19200000000001</v>
      </c>
      <c r="Q1007">
        <v>318.06200000000001</v>
      </c>
      <c r="R1007">
        <v>79.619031609999993</v>
      </c>
      <c r="S1007">
        <v>9.5598969999999995E-3</v>
      </c>
      <c r="T1007">
        <v>0.499</v>
      </c>
      <c r="U1007">
        <v>3.298</v>
      </c>
      <c r="V1007" s="1" t="str">
        <f>IF(Energy_data_1990___2020[[#This Row],[CO2 emissions from fuel combustion (MtCO2)]]&gt;Energy_data_1990___2020[[#Totals],[CO2 emissions from fuel combustion (MtCO2)]],"Above Average","")</f>
        <v/>
      </c>
      <c r="W1007" s="1">
        <f>SUM(Energy_data_1990___2020[[#This Row],[Coal and lignite production (Mt)]]-Energy_data_1990___2020[[#This Row],[Coal and lignite domestic consumption (Mt)]])</f>
        <v>-76.321031609999991</v>
      </c>
    </row>
    <row r="1008" spans="1:23">
      <c r="A1008" t="s">
        <v>62</v>
      </c>
      <c r="B1008">
        <v>2004</v>
      </c>
      <c r="C1008" t="s">
        <v>28</v>
      </c>
      <c r="D1008">
        <v>487.68005099999999</v>
      </c>
      <c r="E1008">
        <v>2.2985356609999998</v>
      </c>
      <c r="F1008">
        <v>0.39395878899999998</v>
      </c>
      <c r="G1008">
        <v>42.151639490000001</v>
      </c>
      <c r="H1008">
        <v>212.16988670000001</v>
      </c>
      <c r="I1008">
        <v>1.6788804930000001</v>
      </c>
      <c r="J1008">
        <v>19.539873119999999</v>
      </c>
      <c r="K1008">
        <v>88.338999999999999</v>
      </c>
      <c r="L1008">
        <v>116.117</v>
      </c>
      <c r="M1008">
        <v>0</v>
      </c>
      <c r="N1008">
        <v>28.64999736</v>
      </c>
      <c r="O1008">
        <v>0.17139555200000001</v>
      </c>
      <c r="P1008">
        <v>368.16199999999998</v>
      </c>
      <c r="Q1008">
        <v>337.93799999999999</v>
      </c>
      <c r="R1008">
        <v>80.924968849999999</v>
      </c>
      <c r="S1008">
        <v>1.5482315E-2</v>
      </c>
      <c r="T1008">
        <v>0.437</v>
      </c>
      <c r="U1008">
        <v>3.1909999999999998</v>
      </c>
      <c r="V1008" s="1" t="str">
        <f>IF(Energy_data_1990___2020[[#This Row],[CO2 emissions from fuel combustion (MtCO2)]]&gt;Energy_data_1990___2020[[#Totals],[CO2 emissions from fuel combustion (MtCO2)]],"Above Average","")</f>
        <v/>
      </c>
      <c r="W1008" s="1">
        <f>SUM(Energy_data_1990___2020[[#This Row],[Coal and lignite production (Mt)]]-Energy_data_1990___2020[[#This Row],[Coal and lignite domestic consumption (Mt)]])</f>
        <v>-77.733968849999997</v>
      </c>
    </row>
    <row r="1009" spans="1:23">
      <c r="A1009" t="s">
        <v>62</v>
      </c>
      <c r="B1009">
        <v>2005</v>
      </c>
      <c r="C1009" t="s">
        <v>28</v>
      </c>
      <c r="D1009">
        <v>492.73955569999998</v>
      </c>
      <c r="E1009">
        <v>2.302957079</v>
      </c>
      <c r="F1009">
        <v>0.38301759499999999</v>
      </c>
      <c r="G1009">
        <v>46.63766013</v>
      </c>
      <c r="H1009">
        <v>213.9595046</v>
      </c>
      <c r="I1009">
        <v>1.429928863</v>
      </c>
      <c r="J1009">
        <v>20.435561159999999</v>
      </c>
      <c r="K1009">
        <v>87.697999999999993</v>
      </c>
      <c r="L1009">
        <v>120.126</v>
      </c>
      <c r="M1009">
        <v>0.49200004800000002</v>
      </c>
      <c r="N1009">
        <v>30.477011919999999</v>
      </c>
      <c r="O1009">
        <v>0.166315559</v>
      </c>
      <c r="P1009">
        <v>389.39</v>
      </c>
      <c r="Q1009">
        <v>357.62700000000001</v>
      </c>
      <c r="R1009">
        <v>82.974031609999997</v>
      </c>
      <c r="S1009">
        <v>3.7237731000000003E-2</v>
      </c>
      <c r="T1009">
        <v>0.53300000000000003</v>
      </c>
      <c r="U1009">
        <v>2.8319999999999999</v>
      </c>
      <c r="V1009" s="1" t="str">
        <f>IF(Energy_data_1990___2020[[#This Row],[CO2 emissions from fuel combustion (MtCO2)]]&gt;Energy_data_1990___2020[[#Totals],[CO2 emissions from fuel combustion (MtCO2)]],"Above Average","")</f>
        <v/>
      </c>
      <c r="W1009" s="1">
        <f>SUM(Energy_data_1990___2020[[#This Row],[Coal and lignite production (Mt)]]-Energy_data_1990___2020[[#This Row],[Coal and lignite domestic consumption (Mt)]])</f>
        <v>-80.142031610000004</v>
      </c>
    </row>
    <row r="1010" spans="1:23">
      <c r="A1010" t="s">
        <v>62</v>
      </c>
      <c r="B1010">
        <v>2006</v>
      </c>
      <c r="C1010" t="s">
        <v>28</v>
      </c>
      <c r="D1010">
        <v>495.85633059999998</v>
      </c>
      <c r="E1010">
        <v>2.2766009170000001</v>
      </c>
      <c r="F1010">
        <v>0.36647121999999999</v>
      </c>
      <c r="G1010">
        <v>47.817582340000001</v>
      </c>
      <c r="H1010">
        <v>217.80555699999999</v>
      </c>
      <c r="I1010">
        <v>1.427896075</v>
      </c>
      <c r="J1010">
        <v>20.922710630000001</v>
      </c>
      <c r="K1010">
        <v>86.54</v>
      </c>
      <c r="L1010">
        <v>122.80200000000001</v>
      </c>
      <c r="M1010">
        <v>0.43800046500000001</v>
      </c>
      <c r="N1010">
        <v>32.203989569999997</v>
      </c>
      <c r="O1010">
        <v>0.16097297399999999</v>
      </c>
      <c r="P1010">
        <v>404.02100000000002</v>
      </c>
      <c r="Q1010">
        <v>371.35399999999998</v>
      </c>
      <c r="R1010">
        <v>86.015968849999993</v>
      </c>
      <c r="S1010">
        <v>6.8560792999999995E-2</v>
      </c>
      <c r="T1010">
        <v>0.56999999999999995</v>
      </c>
      <c r="U1010">
        <v>2.8239999999999998</v>
      </c>
      <c r="V1010" s="1" t="str">
        <f>IF(Energy_data_1990___2020[[#This Row],[CO2 emissions from fuel combustion (MtCO2)]]&gt;Energy_data_1990___2020[[#Totals],[CO2 emissions from fuel combustion (MtCO2)]],"Above Average","")</f>
        <v/>
      </c>
      <c r="W1010" s="1">
        <f>SUM(Energy_data_1990___2020[[#This Row],[Coal and lignite production (Mt)]]-Energy_data_1990___2020[[#This Row],[Coal and lignite domestic consumption (Mt)]])</f>
        <v>-83.191968849999995</v>
      </c>
    </row>
    <row r="1011" spans="1:23">
      <c r="A1011" t="s">
        <v>62</v>
      </c>
      <c r="B1011">
        <v>2007</v>
      </c>
      <c r="C1011" t="s">
        <v>28</v>
      </c>
      <c r="D1011">
        <v>517.02605430000006</v>
      </c>
      <c r="E1011">
        <v>2.2802700730000001</v>
      </c>
      <c r="F1011">
        <v>0.36232198599999998</v>
      </c>
      <c r="G1011">
        <v>47.104480539999997</v>
      </c>
      <c r="H1011">
        <v>226.73895540000001</v>
      </c>
      <c r="I1011">
        <v>1.396624512</v>
      </c>
      <c r="J1011">
        <v>21.23363535</v>
      </c>
      <c r="K1011">
        <v>89.435000000000002</v>
      </c>
      <c r="L1011">
        <v>123.003</v>
      </c>
      <c r="M1011">
        <v>0.353999693</v>
      </c>
      <c r="N1011">
        <v>34.851988179999999</v>
      </c>
      <c r="O1011">
        <v>0.15889433</v>
      </c>
      <c r="P1011">
        <v>427.31599999999997</v>
      </c>
      <c r="Q1011">
        <v>392.65600000000001</v>
      </c>
      <c r="R1011">
        <v>93.128</v>
      </c>
      <c r="S1011">
        <v>0.106244559</v>
      </c>
      <c r="T1011">
        <v>0.57999999999999996</v>
      </c>
      <c r="U1011">
        <v>2.8860000000000001</v>
      </c>
      <c r="V1011" s="1" t="str">
        <f>IF(Energy_data_1990___2020[[#This Row],[CO2 emissions from fuel combustion (MtCO2)]]&gt;Energy_data_1990___2020[[#Totals],[CO2 emissions from fuel combustion (MtCO2)]],"Above Average","")</f>
        <v/>
      </c>
      <c r="W1011" s="1">
        <f>SUM(Energy_data_1990___2020[[#This Row],[Coal and lignite production (Mt)]]-Energy_data_1990___2020[[#This Row],[Coal and lignite domestic consumption (Mt)]])</f>
        <v>-90.242000000000004</v>
      </c>
    </row>
    <row r="1012" spans="1:23">
      <c r="A1012" t="s">
        <v>62</v>
      </c>
      <c r="B1012">
        <v>2008</v>
      </c>
      <c r="C1012" t="s">
        <v>28</v>
      </c>
      <c r="D1012">
        <v>530.31917469999996</v>
      </c>
      <c r="E1012">
        <v>2.286158919</v>
      </c>
      <c r="F1012">
        <v>0.36141238799999997</v>
      </c>
      <c r="G1012">
        <v>49.603420640000003</v>
      </c>
      <c r="H1012">
        <v>231.9695146</v>
      </c>
      <c r="I1012">
        <v>1.5386545229999999</v>
      </c>
      <c r="J1012">
        <v>21.595201329999998</v>
      </c>
      <c r="K1012">
        <v>84.387</v>
      </c>
      <c r="L1012">
        <v>120.336</v>
      </c>
      <c r="M1012">
        <v>0.21700018400000001</v>
      </c>
      <c r="N1012">
        <v>35.830985849999998</v>
      </c>
      <c r="O1012">
        <v>0.158087167</v>
      </c>
      <c r="P1012">
        <v>446.42899999999997</v>
      </c>
      <c r="Q1012">
        <v>408.04199999999997</v>
      </c>
      <c r="R1012">
        <v>103.7160312</v>
      </c>
      <c r="S1012">
        <v>0.16598384099999999</v>
      </c>
      <c r="T1012">
        <v>0.53600000000000003</v>
      </c>
      <c r="U1012">
        <v>2.7730000000000001</v>
      </c>
      <c r="V1012" s="1" t="str">
        <f>IF(Energy_data_1990___2020[[#This Row],[CO2 emissions from fuel combustion (MtCO2)]]&gt;Energy_data_1990___2020[[#Totals],[CO2 emissions from fuel combustion (MtCO2)]],"Above Average","")</f>
        <v/>
      </c>
      <c r="W1012" s="1">
        <f>SUM(Energy_data_1990___2020[[#This Row],[Coal and lignite production (Mt)]]-Energy_data_1990___2020[[#This Row],[Coal and lignite domestic consumption (Mt)]])</f>
        <v>-100.94303120000001</v>
      </c>
    </row>
    <row r="1013" spans="1:23">
      <c r="A1013" t="s">
        <v>62</v>
      </c>
      <c r="B1013">
        <v>2009</v>
      </c>
      <c r="C1013" t="s">
        <v>28</v>
      </c>
      <c r="D1013">
        <v>542.28920540000001</v>
      </c>
      <c r="E1013">
        <v>2.3142451799999999</v>
      </c>
      <c r="F1013">
        <v>0.36697358600000002</v>
      </c>
      <c r="G1013">
        <v>49.390214579999999</v>
      </c>
      <c r="H1013">
        <v>234.3266003</v>
      </c>
      <c r="I1013">
        <v>1.6534507949999999</v>
      </c>
      <c r="J1013">
        <v>21.894015</v>
      </c>
      <c r="K1013">
        <v>86.69</v>
      </c>
      <c r="L1013">
        <v>116.72199999999999</v>
      </c>
      <c r="M1013">
        <v>0.50099988699999998</v>
      </c>
      <c r="N1013">
        <v>34.412988300000002</v>
      </c>
      <c r="O1013">
        <v>0.158571611</v>
      </c>
      <c r="P1013">
        <v>454.50400000000002</v>
      </c>
      <c r="Q1013">
        <v>414.69</v>
      </c>
      <c r="R1013">
        <v>107.657</v>
      </c>
      <c r="S1013">
        <v>0.29482688800000001</v>
      </c>
      <c r="T1013">
        <v>0.69099999999999995</v>
      </c>
      <c r="U1013">
        <v>2.5190000000000001</v>
      </c>
      <c r="V1013" s="1" t="str">
        <f>IF(Energy_data_1990___2020[[#This Row],[CO2 emissions from fuel combustion (MtCO2)]]&gt;Energy_data_1990___2020[[#Totals],[CO2 emissions from fuel combustion (MtCO2)]],"Above Average","")</f>
        <v/>
      </c>
      <c r="W1013" s="1">
        <f>SUM(Energy_data_1990___2020[[#This Row],[Coal and lignite production (Mt)]]-Energy_data_1990___2020[[#This Row],[Coal and lignite domestic consumption (Mt)]])</f>
        <v>-105.13799999999999</v>
      </c>
    </row>
    <row r="1014" spans="1:23">
      <c r="A1014" t="s">
        <v>62</v>
      </c>
      <c r="B1014">
        <v>2010</v>
      </c>
      <c r="C1014" t="s">
        <v>28</v>
      </c>
      <c r="D1014">
        <v>593.86557479999999</v>
      </c>
      <c r="E1014">
        <v>2.3234331930000001</v>
      </c>
      <c r="F1014">
        <v>0.37735965399999999</v>
      </c>
      <c r="G1014">
        <v>50.521541970000001</v>
      </c>
      <c r="H1014">
        <v>255.59830020000001</v>
      </c>
      <c r="I1014">
        <v>1.7969682170000001</v>
      </c>
      <c r="J1014">
        <v>22.50149498</v>
      </c>
      <c r="K1014">
        <v>89.320999999999998</v>
      </c>
      <c r="L1014">
        <v>120.06</v>
      </c>
      <c r="M1014">
        <v>0.54099967199999999</v>
      </c>
      <c r="N1014">
        <v>43.165024510000002</v>
      </c>
      <c r="O1014">
        <v>0.16241467800000001</v>
      </c>
      <c r="P1014">
        <v>499.50799999999998</v>
      </c>
      <c r="Q1014">
        <v>458.47300000000001</v>
      </c>
      <c r="R1014">
        <v>120.0550628</v>
      </c>
      <c r="S1014">
        <v>0.35755183099999999</v>
      </c>
      <c r="T1014">
        <v>0.69699999999999995</v>
      </c>
      <c r="U1014">
        <v>2.0840000000000001</v>
      </c>
      <c r="V1014" s="1" t="str">
        <f>IF(Energy_data_1990___2020[[#This Row],[CO2 emissions from fuel combustion (MtCO2)]]&gt;Energy_data_1990___2020[[#Totals],[CO2 emissions from fuel combustion (MtCO2)]],"Above Average","")</f>
        <v>Above Average</v>
      </c>
      <c r="W1014" s="1">
        <f>SUM(Energy_data_1990___2020[[#This Row],[Coal and lignite production (Mt)]]-Energy_data_1990___2020[[#This Row],[Coal and lignite domestic consumption (Mt)]])</f>
        <v>-117.9710628</v>
      </c>
    </row>
    <row r="1015" spans="1:23">
      <c r="A1015" t="s">
        <v>62</v>
      </c>
      <c r="B1015">
        <v>2011</v>
      </c>
      <c r="C1015" t="s">
        <v>28</v>
      </c>
      <c r="D1015">
        <v>625.59499779999999</v>
      </c>
      <c r="E1015">
        <v>2.3473321870000001</v>
      </c>
      <c r="F1015">
        <v>0.38340565999999998</v>
      </c>
      <c r="G1015">
        <v>53.027181149999997</v>
      </c>
      <c r="H1015">
        <v>266.51319369999999</v>
      </c>
      <c r="I1015">
        <v>2.0470641289999998</v>
      </c>
      <c r="J1015">
        <v>22.790839040000002</v>
      </c>
      <c r="K1015">
        <v>88.869</v>
      </c>
      <c r="L1015">
        <v>128.27600000000001</v>
      </c>
      <c r="M1015">
        <v>0.45300050800000002</v>
      </c>
      <c r="N1015">
        <v>46.460028579999999</v>
      </c>
      <c r="O1015">
        <v>0.16333677099999999</v>
      </c>
      <c r="P1015">
        <v>523.28599999999994</v>
      </c>
      <c r="Q1015">
        <v>480.95800000000003</v>
      </c>
      <c r="R1015">
        <v>129.62493720000001</v>
      </c>
      <c r="S1015">
        <v>0.39653268000000003</v>
      </c>
      <c r="T1015">
        <v>0.70599999999999996</v>
      </c>
      <c r="U1015">
        <v>2.0840000000000001</v>
      </c>
      <c r="V1015" s="1" t="str">
        <f>IF(Energy_data_1990___2020[[#This Row],[CO2 emissions from fuel combustion (MtCO2)]]&gt;Energy_data_1990___2020[[#Totals],[CO2 emissions from fuel combustion (MtCO2)]],"Above Average","")</f>
        <v>Above Average</v>
      </c>
      <c r="W1015" s="1">
        <f>SUM(Energy_data_1990___2020[[#This Row],[Coal and lignite production (Mt)]]-Energy_data_1990___2020[[#This Row],[Coal and lignite domestic consumption (Mt)]])</f>
        <v>-127.5409372</v>
      </c>
    </row>
    <row r="1016" spans="1:23">
      <c r="A1016" t="s">
        <v>62</v>
      </c>
      <c r="B1016">
        <v>2012</v>
      </c>
      <c r="C1016" t="s">
        <v>28</v>
      </c>
      <c r="D1016">
        <v>630.84081419999995</v>
      </c>
      <c r="E1016">
        <v>2.3320085119999998</v>
      </c>
      <c r="F1016">
        <v>0.37795637700000001</v>
      </c>
      <c r="G1016">
        <v>53.297158789999997</v>
      </c>
      <c r="H1016">
        <v>270.51394149999999</v>
      </c>
      <c r="I1016">
        <v>2.015644816</v>
      </c>
      <c r="J1016">
        <v>22.64597826</v>
      </c>
      <c r="K1016">
        <v>92.141999999999996</v>
      </c>
      <c r="L1016">
        <v>131.89699999999999</v>
      </c>
      <c r="M1016">
        <v>0.436</v>
      </c>
      <c r="N1016">
        <v>50.222038159999997</v>
      </c>
      <c r="O1016">
        <v>0.16207332599999999</v>
      </c>
      <c r="P1016">
        <v>534.61800000000005</v>
      </c>
      <c r="Q1016">
        <v>492.56799999999998</v>
      </c>
      <c r="R1016">
        <v>128.03224449999999</v>
      </c>
      <c r="S1016">
        <v>0.45078916200000002</v>
      </c>
      <c r="T1016">
        <v>0.71699999999999997</v>
      </c>
      <c r="U1016">
        <v>2.0939999999999999</v>
      </c>
      <c r="V1016" s="1" t="str">
        <f>IF(Energy_data_1990___2020[[#This Row],[CO2 emissions from fuel combustion (MtCO2)]]&gt;Energy_data_1990___2020[[#Totals],[CO2 emissions from fuel combustion (MtCO2)]],"Above Average","")</f>
        <v>Above Average</v>
      </c>
      <c r="W1016" s="1">
        <f>SUM(Energy_data_1990___2020[[#This Row],[Coal and lignite production (Mt)]]-Energy_data_1990___2020[[#This Row],[Coal and lignite domestic consumption (Mt)]])</f>
        <v>-125.9382445</v>
      </c>
    </row>
    <row r="1017" spans="1:23">
      <c r="A1017" t="s">
        <v>62</v>
      </c>
      <c r="B1017">
        <v>2013</v>
      </c>
      <c r="C1017" t="s">
        <v>28</v>
      </c>
      <c r="D1017">
        <v>628.15813879999996</v>
      </c>
      <c r="E1017">
        <v>2.3136346460000001</v>
      </c>
      <c r="F1017">
        <v>0.36575605700000002</v>
      </c>
      <c r="G1017">
        <v>51.275222120000002</v>
      </c>
      <c r="H1017">
        <v>271.50273700000002</v>
      </c>
      <c r="I1017">
        <v>2.3778773279999998</v>
      </c>
      <c r="J1017">
        <v>22.566035580000001</v>
      </c>
      <c r="K1017">
        <v>92.335999999999999</v>
      </c>
      <c r="L1017">
        <v>127.09399999999999</v>
      </c>
      <c r="M1017">
        <v>0.46300044800000001</v>
      </c>
      <c r="N1017">
        <v>52.558960740000003</v>
      </c>
      <c r="O1017">
        <v>0.158087215</v>
      </c>
      <c r="P1017">
        <v>541.99599999999998</v>
      </c>
      <c r="Q1017">
        <v>498.16199999999998</v>
      </c>
      <c r="R1017">
        <v>126.044065</v>
      </c>
      <c r="S1017">
        <v>0.70424874000000004</v>
      </c>
      <c r="T1017">
        <v>0.60399999999999998</v>
      </c>
      <c r="U1017">
        <v>1.8149999999999999</v>
      </c>
      <c r="V1017" s="1" t="str">
        <f>IF(Energy_data_1990___2020[[#This Row],[CO2 emissions from fuel combustion (MtCO2)]]&gt;Energy_data_1990___2020[[#Totals],[CO2 emissions from fuel combustion (MtCO2)]],"Above Average","")</f>
        <v>Above Average</v>
      </c>
      <c r="W1017" s="1">
        <f>SUM(Energy_data_1990___2020[[#This Row],[Coal and lignite production (Mt)]]-Energy_data_1990___2020[[#This Row],[Coal and lignite domestic consumption (Mt)]])</f>
        <v>-124.22906500000001</v>
      </c>
    </row>
    <row r="1018" spans="1:23">
      <c r="A1018" t="s">
        <v>62</v>
      </c>
      <c r="B1018">
        <v>2014</v>
      </c>
      <c r="C1018" t="s">
        <v>28</v>
      </c>
      <c r="D1018">
        <v>624.28740300000004</v>
      </c>
      <c r="E1018">
        <v>2.2551900890000001</v>
      </c>
      <c r="F1018">
        <v>0.35174875300000003</v>
      </c>
      <c r="G1018">
        <v>57.526130080000001</v>
      </c>
      <c r="H1018">
        <v>276.82251980000001</v>
      </c>
      <c r="I1018">
        <v>2.4723469599999999</v>
      </c>
      <c r="J1018">
        <v>22.28504423</v>
      </c>
      <c r="K1018">
        <v>92.944000000000003</v>
      </c>
      <c r="L1018">
        <v>129.26</v>
      </c>
      <c r="M1018">
        <v>0.32200035999999999</v>
      </c>
      <c r="N1018">
        <v>47.396966040000002</v>
      </c>
      <c r="O1018">
        <v>0.155972995</v>
      </c>
      <c r="P1018">
        <v>550.93399999999997</v>
      </c>
      <c r="Q1018">
        <v>499.04599999999999</v>
      </c>
      <c r="R1018">
        <v>130.8947201</v>
      </c>
      <c r="S1018">
        <v>0.93259809699999996</v>
      </c>
      <c r="T1018">
        <v>0.78200000000000003</v>
      </c>
      <c r="U1018">
        <v>1.748</v>
      </c>
      <c r="V1018" s="1" t="str">
        <f>IF(Energy_data_1990___2020[[#This Row],[CO2 emissions from fuel combustion (MtCO2)]]&gt;Energy_data_1990___2020[[#Totals],[CO2 emissions from fuel combustion (MtCO2)]],"Above Average","")</f>
        <v>Above Average</v>
      </c>
      <c r="W1018" s="1">
        <f>SUM(Energy_data_1990___2020[[#This Row],[Coal and lignite production (Mt)]]-Energy_data_1990___2020[[#This Row],[Coal and lignite domestic consumption (Mt)]])</f>
        <v>-129.14672010000001</v>
      </c>
    </row>
    <row r="1019" spans="1:23">
      <c r="A1019" t="s">
        <v>62</v>
      </c>
      <c r="B1019">
        <v>2015</v>
      </c>
      <c r="C1019" t="s">
        <v>28</v>
      </c>
      <c r="D1019">
        <v>638.43309239999996</v>
      </c>
      <c r="E1019">
        <v>2.2558917859999998</v>
      </c>
      <c r="F1019">
        <v>0.34995444999999997</v>
      </c>
      <c r="G1019">
        <v>61.735653970000001</v>
      </c>
      <c r="H1019">
        <v>283.00696699999997</v>
      </c>
      <c r="I1019">
        <v>2.5858653110000001</v>
      </c>
      <c r="J1019">
        <v>21.99253813</v>
      </c>
      <c r="K1019">
        <v>97.742999999999995</v>
      </c>
      <c r="L1019">
        <v>140.34800000000001</v>
      </c>
      <c r="M1019">
        <v>0.18799998100000001</v>
      </c>
      <c r="N1019">
        <v>44.321973759999999</v>
      </c>
      <c r="O1019">
        <v>0.15512909499999999</v>
      </c>
      <c r="P1019">
        <v>552.697</v>
      </c>
      <c r="Q1019">
        <v>506.64499999999998</v>
      </c>
      <c r="R1019">
        <v>135.01205859999999</v>
      </c>
      <c r="S1019">
        <v>1.2491473630000001</v>
      </c>
      <c r="T1019">
        <v>0.65800000000000003</v>
      </c>
      <c r="U1019">
        <v>1.764</v>
      </c>
      <c r="V1019" s="1" t="str">
        <f>IF(Energy_data_1990___2020[[#This Row],[CO2 emissions from fuel combustion (MtCO2)]]&gt;Energy_data_1990___2020[[#Totals],[CO2 emissions from fuel combustion (MtCO2)]],"Above Average","")</f>
        <v>Above Average</v>
      </c>
      <c r="W1019" s="1">
        <f>SUM(Energy_data_1990___2020[[#This Row],[Coal and lignite production (Mt)]]-Energy_data_1990___2020[[#This Row],[Coal and lignite domestic consumption (Mt)]])</f>
        <v>-133.24805859999998</v>
      </c>
    </row>
    <row r="1020" spans="1:23">
      <c r="A1020" t="s">
        <v>62</v>
      </c>
      <c r="B1020">
        <v>2016</v>
      </c>
      <c r="C1020" t="s">
        <v>28</v>
      </c>
      <c r="D1020">
        <v>655.90029890000005</v>
      </c>
      <c r="E1020">
        <v>2.2359054359999999</v>
      </c>
      <c r="F1020">
        <v>0.349297052</v>
      </c>
      <c r="G1020">
        <v>62.376744260000002</v>
      </c>
      <c r="H1020">
        <v>293.3488547</v>
      </c>
      <c r="I1020">
        <v>3.4964264319999998</v>
      </c>
      <c r="J1020">
        <v>22.28010016</v>
      </c>
      <c r="K1020">
        <v>102.239</v>
      </c>
      <c r="L1020">
        <v>146.37700000000001</v>
      </c>
      <c r="M1020">
        <v>0.15399990899999999</v>
      </c>
      <c r="N1020">
        <v>47.024044689999997</v>
      </c>
      <c r="O1020">
        <v>0.15622174599999999</v>
      </c>
      <c r="P1020">
        <v>562.60299999999995</v>
      </c>
      <c r="Q1020">
        <v>530.14200000000005</v>
      </c>
      <c r="R1020">
        <v>134.95803119999999</v>
      </c>
      <c r="S1020">
        <v>1.5012362180000001</v>
      </c>
      <c r="T1020">
        <v>0.68899999999999995</v>
      </c>
      <c r="U1020">
        <v>1.726</v>
      </c>
      <c r="V1020" s="1" t="str">
        <f>IF(Energy_data_1990___2020[[#This Row],[CO2 emissions from fuel combustion (MtCO2)]]&gt;Energy_data_1990___2020[[#Totals],[CO2 emissions from fuel combustion (MtCO2)]],"Above Average","")</f>
        <v>Above Average</v>
      </c>
      <c r="W1020" s="1">
        <f>SUM(Energy_data_1990___2020[[#This Row],[Coal and lignite production (Mt)]]-Energy_data_1990___2020[[#This Row],[Coal and lignite domestic consumption (Mt)]])</f>
        <v>-133.23203119999999</v>
      </c>
    </row>
    <row r="1021" spans="1:23">
      <c r="A1021" t="s">
        <v>62</v>
      </c>
      <c r="B1021">
        <v>2017</v>
      </c>
      <c r="C1021" t="s">
        <v>28</v>
      </c>
      <c r="D1021">
        <v>665.3422564</v>
      </c>
      <c r="E1021">
        <v>2.2550458199999999</v>
      </c>
      <c r="F1021">
        <v>0.34379566299999997</v>
      </c>
      <c r="G1021">
        <v>61.898581980000003</v>
      </c>
      <c r="H1021">
        <v>295.0460033</v>
      </c>
      <c r="I1021">
        <v>4.0233007369999996</v>
      </c>
      <c r="J1021">
        <v>21.84219998</v>
      </c>
      <c r="K1021">
        <v>102.942633</v>
      </c>
      <c r="L1021">
        <v>153.46199999999999</v>
      </c>
      <c r="M1021">
        <v>0.34048788899999999</v>
      </c>
      <c r="N1021">
        <v>48.75451383</v>
      </c>
      <c r="O1021">
        <v>0.152456176</v>
      </c>
      <c r="P1021">
        <v>566.87957200000005</v>
      </c>
      <c r="Q1021">
        <v>538.38446099999999</v>
      </c>
      <c r="R1021">
        <v>138.46640830000001</v>
      </c>
      <c r="S1021">
        <v>1.972903691</v>
      </c>
      <c r="T1021">
        <v>0.71799999999999997</v>
      </c>
      <c r="U1021">
        <v>1.486</v>
      </c>
      <c r="V1021" s="1" t="str">
        <f>IF(Energy_data_1990___2020[[#This Row],[CO2 emissions from fuel combustion (MtCO2)]]&gt;Energy_data_1990___2020[[#Totals],[CO2 emissions from fuel combustion (MtCO2)]],"Above Average","")</f>
        <v>Above Average</v>
      </c>
      <c r="W1021" s="1">
        <f>SUM(Energy_data_1990___2020[[#This Row],[Coal and lignite production (Mt)]]-Energy_data_1990___2020[[#This Row],[Coal and lignite domestic consumption (Mt)]])</f>
        <v>-136.98040830000002</v>
      </c>
    </row>
    <row r="1022" spans="1:23">
      <c r="A1022" t="s">
        <v>62</v>
      </c>
      <c r="B1022">
        <v>2018</v>
      </c>
      <c r="C1022" t="s">
        <v>28</v>
      </c>
      <c r="D1022">
        <v>667.37589620000006</v>
      </c>
      <c r="E1022">
        <v>2.2561038070000001</v>
      </c>
      <c r="F1022">
        <v>0.33588405300000002</v>
      </c>
      <c r="G1022">
        <v>58.801914979999999</v>
      </c>
      <c r="H1022">
        <v>295.80903769999998</v>
      </c>
      <c r="I1022">
        <v>4.5647314449999996</v>
      </c>
      <c r="J1022">
        <v>22.20875938</v>
      </c>
      <c r="K1022">
        <v>99.990797999999998</v>
      </c>
      <c r="L1022">
        <v>158.50700000000001</v>
      </c>
      <c r="M1022">
        <v>0.29119700799999998</v>
      </c>
      <c r="N1022">
        <v>54.111919380000003</v>
      </c>
      <c r="O1022">
        <v>0.14887792499999999</v>
      </c>
      <c r="P1022">
        <v>590.11116700000002</v>
      </c>
      <c r="Q1022">
        <v>545.48393799999997</v>
      </c>
      <c r="R1022">
        <v>139.01012499999999</v>
      </c>
      <c r="S1022">
        <v>2.359433235</v>
      </c>
      <c r="T1022">
        <v>0.77400000000000002</v>
      </c>
      <c r="U1022">
        <v>1.1399999999999999</v>
      </c>
      <c r="V1022" s="1" t="str">
        <f>IF(Energy_data_1990___2020[[#This Row],[CO2 emissions from fuel combustion (MtCO2)]]&gt;Energy_data_1990___2020[[#Totals],[CO2 emissions from fuel combustion (MtCO2)]],"Above Average","")</f>
        <v>Above Average</v>
      </c>
      <c r="W1022" s="1">
        <f>SUM(Energy_data_1990___2020[[#This Row],[Coal and lignite production (Mt)]]-Energy_data_1990___2020[[#This Row],[Coal and lignite domestic consumption (Mt)]])</f>
        <v>-137.870125</v>
      </c>
    </row>
    <row r="1023" spans="1:23">
      <c r="A1023" t="s">
        <v>62</v>
      </c>
      <c r="B1023">
        <v>2019</v>
      </c>
      <c r="C1023" t="s">
        <v>28</v>
      </c>
      <c r="D1023">
        <v>608.42142479999995</v>
      </c>
      <c r="E1023">
        <v>2.0797284559999998</v>
      </c>
      <c r="F1023">
        <v>0.300093903</v>
      </c>
      <c r="G1023">
        <v>62.123976689999999</v>
      </c>
      <c r="H1023">
        <v>292.54849259999997</v>
      </c>
      <c r="I1023">
        <v>5.3431683889999997</v>
      </c>
      <c r="J1023">
        <v>22.26020647</v>
      </c>
      <c r="K1023">
        <v>99.685346999999993</v>
      </c>
      <c r="L1023">
        <v>157.47901429999999</v>
      </c>
      <c r="M1023">
        <v>0.24639746800000001</v>
      </c>
      <c r="N1023">
        <v>52.455993550000002</v>
      </c>
      <c r="O1023">
        <v>0.144294753</v>
      </c>
      <c r="P1023">
        <v>582.24470029999998</v>
      </c>
      <c r="Q1023">
        <v>538.37059050000005</v>
      </c>
      <c r="R1023">
        <v>131.0825141</v>
      </c>
      <c r="S1023">
        <v>3.1614248090000001</v>
      </c>
      <c r="T1023">
        <v>0.63476190499999996</v>
      </c>
      <c r="U1023">
        <v>1.0298</v>
      </c>
      <c r="V1023" s="1" t="str">
        <f>IF(Energy_data_1990___2020[[#This Row],[CO2 emissions from fuel combustion (MtCO2)]]&gt;Energy_data_1990___2020[[#Totals],[CO2 emissions from fuel combustion (MtCO2)]],"Above Average","")</f>
        <v>Above Average</v>
      </c>
      <c r="W1023" s="1">
        <f>SUM(Energy_data_1990___2020[[#This Row],[Coal and lignite production (Mt)]]-Energy_data_1990___2020[[#This Row],[Coal and lignite domestic consumption (Mt)]])</f>
        <v>-130.0527141</v>
      </c>
    </row>
    <row r="1024" spans="1:23">
      <c r="A1024" t="s">
        <v>62</v>
      </c>
      <c r="B1024">
        <v>2020</v>
      </c>
      <c r="C1024" t="s">
        <v>28</v>
      </c>
      <c r="D1024">
        <v>569.76794829999994</v>
      </c>
      <c r="E1024">
        <v>2.015087861</v>
      </c>
      <c r="F1024">
        <v>0.28386738299999997</v>
      </c>
      <c r="G1024">
        <v>67.116437540000007</v>
      </c>
      <c r="H1024">
        <v>282.75092080000002</v>
      </c>
      <c r="I1024">
        <v>7.0737981630000002</v>
      </c>
      <c r="J1024">
        <v>22.684857010000002</v>
      </c>
      <c r="K1024">
        <v>93.926855549999999</v>
      </c>
      <c r="L1024">
        <v>145.9620898</v>
      </c>
      <c r="M1024">
        <v>0.17670929599999999</v>
      </c>
      <c r="N1024">
        <v>53.030576779999997</v>
      </c>
      <c r="O1024">
        <v>0.14087097100000001</v>
      </c>
      <c r="P1024">
        <v>570.99876549999999</v>
      </c>
      <c r="Q1024">
        <v>525.53026550000004</v>
      </c>
      <c r="R1024">
        <v>114.85771819999999</v>
      </c>
      <c r="S1024">
        <v>5.1593227600000002</v>
      </c>
      <c r="T1024">
        <v>0.42180952399999999</v>
      </c>
      <c r="U1024">
        <v>0.96804999999999997</v>
      </c>
      <c r="V1024" s="1" t="str">
        <f>IF(Energy_data_1990___2020[[#This Row],[CO2 emissions from fuel combustion (MtCO2)]]&gt;Energy_data_1990___2020[[#Totals],[CO2 emissions from fuel combustion (MtCO2)]],"Above Average","")</f>
        <v>Above Average</v>
      </c>
      <c r="W1024" s="1">
        <f>SUM(Energy_data_1990___2020[[#This Row],[Coal and lignite production (Mt)]]-Energy_data_1990___2020[[#This Row],[Coal and lignite domestic consumption (Mt)]])</f>
        <v>-113.88966819999999</v>
      </c>
    </row>
    <row r="1025" spans="1:23">
      <c r="A1025" t="s">
        <v>63</v>
      </c>
      <c r="B1025">
        <v>1990</v>
      </c>
      <c r="C1025" t="s">
        <v>30</v>
      </c>
      <c r="D1025">
        <v>205.4938372</v>
      </c>
      <c r="E1025">
        <v>2.280856011</v>
      </c>
      <c r="F1025">
        <v>0.20550056799999999</v>
      </c>
      <c r="G1025">
        <v>34.61267101</v>
      </c>
      <c r="H1025">
        <v>90.095050369999996</v>
      </c>
      <c r="I1025">
        <v>17.606945620000001</v>
      </c>
      <c r="J1025">
        <v>17.554089300000001</v>
      </c>
      <c r="K1025">
        <v>43.5</v>
      </c>
      <c r="L1025">
        <v>53.084000000000003</v>
      </c>
      <c r="M1025">
        <v>1.4709987630000001</v>
      </c>
      <c r="N1025">
        <v>5.7419997220000001</v>
      </c>
      <c r="O1025">
        <v>9.0098000999999997E-2</v>
      </c>
      <c r="P1025">
        <v>151.923</v>
      </c>
      <c r="Q1025">
        <v>129.161</v>
      </c>
      <c r="R1025">
        <v>47.563000000000002</v>
      </c>
      <c r="S1025">
        <v>1.5139247999999999E-2</v>
      </c>
      <c r="T1025">
        <v>1.1439999999999999</v>
      </c>
      <c r="U1025">
        <v>0</v>
      </c>
      <c r="V1025" s="1" t="str">
        <f>IF(Energy_data_1990___2020[[#This Row],[CO2 emissions from fuel combustion (MtCO2)]]&gt;Energy_data_1990___2020[[#Totals],[CO2 emissions from fuel combustion (MtCO2)]],"Above Average","")</f>
        <v/>
      </c>
      <c r="W1025" s="1">
        <f>SUM(Energy_data_1990___2020[[#This Row],[Coal and lignite production (Mt)]]-Energy_data_1990___2020[[#This Row],[Coal and lignite domestic consumption (Mt)]])</f>
        <v>-47.563000000000002</v>
      </c>
    </row>
    <row r="1026" spans="1:23">
      <c r="A1026" t="s">
        <v>63</v>
      </c>
      <c r="B1026">
        <v>1991</v>
      </c>
      <c r="C1026" t="s">
        <v>30</v>
      </c>
      <c r="D1026">
        <v>214.2438472</v>
      </c>
      <c r="E1026">
        <v>2.2925660290000001</v>
      </c>
      <c r="F1026">
        <v>0.20893146800000001</v>
      </c>
      <c r="G1026">
        <v>34.358193030000002</v>
      </c>
      <c r="H1026">
        <v>93.451549270000001</v>
      </c>
      <c r="I1026">
        <v>18.524271349999999</v>
      </c>
      <c r="J1026">
        <v>17.248067949999999</v>
      </c>
      <c r="K1026">
        <v>45.838000000000001</v>
      </c>
      <c r="L1026">
        <v>55.079000000000001</v>
      </c>
      <c r="M1026">
        <v>1.376001391</v>
      </c>
      <c r="N1026">
        <v>6.4440030290000001</v>
      </c>
      <c r="O1026">
        <v>9.113433E-2</v>
      </c>
      <c r="P1026">
        <v>155.80099999999999</v>
      </c>
      <c r="Q1026">
        <v>132.07499999999999</v>
      </c>
      <c r="R1026">
        <v>47.72</v>
      </c>
      <c r="S1026">
        <v>1.6687955000000001E-2</v>
      </c>
      <c r="T1026">
        <v>1.4219999999999999</v>
      </c>
      <c r="U1026">
        <v>0</v>
      </c>
      <c r="V1026" s="1" t="str">
        <f>IF(Energy_data_1990___2020[[#This Row],[CO2 emissions from fuel combustion (MtCO2)]]&gt;Energy_data_1990___2020[[#Totals],[CO2 emissions from fuel combustion (MtCO2)]],"Above Average","")</f>
        <v/>
      </c>
      <c r="W1026" s="1">
        <f>SUM(Energy_data_1990___2020[[#This Row],[Coal and lignite production (Mt)]]-Energy_data_1990___2020[[#This Row],[Coal and lignite domestic consumption (Mt)]])</f>
        <v>-47.72</v>
      </c>
    </row>
    <row r="1027" spans="1:23">
      <c r="A1027" t="s">
        <v>63</v>
      </c>
      <c r="B1027">
        <v>1992</v>
      </c>
      <c r="C1027" t="s">
        <v>30</v>
      </c>
      <c r="D1027">
        <v>224.57176620000001</v>
      </c>
      <c r="E1027">
        <v>2.3591909680000001</v>
      </c>
      <c r="F1027">
        <v>0.21698702</v>
      </c>
      <c r="G1027">
        <v>33.733952109999997</v>
      </c>
      <c r="H1027">
        <v>95.190160219999996</v>
      </c>
      <c r="I1027">
        <v>13.62382026</v>
      </c>
      <c r="J1027">
        <v>17.362467819999999</v>
      </c>
      <c r="K1027">
        <v>47.661999999999999</v>
      </c>
      <c r="L1027">
        <v>56.978999999999999</v>
      </c>
      <c r="M1027">
        <v>1.2589987949999999</v>
      </c>
      <c r="N1027">
        <v>6.8089922820000002</v>
      </c>
      <c r="O1027">
        <v>9.1975182000000003E-2</v>
      </c>
      <c r="P1027">
        <v>158.72200000000001</v>
      </c>
      <c r="Q1027">
        <v>134.25200000000001</v>
      </c>
      <c r="R1027">
        <v>47.222000000000001</v>
      </c>
      <c r="S1027">
        <v>7.2453723999999997E-2</v>
      </c>
      <c r="T1027">
        <v>1.4019999999999999</v>
      </c>
      <c r="U1027">
        <v>35.682000000000002</v>
      </c>
      <c r="V1027" s="1" t="str">
        <f>IF(Energy_data_1990___2020[[#This Row],[CO2 emissions from fuel combustion (MtCO2)]]&gt;Energy_data_1990___2020[[#Totals],[CO2 emissions from fuel combustion (MtCO2)]],"Above Average","")</f>
        <v/>
      </c>
      <c r="W1027" s="1">
        <f>SUM(Energy_data_1990___2020[[#This Row],[Coal and lignite production (Mt)]]-Energy_data_1990___2020[[#This Row],[Coal and lignite domestic consumption (Mt)]])</f>
        <v>-11.54</v>
      </c>
    </row>
    <row r="1028" spans="1:23">
      <c r="A1028" t="s">
        <v>63</v>
      </c>
      <c r="B1028">
        <v>1993</v>
      </c>
      <c r="C1028" t="s">
        <v>30</v>
      </c>
      <c r="D1028">
        <v>210.7366926</v>
      </c>
      <c r="E1028">
        <v>2.3081692110000001</v>
      </c>
      <c r="F1028">
        <v>0.20574142100000001</v>
      </c>
      <c r="G1028">
        <v>32.945116489999997</v>
      </c>
      <c r="H1028">
        <v>91.300365510000006</v>
      </c>
      <c r="I1028">
        <v>16.892003930000001</v>
      </c>
      <c r="J1028">
        <v>17.739630080000001</v>
      </c>
      <c r="K1028">
        <v>45.308999999999997</v>
      </c>
      <c r="L1028">
        <v>54.491999999999997</v>
      </c>
      <c r="M1028">
        <v>0.678000088</v>
      </c>
      <c r="N1028">
        <v>6.7039975810000003</v>
      </c>
      <c r="O1028">
        <v>8.9136195000000001E-2</v>
      </c>
      <c r="P1028">
        <v>156.80199999999999</v>
      </c>
      <c r="Q1028">
        <v>134.101</v>
      </c>
      <c r="R1028">
        <v>44.527000000000001</v>
      </c>
      <c r="S1028">
        <v>8.2269359E-2</v>
      </c>
      <c r="T1028">
        <v>1.1020000000000001</v>
      </c>
      <c r="U1028">
        <v>33.561999999999998</v>
      </c>
      <c r="V1028" s="1" t="str">
        <f>IF(Energy_data_1990___2020[[#This Row],[CO2 emissions from fuel combustion (MtCO2)]]&gt;Energy_data_1990___2020[[#Totals],[CO2 emissions from fuel combustion (MtCO2)]],"Above Average","")</f>
        <v/>
      </c>
      <c r="W1028" s="1">
        <f>SUM(Energy_data_1990___2020[[#This Row],[Coal and lignite production (Mt)]]-Energy_data_1990___2020[[#This Row],[Coal and lignite domestic consumption (Mt)]])</f>
        <v>-10.965000000000003</v>
      </c>
    </row>
    <row r="1029" spans="1:23">
      <c r="A1029" t="s">
        <v>63</v>
      </c>
      <c r="B1029">
        <v>1994</v>
      </c>
      <c r="C1029" t="s">
        <v>30</v>
      </c>
      <c r="D1029">
        <v>218.9457567</v>
      </c>
      <c r="E1029">
        <v>2.272610845</v>
      </c>
      <c r="F1029">
        <v>0.208780258</v>
      </c>
      <c r="G1029">
        <v>32.251580199999999</v>
      </c>
      <c r="H1029">
        <v>96.341068309999997</v>
      </c>
      <c r="I1029">
        <v>18.54213391</v>
      </c>
      <c r="J1029">
        <v>17.700979910000001</v>
      </c>
      <c r="K1029">
        <v>48.558</v>
      </c>
      <c r="L1029">
        <v>55.564</v>
      </c>
      <c r="M1029">
        <v>0.205999765</v>
      </c>
      <c r="N1029">
        <v>7.1460080389999998</v>
      </c>
      <c r="O1029">
        <v>9.1868019999999995E-2</v>
      </c>
      <c r="P1029">
        <v>161.85300000000001</v>
      </c>
      <c r="Q1029">
        <v>139.99799999999999</v>
      </c>
      <c r="R1029">
        <v>43.195999999999998</v>
      </c>
      <c r="S1029">
        <v>0.117390472</v>
      </c>
      <c r="T1029">
        <v>0.94799999999999995</v>
      </c>
      <c r="U1029">
        <v>33.470999999999997</v>
      </c>
      <c r="V1029" s="1" t="str">
        <f>IF(Energy_data_1990___2020[[#This Row],[CO2 emissions from fuel combustion (MtCO2)]]&gt;Energy_data_1990___2020[[#Totals],[CO2 emissions from fuel combustion (MtCO2)]],"Above Average","")</f>
        <v/>
      </c>
      <c r="W1029" s="1">
        <f>SUM(Energy_data_1990___2020[[#This Row],[Coal and lignite production (Mt)]]-Energy_data_1990___2020[[#This Row],[Coal and lignite domestic consumption (Mt)]])</f>
        <v>-9.7250000000000014</v>
      </c>
    </row>
    <row r="1030" spans="1:23">
      <c r="A1030" t="s">
        <v>63</v>
      </c>
      <c r="B1030">
        <v>1995</v>
      </c>
      <c r="C1030" t="s">
        <v>30</v>
      </c>
      <c r="D1030">
        <v>231.53086949999999</v>
      </c>
      <c r="E1030">
        <v>2.2973364350000001</v>
      </c>
      <c r="F1030">
        <v>0.2148564</v>
      </c>
      <c r="G1030">
        <v>31.511081409999999</v>
      </c>
      <c r="H1030">
        <v>100.78230859999999</v>
      </c>
      <c r="I1030">
        <v>15.48267401</v>
      </c>
      <c r="J1030">
        <v>17.416459029999999</v>
      </c>
      <c r="K1030">
        <v>51.957000000000001</v>
      </c>
      <c r="L1030">
        <v>55.781999999999996</v>
      </c>
      <c r="M1030">
        <v>0.43800003999999998</v>
      </c>
      <c r="N1030">
        <v>8.9189934009999998</v>
      </c>
      <c r="O1030">
        <v>9.3524133999999995E-2</v>
      </c>
      <c r="P1030">
        <v>167.09</v>
      </c>
      <c r="Q1030">
        <v>145.53700000000001</v>
      </c>
      <c r="R1030">
        <v>43.395000000000003</v>
      </c>
      <c r="S1030">
        <v>0.17355915999999999</v>
      </c>
      <c r="T1030">
        <v>0.78300000000000003</v>
      </c>
      <c r="U1030">
        <v>31.582999999999998</v>
      </c>
      <c r="V1030" s="1" t="str">
        <f>IF(Energy_data_1990___2020[[#This Row],[CO2 emissions from fuel combustion (MtCO2)]]&gt;Energy_data_1990___2020[[#Totals],[CO2 emissions from fuel combustion (MtCO2)]],"Above Average","")</f>
        <v/>
      </c>
      <c r="W1030" s="1">
        <f>SUM(Energy_data_1990___2020[[#This Row],[Coal and lignite production (Mt)]]-Energy_data_1990___2020[[#This Row],[Coal and lignite domestic consumption (Mt)]])</f>
        <v>-11.812000000000005</v>
      </c>
    </row>
    <row r="1031" spans="1:23">
      <c r="A1031" t="s">
        <v>63</v>
      </c>
      <c r="B1031">
        <v>1996</v>
      </c>
      <c r="C1031" t="s">
        <v>30</v>
      </c>
      <c r="D1031">
        <v>221.5907297</v>
      </c>
      <c r="E1031">
        <v>2.2315457680000002</v>
      </c>
      <c r="F1031">
        <v>0.200303022</v>
      </c>
      <c r="G1031">
        <v>32.696556770000001</v>
      </c>
      <c r="H1031">
        <v>99.299209050000002</v>
      </c>
      <c r="I1031">
        <v>24.268739360000001</v>
      </c>
      <c r="J1031">
        <v>18.10024679</v>
      </c>
      <c r="K1031">
        <v>50.752000000000002</v>
      </c>
      <c r="L1031">
        <v>53.774999999999999</v>
      </c>
      <c r="M1031">
        <v>0.49199991100000001</v>
      </c>
      <c r="N1031">
        <v>9.9819992499999994</v>
      </c>
      <c r="O1031">
        <v>8.9759764000000006E-2</v>
      </c>
      <c r="P1031">
        <v>174.459</v>
      </c>
      <c r="Q1031">
        <v>151.51599999999999</v>
      </c>
      <c r="R1031">
        <v>37.045999999999999</v>
      </c>
      <c r="S1031">
        <v>0.218962622</v>
      </c>
      <c r="T1031">
        <v>0.51200000000000001</v>
      </c>
      <c r="U1031">
        <v>29.632999999999999</v>
      </c>
      <c r="V1031" s="1" t="str">
        <f>IF(Energy_data_1990___2020[[#This Row],[CO2 emissions from fuel combustion (MtCO2)]]&gt;Energy_data_1990___2020[[#Totals],[CO2 emissions from fuel combustion (MtCO2)]],"Above Average","")</f>
        <v/>
      </c>
      <c r="W1031" s="1">
        <f>SUM(Energy_data_1990___2020[[#This Row],[Coal and lignite production (Mt)]]-Energy_data_1990___2020[[#This Row],[Coal and lignite domestic consumption (Mt)]])</f>
        <v>-7.4130000000000003</v>
      </c>
    </row>
    <row r="1032" spans="1:23">
      <c r="A1032" t="s">
        <v>63</v>
      </c>
      <c r="B1032">
        <v>1997</v>
      </c>
      <c r="C1032" t="s">
        <v>30</v>
      </c>
      <c r="D1032">
        <v>240.8269296</v>
      </c>
      <c r="E1032">
        <v>2.2818184829999999</v>
      </c>
      <c r="F1032">
        <v>0.209918831</v>
      </c>
      <c r="G1032">
        <v>31.69868262</v>
      </c>
      <c r="H1032">
        <v>105.54166840000001</v>
      </c>
      <c r="I1032">
        <v>20.07646978</v>
      </c>
      <c r="J1032">
        <v>18.496499150000002</v>
      </c>
      <c r="K1032">
        <v>53.116</v>
      </c>
      <c r="L1032">
        <v>56.68</v>
      </c>
      <c r="M1032">
        <v>0.187999891</v>
      </c>
      <c r="N1032">
        <v>13.06101016</v>
      </c>
      <c r="O1032">
        <v>9.1996287999999996E-2</v>
      </c>
      <c r="P1032">
        <v>190.40199999999999</v>
      </c>
      <c r="Q1032">
        <v>163.44</v>
      </c>
      <c r="R1032">
        <v>40.966999999999999</v>
      </c>
      <c r="S1032">
        <v>0.39968067600000001</v>
      </c>
      <c r="T1032">
        <v>0.371</v>
      </c>
      <c r="U1032">
        <v>28.305</v>
      </c>
      <c r="V1032" s="1" t="str">
        <f>IF(Energy_data_1990___2020[[#This Row],[CO2 emissions from fuel combustion (MtCO2)]]&gt;Energy_data_1990___2020[[#Totals],[CO2 emissions from fuel combustion (MtCO2)]],"Above Average","")</f>
        <v/>
      </c>
      <c r="W1032" s="1">
        <f>SUM(Energy_data_1990___2020[[#This Row],[Coal and lignite production (Mt)]]-Energy_data_1990___2020[[#This Row],[Coal and lignite domestic consumption (Mt)]])</f>
        <v>-12.661999999999999</v>
      </c>
    </row>
    <row r="1033" spans="1:23">
      <c r="A1033" t="s">
        <v>63</v>
      </c>
      <c r="B1033">
        <v>1998</v>
      </c>
      <c r="C1033" t="s">
        <v>30</v>
      </c>
      <c r="D1033">
        <v>249.19842969999999</v>
      </c>
      <c r="E1033">
        <v>2.2476926009999998</v>
      </c>
      <c r="F1033">
        <v>0.20807510300000001</v>
      </c>
      <c r="G1033">
        <v>32.336817289999999</v>
      </c>
      <c r="H1033">
        <v>110.8685545</v>
      </c>
      <c r="I1033">
        <v>19.829829520000001</v>
      </c>
      <c r="J1033">
        <v>18.06265806</v>
      </c>
      <c r="K1033">
        <v>57.084000000000003</v>
      </c>
      <c r="L1033">
        <v>61.576999999999998</v>
      </c>
      <c r="M1033">
        <v>0.118000094</v>
      </c>
      <c r="N1033">
        <v>13.40901247</v>
      </c>
      <c r="O1033">
        <v>9.2572758000000005E-2</v>
      </c>
      <c r="P1033">
        <v>195.21600000000001</v>
      </c>
      <c r="Q1033">
        <v>169.673</v>
      </c>
      <c r="R1033">
        <v>39.518999999999998</v>
      </c>
      <c r="S1033">
        <v>0.70383575099999995</v>
      </c>
      <c r="T1033">
        <v>0.52900000000000003</v>
      </c>
      <c r="U1033">
        <v>26.99</v>
      </c>
      <c r="V1033" s="1" t="str">
        <f>IF(Energy_data_1990___2020[[#This Row],[CO2 emissions from fuel combustion (MtCO2)]]&gt;Energy_data_1990___2020[[#Totals],[CO2 emissions from fuel combustion (MtCO2)]],"Above Average","")</f>
        <v/>
      </c>
      <c r="W1033" s="1">
        <f>SUM(Energy_data_1990___2020[[#This Row],[Coal and lignite production (Mt)]]-Energy_data_1990___2020[[#This Row],[Coal and lignite domestic consumption (Mt)]])</f>
        <v>-12.529</v>
      </c>
    </row>
    <row r="1034" spans="1:23">
      <c r="A1034" t="s">
        <v>63</v>
      </c>
      <c r="B1034">
        <v>1999</v>
      </c>
      <c r="C1034" t="s">
        <v>30</v>
      </c>
      <c r="D1034">
        <v>270.35971369999999</v>
      </c>
      <c r="E1034">
        <v>2.3259497740000001</v>
      </c>
      <c r="F1034">
        <v>0.216042913</v>
      </c>
      <c r="G1034">
        <v>30.6601116</v>
      </c>
      <c r="H1034">
        <v>116.23626470000001</v>
      </c>
      <c r="I1034">
        <v>14.321454810000001</v>
      </c>
      <c r="J1034">
        <v>18.869223139999999</v>
      </c>
      <c r="K1034">
        <v>59.152000000000001</v>
      </c>
      <c r="L1034">
        <v>60.703000000000003</v>
      </c>
      <c r="M1034">
        <v>0.15099996500000001</v>
      </c>
      <c r="N1034">
        <v>15.349016199999999</v>
      </c>
      <c r="O1034">
        <v>9.2883739000000007E-2</v>
      </c>
      <c r="P1034">
        <v>208.24700000000001</v>
      </c>
      <c r="Q1034">
        <v>181.65199999999999</v>
      </c>
      <c r="R1034">
        <v>43.398000000000003</v>
      </c>
      <c r="S1034">
        <v>1.329671016</v>
      </c>
      <c r="T1034">
        <v>0.29899999999999999</v>
      </c>
      <c r="U1034">
        <v>26.49</v>
      </c>
      <c r="V1034" s="1" t="str">
        <f>IF(Energy_data_1990___2020[[#This Row],[CO2 emissions from fuel combustion (MtCO2)]]&gt;Energy_data_1990___2020[[#Totals],[CO2 emissions from fuel combustion (MtCO2)]],"Above Average","")</f>
        <v/>
      </c>
      <c r="W1034" s="1">
        <f>SUM(Energy_data_1990___2020[[#This Row],[Coal and lignite production (Mt)]]-Energy_data_1990___2020[[#This Row],[Coal and lignite domestic consumption (Mt)]])</f>
        <v>-16.908000000000005</v>
      </c>
    </row>
    <row r="1035" spans="1:23">
      <c r="A1035" t="s">
        <v>63</v>
      </c>
      <c r="B1035">
        <v>2000</v>
      </c>
      <c r="C1035" t="s">
        <v>30</v>
      </c>
      <c r="D1035">
        <v>286.47534389999998</v>
      </c>
      <c r="E1035">
        <v>2.3604929110000001</v>
      </c>
      <c r="F1035">
        <v>0.21751024499999999</v>
      </c>
      <c r="G1035">
        <v>31.48743867</v>
      </c>
      <c r="H1035">
        <v>121.3625097</v>
      </c>
      <c r="I1035">
        <v>16.947181780000001</v>
      </c>
      <c r="J1035">
        <v>18.79992257</v>
      </c>
      <c r="K1035">
        <v>60.816000000000003</v>
      </c>
      <c r="L1035">
        <v>59.682000000000002</v>
      </c>
      <c r="M1035">
        <v>0.17099983899999999</v>
      </c>
      <c r="N1035">
        <v>17.577984570000002</v>
      </c>
      <c r="O1035">
        <v>9.2146112000000002E-2</v>
      </c>
      <c r="P1035">
        <v>224.46799999999999</v>
      </c>
      <c r="Q1035">
        <v>194.709</v>
      </c>
      <c r="R1035">
        <v>45.735999999999997</v>
      </c>
      <c r="S1035">
        <v>2.1121050659999998</v>
      </c>
      <c r="T1035">
        <v>0.22700000000000001</v>
      </c>
      <c r="U1035">
        <v>26.138000000000002</v>
      </c>
      <c r="V1035" s="1" t="str">
        <f>IF(Energy_data_1990___2020[[#This Row],[CO2 emissions from fuel combustion (MtCO2)]]&gt;Energy_data_1990___2020[[#Totals],[CO2 emissions from fuel combustion (MtCO2)]],"Above Average","")</f>
        <v/>
      </c>
      <c r="W1035" s="1">
        <f>SUM(Energy_data_1990___2020[[#This Row],[Coal and lignite production (Mt)]]-Energy_data_1990___2020[[#This Row],[Coal and lignite domestic consumption (Mt)]])</f>
        <v>-19.597999999999995</v>
      </c>
    </row>
    <row r="1036" spans="1:23">
      <c r="A1036" t="s">
        <v>63</v>
      </c>
      <c r="B1036">
        <v>2001</v>
      </c>
      <c r="C1036" t="s">
        <v>30</v>
      </c>
      <c r="D1036">
        <v>286.74312509999999</v>
      </c>
      <c r="E1036">
        <v>2.3022184970000001</v>
      </c>
      <c r="F1036">
        <v>0.20947501700000001</v>
      </c>
      <c r="G1036">
        <v>33.406657760000002</v>
      </c>
      <c r="H1036">
        <v>124.5507868</v>
      </c>
      <c r="I1036">
        <v>22.145350709999999</v>
      </c>
      <c r="J1036">
        <v>19.132646260000001</v>
      </c>
      <c r="K1036">
        <v>63.003999999999998</v>
      </c>
      <c r="L1036">
        <v>57.652000000000001</v>
      </c>
      <c r="M1036">
        <v>0.54400007900000003</v>
      </c>
      <c r="N1036">
        <v>18.94202121</v>
      </c>
      <c r="O1036">
        <v>9.0988330000000006E-2</v>
      </c>
      <c r="P1036">
        <v>236.036</v>
      </c>
      <c r="Q1036">
        <v>207.297</v>
      </c>
      <c r="R1036">
        <v>41.613</v>
      </c>
      <c r="S1036">
        <v>2.8707485300000002</v>
      </c>
      <c r="T1036">
        <v>0.33800000000000002</v>
      </c>
      <c r="U1036">
        <v>24.298999999999999</v>
      </c>
      <c r="V1036" s="1" t="str">
        <f>IF(Energy_data_1990___2020[[#This Row],[CO2 emissions from fuel combustion (MtCO2)]]&gt;Energy_data_1990___2020[[#Totals],[CO2 emissions from fuel combustion (MtCO2)]],"Above Average","")</f>
        <v/>
      </c>
      <c r="W1036" s="1">
        <f>SUM(Energy_data_1990___2020[[#This Row],[Coal and lignite production (Mt)]]-Energy_data_1990___2020[[#This Row],[Coal and lignite domestic consumption (Mt)]])</f>
        <v>-17.314</v>
      </c>
    </row>
    <row r="1037" spans="1:23">
      <c r="A1037" t="s">
        <v>63</v>
      </c>
      <c r="B1037">
        <v>2002</v>
      </c>
      <c r="C1037" t="s">
        <v>30</v>
      </c>
      <c r="D1037">
        <v>303.94270360000002</v>
      </c>
      <c r="E1037">
        <v>2.3694175670000002</v>
      </c>
      <c r="F1037">
        <v>0.216137106</v>
      </c>
      <c r="G1037">
        <v>31.60586648</v>
      </c>
      <c r="H1037">
        <v>128.2773909</v>
      </c>
      <c r="I1037">
        <v>15.60148764</v>
      </c>
      <c r="J1037">
        <v>19.294748899999998</v>
      </c>
      <c r="K1037">
        <v>63.573999999999998</v>
      </c>
      <c r="L1037">
        <v>57.802999999999997</v>
      </c>
      <c r="M1037">
        <v>0.53900047399999995</v>
      </c>
      <c r="N1037">
        <v>21.65700056</v>
      </c>
      <c r="O1037">
        <v>9.1219509000000004E-2</v>
      </c>
      <c r="P1037">
        <v>244.95099999999999</v>
      </c>
      <c r="Q1037">
        <v>211.86600000000001</v>
      </c>
      <c r="R1037">
        <v>45.908000000000001</v>
      </c>
      <c r="S1037">
        <v>3.8211723979999999</v>
      </c>
      <c r="T1037">
        <v>0.316</v>
      </c>
      <c r="U1037">
        <v>23.471</v>
      </c>
      <c r="V1037" s="1" t="str">
        <f>IF(Energy_data_1990___2020[[#This Row],[CO2 emissions from fuel combustion (MtCO2)]]&gt;Energy_data_1990___2020[[#Totals],[CO2 emissions from fuel combustion (MtCO2)]],"Above Average","")</f>
        <v/>
      </c>
      <c r="W1037" s="1">
        <f>SUM(Energy_data_1990___2020[[#This Row],[Coal and lignite production (Mt)]]-Energy_data_1990___2020[[#This Row],[Coal and lignite domestic consumption (Mt)]])</f>
        <v>-22.437000000000001</v>
      </c>
    </row>
    <row r="1038" spans="1:23">
      <c r="A1038" t="s">
        <v>63</v>
      </c>
      <c r="B1038">
        <v>2003</v>
      </c>
      <c r="C1038" t="s">
        <v>30</v>
      </c>
      <c r="D1038">
        <v>310.3074355</v>
      </c>
      <c r="E1038">
        <v>2.3383215329999998</v>
      </c>
      <c r="F1038">
        <v>0.214273722</v>
      </c>
      <c r="G1038">
        <v>32.93417281</v>
      </c>
      <c r="H1038">
        <v>132.70520379999999</v>
      </c>
      <c r="I1038">
        <v>22.698365209999999</v>
      </c>
      <c r="J1038">
        <v>19.414106480000001</v>
      </c>
      <c r="K1038">
        <v>65.319000000000003</v>
      </c>
      <c r="L1038">
        <v>57.854999999999997</v>
      </c>
      <c r="M1038">
        <v>0.226999802</v>
      </c>
      <c r="N1038">
        <v>24.548995850000001</v>
      </c>
      <c r="O1038">
        <v>9.1635696000000003E-2</v>
      </c>
      <c r="P1038">
        <v>260.70600000000002</v>
      </c>
      <c r="Q1038">
        <v>224.26599999999999</v>
      </c>
      <c r="R1038">
        <v>42.486632319999998</v>
      </c>
      <c r="S1038">
        <v>4.6393255240000002</v>
      </c>
      <c r="T1038">
        <v>0.32200000000000001</v>
      </c>
      <c r="U1038">
        <v>22.678000000000001</v>
      </c>
      <c r="V1038" s="1" t="str">
        <f>IF(Energy_data_1990___2020[[#This Row],[CO2 emissions from fuel combustion (MtCO2)]]&gt;Energy_data_1990___2020[[#Totals],[CO2 emissions from fuel combustion (MtCO2)]],"Above Average","")</f>
        <v/>
      </c>
      <c r="W1038" s="1">
        <f>SUM(Energy_data_1990___2020[[#This Row],[Coal and lignite production (Mt)]]-Energy_data_1990___2020[[#This Row],[Coal and lignite domestic consumption (Mt)]])</f>
        <v>-19.808632319999997</v>
      </c>
    </row>
    <row r="1039" spans="1:23">
      <c r="A1039" t="s">
        <v>63</v>
      </c>
      <c r="B1039">
        <v>2004</v>
      </c>
      <c r="C1039" t="s">
        <v>30</v>
      </c>
      <c r="D1039">
        <v>325.80972359999998</v>
      </c>
      <c r="E1039">
        <v>2.3483095390000002</v>
      </c>
      <c r="F1039">
        <v>0.21816551100000001</v>
      </c>
      <c r="G1039">
        <v>32.790006200000001</v>
      </c>
      <c r="H1039">
        <v>138.74223910000001</v>
      </c>
      <c r="I1039">
        <v>19.106348780000001</v>
      </c>
      <c r="J1039">
        <v>19.86135372</v>
      </c>
      <c r="K1039">
        <v>66.796000000000006</v>
      </c>
      <c r="L1039">
        <v>59.898000000000003</v>
      </c>
      <c r="M1039">
        <v>0.35799979599999998</v>
      </c>
      <c r="N1039">
        <v>28.493965880000001</v>
      </c>
      <c r="O1039">
        <v>9.2903216999999996E-2</v>
      </c>
      <c r="P1039">
        <v>279.97500000000002</v>
      </c>
      <c r="Q1039">
        <v>237.03800000000001</v>
      </c>
      <c r="R1039">
        <v>44.673999999999999</v>
      </c>
      <c r="S1039">
        <v>6.6745245110000004</v>
      </c>
      <c r="T1039">
        <v>0.255</v>
      </c>
      <c r="U1039">
        <v>22.033999999999999</v>
      </c>
      <c r="V1039" s="1" t="str">
        <f>IF(Energy_data_1990___2020[[#This Row],[CO2 emissions from fuel combustion (MtCO2)]]&gt;Energy_data_1990___2020[[#Totals],[CO2 emissions from fuel combustion (MtCO2)]],"Above Average","")</f>
        <v/>
      </c>
      <c r="W1039" s="1">
        <f>SUM(Energy_data_1990___2020[[#This Row],[Coal and lignite production (Mt)]]-Energy_data_1990___2020[[#This Row],[Coal and lignite domestic consumption (Mt)]])</f>
        <v>-22.64</v>
      </c>
    </row>
    <row r="1040" spans="1:23">
      <c r="A1040" t="s">
        <v>63</v>
      </c>
      <c r="B1040">
        <v>2005</v>
      </c>
      <c r="C1040" t="s">
        <v>30</v>
      </c>
      <c r="D1040">
        <v>339.7152706</v>
      </c>
      <c r="E1040">
        <v>2.3948010900000001</v>
      </c>
      <c r="F1040">
        <v>0.219461984</v>
      </c>
      <c r="G1040">
        <v>30.591524769999999</v>
      </c>
      <c r="H1040">
        <v>141.8553182</v>
      </c>
      <c r="I1040">
        <v>15.948504509999999</v>
      </c>
      <c r="J1040">
        <v>20.309785380000001</v>
      </c>
      <c r="K1040">
        <v>67.549000000000007</v>
      </c>
      <c r="L1040">
        <v>60.720999999999997</v>
      </c>
      <c r="M1040">
        <v>0.16700013499999999</v>
      </c>
      <c r="N1040">
        <v>33.634011719999997</v>
      </c>
      <c r="O1040">
        <v>9.1641006999999997E-2</v>
      </c>
      <c r="P1040">
        <v>294.084</v>
      </c>
      <c r="Q1040">
        <v>248.46899999999999</v>
      </c>
      <c r="R1040">
        <v>43.898000000000003</v>
      </c>
      <c r="S1040">
        <v>8.9151398919999991</v>
      </c>
      <c r="T1040">
        <v>0.16600000000000001</v>
      </c>
      <c r="U1040">
        <v>20.562000000000001</v>
      </c>
      <c r="V1040" s="1" t="str">
        <f>IF(Energy_data_1990___2020[[#This Row],[CO2 emissions from fuel combustion (MtCO2)]]&gt;Energy_data_1990___2020[[#Totals],[CO2 emissions from fuel combustion (MtCO2)]],"Above Average","")</f>
        <v/>
      </c>
      <c r="W1040" s="1">
        <f>SUM(Energy_data_1990___2020[[#This Row],[Coal and lignite production (Mt)]]-Energy_data_1990___2020[[#This Row],[Coal and lignite domestic consumption (Mt)]])</f>
        <v>-23.336000000000002</v>
      </c>
    </row>
    <row r="1041" spans="1:23">
      <c r="A1041" t="s">
        <v>63</v>
      </c>
      <c r="B1041">
        <v>2006</v>
      </c>
      <c r="C1041" t="s">
        <v>30</v>
      </c>
      <c r="D1041">
        <v>330.738338</v>
      </c>
      <c r="E1041">
        <v>2.340311142</v>
      </c>
      <c r="F1041">
        <v>0.20524220200000001</v>
      </c>
      <c r="G1041">
        <v>31.36877853</v>
      </c>
      <c r="H1041">
        <v>141.32237889999999</v>
      </c>
      <c r="I1041">
        <v>18.709343480000001</v>
      </c>
      <c r="J1041">
        <v>21.199603809999999</v>
      </c>
      <c r="K1041">
        <v>66.248999999999995</v>
      </c>
      <c r="L1041">
        <v>61.261000000000003</v>
      </c>
      <c r="M1041">
        <v>7.2999974999999995E-2</v>
      </c>
      <c r="N1041">
        <v>36.088012280000001</v>
      </c>
      <c r="O1041">
        <v>8.7698682E-2</v>
      </c>
      <c r="P1041">
        <v>299.45999999999998</v>
      </c>
      <c r="Q1041">
        <v>254.04</v>
      </c>
      <c r="R1041">
        <v>38.816000000000003</v>
      </c>
      <c r="S1041">
        <v>7.9312762970000001</v>
      </c>
      <c r="T1041">
        <v>0.13900000000000001</v>
      </c>
      <c r="U1041">
        <v>20.486999999999998</v>
      </c>
      <c r="V1041" s="1" t="str">
        <f>IF(Energy_data_1990___2020[[#This Row],[CO2 emissions from fuel combustion (MtCO2)]]&gt;Energy_data_1990___2020[[#Totals],[CO2 emissions from fuel combustion (MtCO2)]],"Above Average","")</f>
        <v/>
      </c>
      <c r="W1041" s="1">
        <f>SUM(Energy_data_1990___2020[[#This Row],[Coal and lignite production (Mt)]]-Energy_data_1990___2020[[#This Row],[Coal and lignite domestic consumption (Mt)]])</f>
        <v>-18.329000000000004</v>
      </c>
    </row>
    <row r="1042" spans="1:23">
      <c r="A1042" t="s">
        <v>63</v>
      </c>
      <c r="B1042">
        <v>2007</v>
      </c>
      <c r="C1042" t="s">
        <v>30</v>
      </c>
      <c r="D1042">
        <v>344.45818350000002</v>
      </c>
      <c r="E1042">
        <v>2.4027016589999999</v>
      </c>
      <c r="F1042">
        <v>0.206319</v>
      </c>
      <c r="G1042">
        <v>30.319957899999999</v>
      </c>
      <c r="H1042">
        <v>143.36286079999999</v>
      </c>
      <c r="I1042">
        <v>20.161018030000001</v>
      </c>
      <c r="J1042">
        <v>21.07703613</v>
      </c>
      <c r="K1042">
        <v>66.662999999999997</v>
      </c>
      <c r="L1042">
        <v>59.723999999999997</v>
      </c>
      <c r="M1042">
        <v>1.7999995000000001E-2</v>
      </c>
      <c r="N1042">
        <v>36.78696901</v>
      </c>
      <c r="O1042">
        <v>8.5869587999999997E-2</v>
      </c>
      <c r="P1042">
        <v>305.05900000000003</v>
      </c>
      <c r="Q1042">
        <v>257.64299999999997</v>
      </c>
      <c r="R1042">
        <v>41.488999999999997</v>
      </c>
      <c r="S1042">
        <v>9.3119691600000003</v>
      </c>
      <c r="T1042">
        <v>0.14199999999999999</v>
      </c>
      <c r="U1042">
        <v>19.481000000000002</v>
      </c>
      <c r="V1042" s="1" t="str">
        <f>IF(Energy_data_1990___2020[[#This Row],[CO2 emissions from fuel combustion (MtCO2)]]&gt;Energy_data_1990___2020[[#Totals],[CO2 emissions from fuel combustion (MtCO2)]],"Above Average","")</f>
        <v/>
      </c>
      <c r="W1042" s="1">
        <f>SUM(Energy_data_1990___2020[[#This Row],[Coal and lignite production (Mt)]]-Energy_data_1990___2020[[#This Row],[Coal and lignite domestic consumption (Mt)]])</f>
        <v>-22.007999999999996</v>
      </c>
    </row>
    <row r="1043" spans="1:23">
      <c r="A1043" t="s">
        <v>63</v>
      </c>
      <c r="B1043">
        <v>2008</v>
      </c>
      <c r="C1043" t="s">
        <v>30</v>
      </c>
      <c r="D1043">
        <v>315.7315117</v>
      </c>
      <c r="E1043">
        <v>2.2780450299999999</v>
      </c>
      <c r="F1043">
        <v>0.18744972800000001</v>
      </c>
      <c r="G1043">
        <v>30.377901009999999</v>
      </c>
      <c r="H1043">
        <v>138.5975727</v>
      </c>
      <c r="I1043">
        <v>20.69206204</v>
      </c>
      <c r="J1043">
        <v>22.25931508</v>
      </c>
      <c r="K1043">
        <v>63.372</v>
      </c>
      <c r="L1043">
        <v>60.405999999999999</v>
      </c>
      <c r="M1043">
        <v>1.7000017999999999E-2</v>
      </c>
      <c r="N1043">
        <v>40.319001010000001</v>
      </c>
      <c r="O1043">
        <v>8.2285347999999994E-2</v>
      </c>
      <c r="P1043">
        <v>313.75799999999998</v>
      </c>
      <c r="Q1043">
        <v>260.95999999999998</v>
      </c>
      <c r="R1043">
        <v>25.613</v>
      </c>
      <c r="S1043">
        <v>11.419947860000001</v>
      </c>
      <c r="T1043">
        <v>0.127</v>
      </c>
      <c r="U1043">
        <v>18.446999999999999</v>
      </c>
      <c r="V1043" s="1" t="str">
        <f>IF(Energy_data_1990___2020[[#This Row],[CO2 emissions from fuel combustion (MtCO2)]]&gt;Energy_data_1990___2020[[#Totals],[CO2 emissions from fuel combustion (MtCO2)]],"Above Average","")</f>
        <v/>
      </c>
      <c r="W1043" s="1">
        <f>SUM(Energy_data_1990___2020[[#This Row],[Coal and lignite production (Mt)]]-Energy_data_1990___2020[[#This Row],[Coal and lignite domestic consumption (Mt)]])</f>
        <v>-7.1660000000000004</v>
      </c>
    </row>
    <row r="1044" spans="1:23">
      <c r="A1044" t="s">
        <v>63</v>
      </c>
      <c r="B1044">
        <v>2009</v>
      </c>
      <c r="C1044" t="s">
        <v>30</v>
      </c>
      <c r="D1044">
        <v>280.51737370000001</v>
      </c>
      <c r="E1044">
        <v>2.2017709110000001</v>
      </c>
      <c r="F1044">
        <v>0.17305558500000001</v>
      </c>
      <c r="G1044">
        <v>30.389552519999999</v>
      </c>
      <c r="H1044">
        <v>127.40534100000001</v>
      </c>
      <c r="I1044">
        <v>26.077998780000001</v>
      </c>
      <c r="J1044">
        <v>22.542697260000001</v>
      </c>
      <c r="K1044">
        <v>58.976999999999997</v>
      </c>
      <c r="L1044">
        <v>57.021999999999998</v>
      </c>
      <c r="M1044">
        <v>1.400001E-2</v>
      </c>
      <c r="N1044">
        <v>36.032033460000001</v>
      </c>
      <c r="O1044">
        <v>7.8598361000000005E-2</v>
      </c>
      <c r="P1044">
        <v>294.62</v>
      </c>
      <c r="Q1044">
        <v>247.161</v>
      </c>
      <c r="R1044">
        <v>18.731000000000002</v>
      </c>
      <c r="S1044">
        <v>15.11166927</v>
      </c>
      <c r="T1044">
        <v>0.105</v>
      </c>
      <c r="U1044">
        <v>17.181999999999999</v>
      </c>
      <c r="V1044" s="1" t="str">
        <f>IF(Energy_data_1990___2020[[#This Row],[CO2 emissions from fuel combustion (MtCO2)]]&gt;Energy_data_1990___2020[[#Totals],[CO2 emissions from fuel combustion (MtCO2)]],"Above Average","")</f>
        <v/>
      </c>
      <c r="W1044" s="1">
        <f>SUM(Energy_data_1990___2020[[#This Row],[Coal and lignite production (Mt)]]-Energy_data_1990___2020[[#This Row],[Coal and lignite domestic consumption (Mt)]])</f>
        <v>-1.549000000000003</v>
      </c>
    </row>
    <row r="1045" spans="1:23">
      <c r="A1045" t="s">
        <v>63</v>
      </c>
      <c r="B1045">
        <v>2010</v>
      </c>
      <c r="C1045" t="s">
        <v>30</v>
      </c>
      <c r="D1045">
        <v>266.98901690000002</v>
      </c>
      <c r="E1045">
        <v>2.1006777570000001</v>
      </c>
      <c r="F1045">
        <v>0.16444167200000001</v>
      </c>
      <c r="G1045">
        <v>34.266920030000001</v>
      </c>
      <c r="H1045">
        <v>127.0966078</v>
      </c>
      <c r="I1045">
        <v>33.490533190000001</v>
      </c>
      <c r="J1045">
        <v>22.688224009999999</v>
      </c>
      <c r="K1045">
        <v>57.481999999999999</v>
      </c>
      <c r="L1045">
        <v>57.432000000000002</v>
      </c>
      <c r="M1045">
        <v>5.0999957999999998E-2</v>
      </c>
      <c r="N1045">
        <v>35.824030610000001</v>
      </c>
      <c r="O1045">
        <v>7.8280294E-2</v>
      </c>
      <c r="P1045">
        <v>301.52699999999999</v>
      </c>
      <c r="Q1045">
        <v>250.16900000000001</v>
      </c>
      <c r="R1045">
        <v>14.510999999999999</v>
      </c>
      <c r="S1045">
        <v>17.118201689999999</v>
      </c>
      <c r="T1045">
        <v>0.123</v>
      </c>
      <c r="U1045">
        <v>10.186999999999999</v>
      </c>
      <c r="V1045" s="1" t="str">
        <f>IF(Energy_data_1990___2020[[#This Row],[CO2 emissions from fuel combustion (MtCO2)]]&gt;Energy_data_1990___2020[[#Totals],[CO2 emissions from fuel combustion (MtCO2)]],"Above Average","")</f>
        <v/>
      </c>
      <c r="W1045" s="1">
        <f>SUM(Energy_data_1990___2020[[#This Row],[Coal and lignite production (Mt)]]-Energy_data_1990___2020[[#This Row],[Coal and lignite domestic consumption (Mt)]])</f>
        <v>-4.3239999999999998</v>
      </c>
    </row>
    <row r="1046" spans="1:23">
      <c r="A1046" t="s">
        <v>63</v>
      </c>
      <c r="B1046">
        <v>2011</v>
      </c>
      <c r="C1046" t="s">
        <v>30</v>
      </c>
      <c r="D1046">
        <v>270.34359990000002</v>
      </c>
      <c r="E1046">
        <v>2.160608587</v>
      </c>
      <c r="F1046">
        <v>0.16787492800000001</v>
      </c>
      <c r="G1046">
        <v>31.784998219999999</v>
      </c>
      <c r="H1046">
        <v>125.12381999999999</v>
      </c>
      <c r="I1046">
        <v>30.572713010000001</v>
      </c>
      <c r="J1046">
        <v>23.38601375</v>
      </c>
      <c r="K1046">
        <v>53.664000000000001</v>
      </c>
      <c r="L1046">
        <v>56.512</v>
      </c>
      <c r="M1046">
        <v>5.199997E-2</v>
      </c>
      <c r="N1046">
        <v>33.250024089999997</v>
      </c>
      <c r="O1046">
        <v>7.7697981999999999E-2</v>
      </c>
      <c r="P1046">
        <v>293.84699999999998</v>
      </c>
      <c r="Q1046">
        <v>248.83500000000001</v>
      </c>
      <c r="R1046">
        <v>24.693999999999999</v>
      </c>
      <c r="S1046">
        <v>17.862356940000002</v>
      </c>
      <c r="T1046">
        <v>0.1</v>
      </c>
      <c r="U1046">
        <v>9.4450000000000003</v>
      </c>
      <c r="V1046" s="1" t="str">
        <f>IF(Energy_data_1990___2020[[#This Row],[CO2 emissions from fuel combustion (MtCO2)]]&gt;Energy_data_1990___2020[[#Totals],[CO2 emissions from fuel combustion (MtCO2)]],"Above Average","")</f>
        <v/>
      </c>
      <c r="W1046" s="1">
        <f>SUM(Energy_data_1990___2020[[#This Row],[Coal and lignite production (Mt)]]-Energy_data_1990___2020[[#This Row],[Coal and lignite domestic consumption (Mt)]])</f>
        <v>-15.248999999999999</v>
      </c>
    </row>
    <row r="1047" spans="1:23">
      <c r="A1047" t="s">
        <v>63</v>
      </c>
      <c r="B1047">
        <v>2012</v>
      </c>
      <c r="C1047" t="s">
        <v>30</v>
      </c>
      <c r="D1047">
        <v>265.48769670000001</v>
      </c>
      <c r="E1047">
        <v>2.1344234059999998</v>
      </c>
      <c r="F1047">
        <v>0.169887278</v>
      </c>
      <c r="G1047">
        <v>32.798166389999999</v>
      </c>
      <c r="H1047">
        <v>124.38380119999999</v>
      </c>
      <c r="I1047">
        <v>30.44068571</v>
      </c>
      <c r="J1047">
        <v>24.21304014</v>
      </c>
      <c r="K1047">
        <v>49.451000000000001</v>
      </c>
      <c r="L1047">
        <v>61.234999999999999</v>
      </c>
      <c r="M1047">
        <v>6.1000005000000003E-2</v>
      </c>
      <c r="N1047">
        <v>32.397026230000002</v>
      </c>
      <c r="O1047">
        <v>7.9593991000000003E-2</v>
      </c>
      <c r="P1047">
        <v>297.55900000000003</v>
      </c>
      <c r="Q1047">
        <v>245.50299999999999</v>
      </c>
      <c r="R1047">
        <v>28.449000000000002</v>
      </c>
      <c r="S1047">
        <v>20.70681781</v>
      </c>
      <c r="T1047">
        <v>0.14199999999999999</v>
      </c>
      <c r="U1047">
        <v>8.43</v>
      </c>
      <c r="V1047" s="1" t="str">
        <f>IF(Energy_data_1990___2020[[#This Row],[CO2 emissions from fuel combustion (MtCO2)]]&gt;Energy_data_1990___2020[[#Totals],[CO2 emissions from fuel combustion (MtCO2)]],"Above Average","")</f>
        <v/>
      </c>
      <c r="W1047" s="1">
        <f>SUM(Energy_data_1990___2020[[#This Row],[Coal and lignite production (Mt)]]-Energy_data_1990___2020[[#This Row],[Coal and lignite domestic consumption (Mt)]])</f>
        <v>-20.019000000000002</v>
      </c>
    </row>
    <row r="1048" spans="1:23">
      <c r="A1048" t="s">
        <v>63</v>
      </c>
      <c r="B1048">
        <v>2013</v>
      </c>
      <c r="C1048" t="s">
        <v>30</v>
      </c>
      <c r="D1048">
        <v>238.27931950000001</v>
      </c>
      <c r="E1048">
        <v>2.0568097029999999</v>
      </c>
      <c r="F1048">
        <v>0.15469697499999999</v>
      </c>
      <c r="G1048">
        <v>33.898170630000003</v>
      </c>
      <c r="H1048">
        <v>115.8489865</v>
      </c>
      <c r="I1048">
        <v>40.468996709999999</v>
      </c>
      <c r="J1048">
        <v>24.189932930000001</v>
      </c>
      <c r="K1048">
        <v>46.750999999999998</v>
      </c>
      <c r="L1048">
        <v>60.322000000000003</v>
      </c>
      <c r="M1048">
        <v>5.6999952999999999E-2</v>
      </c>
      <c r="N1048">
        <v>29.627995240000001</v>
      </c>
      <c r="O1048">
        <v>7.5212099000000004E-2</v>
      </c>
      <c r="P1048">
        <v>285.63099999999997</v>
      </c>
      <c r="Q1048">
        <v>235.18100000000001</v>
      </c>
      <c r="R1048">
        <v>21.149000000000001</v>
      </c>
      <c r="S1048">
        <v>24.06671545</v>
      </c>
      <c r="T1048">
        <v>0.36799999999999999</v>
      </c>
      <c r="U1048">
        <v>6.6210000000000004</v>
      </c>
      <c r="V1048" s="1" t="str">
        <f>IF(Energy_data_1990___2020[[#This Row],[CO2 emissions from fuel combustion (MtCO2)]]&gt;Energy_data_1990___2020[[#Totals],[CO2 emissions from fuel combustion (MtCO2)]],"Above Average","")</f>
        <v/>
      </c>
      <c r="W1048" s="1">
        <f>SUM(Energy_data_1990___2020[[#This Row],[Coal and lignite production (Mt)]]-Energy_data_1990___2020[[#This Row],[Coal and lignite domestic consumption (Mt)]])</f>
        <v>-14.528</v>
      </c>
    </row>
    <row r="1049" spans="1:23">
      <c r="A1049" t="s">
        <v>63</v>
      </c>
      <c r="B1049">
        <v>2014</v>
      </c>
      <c r="C1049" t="s">
        <v>30</v>
      </c>
      <c r="D1049">
        <v>236.0035556</v>
      </c>
      <c r="E1049">
        <v>2.0848391949999998</v>
      </c>
      <c r="F1049">
        <v>0.151128018</v>
      </c>
      <c r="G1049">
        <v>34.227792129999997</v>
      </c>
      <c r="H1049">
        <v>113.19988429999999</v>
      </c>
      <c r="I1049">
        <v>40.921973090000002</v>
      </c>
      <c r="J1049">
        <v>24.566008700000001</v>
      </c>
      <c r="K1049">
        <v>45.417000000000002</v>
      </c>
      <c r="L1049">
        <v>60.201000000000001</v>
      </c>
      <c r="M1049">
        <v>2.400002E-2</v>
      </c>
      <c r="N1049">
        <v>27.23100414</v>
      </c>
      <c r="O1049">
        <v>7.2489052999999998E-2</v>
      </c>
      <c r="P1049">
        <v>278.75</v>
      </c>
      <c r="Q1049">
        <v>233.30600000000001</v>
      </c>
      <c r="R1049">
        <v>23.077999999999999</v>
      </c>
      <c r="S1049">
        <v>23.5644843</v>
      </c>
      <c r="T1049">
        <v>0.30499999999999999</v>
      </c>
      <c r="U1049">
        <v>6.181</v>
      </c>
      <c r="V1049" s="1" t="str">
        <f>IF(Energy_data_1990___2020[[#This Row],[CO2 emissions from fuel combustion (MtCO2)]]&gt;Energy_data_1990___2020[[#Totals],[CO2 emissions from fuel combustion (MtCO2)]],"Above Average","")</f>
        <v/>
      </c>
      <c r="W1049" s="1">
        <f>SUM(Energy_data_1990___2020[[#This Row],[Coal and lignite production (Mt)]]-Energy_data_1990___2020[[#This Row],[Coal and lignite domestic consumption (Mt)]])</f>
        <v>-16.896999999999998</v>
      </c>
    </row>
    <row r="1050" spans="1:23">
      <c r="A1050" t="s">
        <v>63</v>
      </c>
      <c r="B1050">
        <v>2015</v>
      </c>
      <c r="C1050" t="s">
        <v>30</v>
      </c>
      <c r="D1050">
        <v>251.6995005</v>
      </c>
      <c r="E1050">
        <v>2.1425136839999999</v>
      </c>
      <c r="F1050">
        <v>0.15522594300000001</v>
      </c>
      <c r="G1050">
        <v>32.701470149999999</v>
      </c>
      <c r="H1050">
        <v>117.47859649999999</v>
      </c>
      <c r="I1050">
        <v>35.710954719999997</v>
      </c>
      <c r="J1050">
        <v>24.755931560000001</v>
      </c>
      <c r="K1050">
        <v>47.863</v>
      </c>
      <c r="L1050">
        <v>64.739999999999995</v>
      </c>
      <c r="M1050">
        <v>6.2000068999999998E-2</v>
      </c>
      <c r="N1050">
        <v>28.203010339999999</v>
      </c>
      <c r="O1050">
        <v>7.2450386000000006E-2</v>
      </c>
      <c r="P1050">
        <v>280.911</v>
      </c>
      <c r="Q1050">
        <v>238.54499999999999</v>
      </c>
      <c r="R1050">
        <v>26.058</v>
      </c>
      <c r="S1050">
        <v>22.569425899999999</v>
      </c>
      <c r="T1050">
        <v>0.23200000000000001</v>
      </c>
      <c r="U1050">
        <v>4.3680000000000003</v>
      </c>
      <c r="V1050" s="1" t="str">
        <f>IF(Energy_data_1990___2020[[#This Row],[CO2 emissions from fuel combustion (MtCO2)]]&gt;Energy_data_1990___2020[[#Totals],[CO2 emissions from fuel combustion (MtCO2)]],"Above Average","")</f>
        <v/>
      </c>
      <c r="W1050" s="1">
        <f>SUM(Energy_data_1990___2020[[#This Row],[Coal and lignite production (Mt)]]-Energy_data_1990___2020[[#This Row],[Coal and lignite domestic consumption (Mt)]])</f>
        <v>-21.689999999999998</v>
      </c>
    </row>
    <row r="1051" spans="1:23">
      <c r="A1051" t="s">
        <v>63</v>
      </c>
      <c r="B1051">
        <v>2016</v>
      </c>
      <c r="C1051" t="s">
        <v>30</v>
      </c>
      <c r="D1051">
        <v>242.84586379999999</v>
      </c>
      <c r="E1051">
        <v>2.0497661260000002</v>
      </c>
      <c r="F1051">
        <v>0.14535951899999999</v>
      </c>
      <c r="G1051">
        <v>33.289187630000001</v>
      </c>
      <c r="H1051">
        <v>118.4749132</v>
      </c>
      <c r="I1051">
        <v>39.342436640000003</v>
      </c>
      <c r="J1051">
        <v>24.121621609999998</v>
      </c>
      <c r="K1051">
        <v>49.491</v>
      </c>
      <c r="L1051">
        <v>64.77</v>
      </c>
      <c r="M1051">
        <v>5.4000019000000003E-2</v>
      </c>
      <c r="N1051">
        <v>28.76099176</v>
      </c>
      <c r="O1051">
        <v>7.0915172999999998E-2</v>
      </c>
      <c r="P1051">
        <v>274.77199999999999</v>
      </c>
      <c r="Q1051">
        <v>239.821</v>
      </c>
      <c r="R1051">
        <v>19.821999999999999</v>
      </c>
      <c r="S1051">
        <v>22.802905679999999</v>
      </c>
      <c r="T1051">
        <v>0.14099999999999999</v>
      </c>
      <c r="U1051">
        <v>3.899</v>
      </c>
      <c r="V1051" s="1" t="str">
        <f>IF(Energy_data_1990___2020[[#This Row],[CO2 emissions from fuel combustion (MtCO2)]]&gt;Energy_data_1990___2020[[#Totals],[CO2 emissions from fuel combustion (MtCO2)]],"Above Average","")</f>
        <v/>
      </c>
      <c r="W1051" s="1">
        <f>SUM(Energy_data_1990___2020[[#This Row],[Coal and lignite production (Mt)]]-Energy_data_1990___2020[[#This Row],[Coal and lignite domestic consumption (Mt)]])</f>
        <v>-15.922999999999998</v>
      </c>
    </row>
    <row r="1052" spans="1:23">
      <c r="A1052" t="s">
        <v>63</v>
      </c>
      <c r="B1052">
        <v>2017</v>
      </c>
      <c r="C1052" t="s">
        <v>30</v>
      </c>
      <c r="D1052">
        <v>258.2111175</v>
      </c>
      <c r="E1052">
        <v>2.0714252399999999</v>
      </c>
      <c r="F1052">
        <v>0.15021284600000001</v>
      </c>
      <c r="G1052">
        <v>32.695783159999998</v>
      </c>
      <c r="H1052">
        <v>124.6538434</v>
      </c>
      <c r="I1052">
        <v>32.884820439999999</v>
      </c>
      <c r="J1052">
        <v>24.245501220000001</v>
      </c>
      <c r="K1052">
        <v>49.866999999999997</v>
      </c>
      <c r="L1052">
        <v>65.819000000000003</v>
      </c>
      <c r="M1052">
        <v>2.7000024000000001E-2</v>
      </c>
      <c r="N1052">
        <v>31.128963710000001</v>
      </c>
      <c r="O1052">
        <v>7.2516662999999995E-2</v>
      </c>
      <c r="P1052">
        <v>275.726</v>
      </c>
      <c r="Q1052">
        <v>246.542</v>
      </c>
      <c r="R1052">
        <v>24.062999999999999</v>
      </c>
      <c r="S1052">
        <v>23.071817670000001</v>
      </c>
      <c r="T1052">
        <v>0.12</v>
      </c>
      <c r="U1052">
        <v>3.0640000000000001</v>
      </c>
      <c r="V1052" s="1" t="str">
        <f>IF(Energy_data_1990___2020[[#This Row],[CO2 emissions from fuel combustion (MtCO2)]]&gt;Energy_data_1990___2020[[#Totals],[CO2 emissions from fuel combustion (MtCO2)]],"Above Average","")</f>
        <v/>
      </c>
      <c r="W1052" s="1">
        <f>SUM(Energy_data_1990___2020[[#This Row],[Coal and lignite production (Mt)]]-Energy_data_1990___2020[[#This Row],[Coal and lignite domestic consumption (Mt)]])</f>
        <v>-20.998999999999999</v>
      </c>
    </row>
    <row r="1053" spans="1:23">
      <c r="A1053" t="s">
        <v>63</v>
      </c>
      <c r="B1053">
        <v>2018</v>
      </c>
      <c r="C1053" t="s">
        <v>30</v>
      </c>
      <c r="D1053">
        <v>253.42788909999999</v>
      </c>
      <c r="E1053">
        <v>2.0398523819999999</v>
      </c>
      <c r="F1053">
        <v>0.14404375</v>
      </c>
      <c r="G1053">
        <v>33.172502989999998</v>
      </c>
      <c r="H1053">
        <v>124.2383476</v>
      </c>
      <c r="I1053">
        <v>38.751402800000001</v>
      </c>
      <c r="J1053">
        <v>23.606584080000001</v>
      </c>
      <c r="K1053">
        <v>50.515999999999998</v>
      </c>
      <c r="L1053">
        <v>68.111999999999995</v>
      </c>
      <c r="M1053">
        <v>8.7000035000000003E-2</v>
      </c>
      <c r="N1053">
        <v>30.957002339999999</v>
      </c>
      <c r="O1053">
        <v>7.0614790999999996E-2</v>
      </c>
      <c r="P1053">
        <v>274.452</v>
      </c>
      <c r="Q1053">
        <v>245.76900000000001</v>
      </c>
      <c r="R1053">
        <v>20.88</v>
      </c>
      <c r="S1053">
        <v>23.222275660000001</v>
      </c>
      <c r="T1053">
        <v>8.6999999999999994E-2</v>
      </c>
      <c r="U1053">
        <v>1.8</v>
      </c>
      <c r="V1053" s="1" t="str">
        <f>IF(Energy_data_1990___2020[[#This Row],[CO2 emissions from fuel combustion (MtCO2)]]&gt;Energy_data_1990___2020[[#Totals],[CO2 emissions from fuel combustion (MtCO2)]],"Above Average","")</f>
        <v/>
      </c>
      <c r="W1053" s="1">
        <f>SUM(Energy_data_1990___2020[[#This Row],[Coal and lignite production (Mt)]]-Energy_data_1990___2020[[#This Row],[Coal and lignite domestic consumption (Mt)]])</f>
        <v>-19.079999999999998</v>
      </c>
    </row>
    <row r="1054" spans="1:23">
      <c r="A1054" t="s">
        <v>63</v>
      </c>
      <c r="B1054">
        <v>2019</v>
      </c>
      <c r="C1054" t="s">
        <v>30</v>
      </c>
      <c r="D1054">
        <v>237.12690549999999</v>
      </c>
      <c r="E1054">
        <v>1.965245932</v>
      </c>
      <c r="F1054">
        <v>0.13216565499999999</v>
      </c>
      <c r="G1054">
        <v>33.140067819999999</v>
      </c>
      <c r="H1054">
        <v>120.66016860000001</v>
      </c>
      <c r="I1054">
        <v>37.633634479999998</v>
      </c>
      <c r="J1054">
        <v>23.538746</v>
      </c>
      <c r="K1054">
        <v>50.414697779999997</v>
      </c>
      <c r="L1054">
        <v>65.746895420000001</v>
      </c>
      <c r="M1054">
        <v>0.13030608900000001</v>
      </c>
      <c r="N1054">
        <v>35.317510370000001</v>
      </c>
      <c r="O1054">
        <v>6.7251459E-2</v>
      </c>
      <c r="P1054">
        <v>274.29097610000002</v>
      </c>
      <c r="Q1054">
        <v>241.8438621</v>
      </c>
      <c r="R1054">
        <v>8.7908627209999999</v>
      </c>
      <c r="S1054">
        <v>25.8282673</v>
      </c>
      <c r="T1054">
        <v>4.0249163999999997E-2</v>
      </c>
      <c r="U1054">
        <v>2.9769999999999999</v>
      </c>
      <c r="V1054" s="1" t="str">
        <f>IF(Energy_data_1990___2020[[#This Row],[CO2 emissions from fuel combustion (MtCO2)]]&gt;Energy_data_1990___2020[[#Totals],[CO2 emissions from fuel combustion (MtCO2)]],"Above Average","")</f>
        <v/>
      </c>
      <c r="W1054" s="1">
        <f>SUM(Energy_data_1990___2020[[#This Row],[Coal and lignite production (Mt)]]-Energy_data_1990___2020[[#This Row],[Coal and lignite domestic consumption (Mt)]])</f>
        <v>-5.8138627209999996</v>
      </c>
    </row>
    <row r="1055" spans="1:23">
      <c r="A1055" t="s">
        <v>63</v>
      </c>
      <c r="B1055">
        <v>2020</v>
      </c>
      <c r="C1055" t="s">
        <v>30</v>
      </c>
      <c r="D1055">
        <v>191.1271663</v>
      </c>
      <c r="E1055">
        <v>1.788191723</v>
      </c>
      <c r="F1055">
        <v>0.11969339700000001</v>
      </c>
      <c r="G1055">
        <v>33.74636091</v>
      </c>
      <c r="H1055">
        <v>106.88292749999999</v>
      </c>
      <c r="I1055">
        <v>43.915442609999999</v>
      </c>
      <c r="J1055">
        <v>25.310210980000001</v>
      </c>
      <c r="K1055">
        <v>41.060944120000002</v>
      </c>
      <c r="L1055">
        <v>56.0058887</v>
      </c>
      <c r="M1055">
        <v>5.2246389999999997E-2</v>
      </c>
      <c r="N1055">
        <v>31.82116585</v>
      </c>
      <c r="O1055">
        <v>6.6935438999999999E-2</v>
      </c>
      <c r="P1055">
        <v>264.12264540000001</v>
      </c>
      <c r="Q1055">
        <v>227.84930539999999</v>
      </c>
      <c r="R1055">
        <v>3.8268589290000001</v>
      </c>
      <c r="S1055">
        <v>29.115080209999999</v>
      </c>
      <c r="T1055">
        <v>2.7538849000000001E-2</v>
      </c>
      <c r="U1055">
        <v>2.4009999999999998</v>
      </c>
      <c r="V1055" s="1" t="str">
        <f>IF(Energy_data_1990___2020[[#This Row],[CO2 emissions from fuel combustion (MtCO2)]]&gt;Energy_data_1990___2020[[#Totals],[CO2 emissions from fuel combustion (MtCO2)]],"Above Average","")</f>
        <v/>
      </c>
      <c r="W1055" s="1">
        <f>SUM(Energy_data_1990___2020[[#This Row],[Coal and lignite production (Mt)]]-Energy_data_1990___2020[[#This Row],[Coal and lignite domestic consumption (Mt)]])</f>
        <v>-1.4258589290000003</v>
      </c>
    </row>
    <row r="1056" spans="1:23">
      <c r="A1056" t="s">
        <v>64</v>
      </c>
      <c r="B1056">
        <v>1990</v>
      </c>
      <c r="C1056" t="s">
        <v>30</v>
      </c>
      <c r="D1056">
        <v>52.579040130000003</v>
      </c>
      <c r="E1056">
        <v>1.113978441</v>
      </c>
      <c r="F1056">
        <v>0.18792020500000001</v>
      </c>
      <c r="G1056">
        <v>29.685656030000001</v>
      </c>
      <c r="H1056">
        <v>47.199333639999999</v>
      </c>
      <c r="I1056">
        <v>51.17736189</v>
      </c>
      <c r="J1056">
        <v>31.718374600000001</v>
      </c>
      <c r="K1056">
        <v>14.669</v>
      </c>
      <c r="L1056">
        <v>18.044</v>
      </c>
      <c r="N1056">
        <v>0.61599935400000005</v>
      </c>
      <c r="O1056">
        <v>0.168692856</v>
      </c>
      <c r="P1056">
        <v>146.51400000000001</v>
      </c>
      <c r="Q1056">
        <v>130.73699999999999</v>
      </c>
      <c r="R1056">
        <v>4.8780000000000001</v>
      </c>
      <c r="S1056">
        <v>4.0951720000000002E-3</v>
      </c>
      <c r="T1056">
        <v>0</v>
      </c>
      <c r="U1056">
        <v>0.59199999999999997</v>
      </c>
      <c r="V1056" s="1" t="str">
        <f>IF(Energy_data_1990___2020[[#This Row],[CO2 emissions from fuel combustion (MtCO2)]]&gt;Energy_data_1990___2020[[#Totals],[CO2 emissions from fuel combustion (MtCO2)]],"Above Average","")</f>
        <v/>
      </c>
      <c r="W1056" s="1">
        <f>SUM(Energy_data_1990___2020[[#This Row],[Coal and lignite production (Mt)]]-Energy_data_1990___2020[[#This Row],[Coal and lignite domestic consumption (Mt)]])</f>
        <v>-4.2860000000000005</v>
      </c>
    </row>
    <row r="1057" spans="1:23">
      <c r="A1057" t="s">
        <v>64</v>
      </c>
      <c r="B1057">
        <v>1991</v>
      </c>
      <c r="C1057" t="s">
        <v>30</v>
      </c>
      <c r="D1057">
        <v>52.79683326</v>
      </c>
      <c r="E1057">
        <v>1.08431251</v>
      </c>
      <c r="F1057">
        <v>0.19088611599999999</v>
      </c>
      <c r="G1057">
        <v>31.428772760000001</v>
      </c>
      <c r="H1057">
        <v>48.691528290000001</v>
      </c>
      <c r="I1057">
        <v>44.461857850000001</v>
      </c>
      <c r="J1057">
        <v>32.037442300000002</v>
      </c>
      <c r="K1057">
        <v>14.643000000000001</v>
      </c>
      <c r="L1057">
        <v>17.96</v>
      </c>
      <c r="N1057">
        <v>0.63899943999999997</v>
      </c>
      <c r="O1057">
        <v>0.17604345099999999</v>
      </c>
      <c r="P1057">
        <v>147.39599999999999</v>
      </c>
      <c r="Q1057">
        <v>132.33500000000001</v>
      </c>
      <c r="R1057">
        <v>4.9059999999999997</v>
      </c>
      <c r="S1057">
        <v>8.8197780000000003E-3</v>
      </c>
      <c r="T1057">
        <v>0</v>
      </c>
      <c r="U1057">
        <v>0.746</v>
      </c>
      <c r="V1057" s="1" t="str">
        <f>IF(Energy_data_1990___2020[[#This Row],[CO2 emissions from fuel combustion (MtCO2)]]&gt;Energy_data_1990___2020[[#Totals],[CO2 emissions from fuel combustion (MtCO2)]],"Above Average","")</f>
        <v/>
      </c>
      <c r="W1057" s="1">
        <f>SUM(Energy_data_1990___2020[[#This Row],[Coal and lignite production (Mt)]]-Energy_data_1990___2020[[#This Row],[Coal and lignite domestic consumption (Mt)]])</f>
        <v>-4.16</v>
      </c>
    </row>
    <row r="1058" spans="1:23">
      <c r="A1058" t="s">
        <v>64</v>
      </c>
      <c r="B1058">
        <v>1992</v>
      </c>
      <c r="C1058" t="s">
        <v>30</v>
      </c>
      <c r="D1058">
        <v>53.298563569999999</v>
      </c>
      <c r="E1058">
        <v>1.14562137</v>
      </c>
      <c r="F1058">
        <v>0.19495889299999999</v>
      </c>
      <c r="G1058">
        <v>29.458867210000001</v>
      </c>
      <c r="H1058">
        <v>46.523716280000002</v>
      </c>
      <c r="I1058">
        <v>52.50537671</v>
      </c>
      <c r="J1058">
        <v>29.835033339999999</v>
      </c>
      <c r="K1058">
        <v>15.843999999999999</v>
      </c>
      <c r="L1058">
        <v>20.702999999999999</v>
      </c>
      <c r="N1058">
        <v>0.72300074999999997</v>
      </c>
      <c r="O1058">
        <v>0.17017742399999999</v>
      </c>
      <c r="P1058">
        <v>146.465</v>
      </c>
      <c r="Q1058">
        <v>130.053</v>
      </c>
      <c r="R1058">
        <v>4.577</v>
      </c>
      <c r="S1058">
        <v>2.1165466000000001E-2</v>
      </c>
      <c r="T1058">
        <v>0</v>
      </c>
      <c r="U1058">
        <v>0.746</v>
      </c>
      <c r="V1058" s="1" t="str">
        <f>IF(Energy_data_1990___2020[[#This Row],[CO2 emissions from fuel combustion (MtCO2)]]&gt;Energy_data_1990___2020[[#Totals],[CO2 emissions from fuel combustion (MtCO2)]],"Above Average","")</f>
        <v/>
      </c>
      <c r="W1058" s="1">
        <f>SUM(Energy_data_1990___2020[[#This Row],[Coal and lignite production (Mt)]]-Energy_data_1990___2020[[#This Row],[Coal and lignite domestic consumption (Mt)]])</f>
        <v>-3.831</v>
      </c>
    </row>
    <row r="1059" spans="1:23">
      <c r="A1059" t="s">
        <v>64</v>
      </c>
      <c r="B1059">
        <v>1993</v>
      </c>
      <c r="C1059" t="s">
        <v>30</v>
      </c>
      <c r="D1059">
        <v>52.518561720000001</v>
      </c>
      <c r="E1059">
        <v>1.1299198029999999</v>
      </c>
      <c r="F1059">
        <v>0.19615761700000001</v>
      </c>
      <c r="G1059">
        <v>29.30133837</v>
      </c>
      <c r="H1059">
        <v>46.479902000000003</v>
      </c>
      <c r="I1059">
        <v>53.106740189999996</v>
      </c>
      <c r="J1059">
        <v>30.051042379999998</v>
      </c>
      <c r="K1059">
        <v>15.523999999999999</v>
      </c>
      <c r="L1059">
        <v>21.431000000000001</v>
      </c>
      <c r="N1059">
        <v>0.80499980400000004</v>
      </c>
      <c r="O1059">
        <v>0.17360313199999999</v>
      </c>
      <c r="P1059">
        <v>145.81200000000001</v>
      </c>
      <c r="Q1059">
        <v>130.59800000000001</v>
      </c>
      <c r="R1059">
        <v>4.6539999999999999</v>
      </c>
      <c r="S1059">
        <v>3.3604915999999999E-2</v>
      </c>
      <c r="T1059">
        <v>0</v>
      </c>
      <c r="U1059">
        <v>0.71799999999999997</v>
      </c>
      <c r="V1059" s="1" t="str">
        <f>IF(Energy_data_1990___2020[[#This Row],[CO2 emissions from fuel combustion (MtCO2)]]&gt;Energy_data_1990___2020[[#Totals],[CO2 emissions from fuel combustion (MtCO2)]],"Above Average","")</f>
        <v/>
      </c>
      <c r="W1059" s="1">
        <f>SUM(Energy_data_1990___2020[[#This Row],[Coal and lignite production (Mt)]]-Energy_data_1990___2020[[#This Row],[Coal and lignite domestic consumption (Mt)]])</f>
        <v>-3.9359999999999999</v>
      </c>
    </row>
    <row r="1060" spans="1:23">
      <c r="A1060" t="s">
        <v>64</v>
      </c>
      <c r="B1060">
        <v>1994</v>
      </c>
      <c r="C1060" t="s">
        <v>30</v>
      </c>
      <c r="D1060">
        <v>55.322824079999997</v>
      </c>
      <c r="E1060">
        <v>1.1130778189999999</v>
      </c>
      <c r="F1060">
        <v>0.198737687</v>
      </c>
      <c r="G1060">
        <v>31.24240043</v>
      </c>
      <c r="H1060">
        <v>49.702566310000002</v>
      </c>
      <c r="I1060">
        <v>43.169314870000001</v>
      </c>
      <c r="J1060">
        <v>29.606838440000001</v>
      </c>
      <c r="K1060">
        <v>16.555</v>
      </c>
      <c r="L1060">
        <v>20.440999999999999</v>
      </c>
      <c r="N1060">
        <v>0.80700013000000004</v>
      </c>
      <c r="O1060">
        <v>0.17854788199999999</v>
      </c>
      <c r="P1060">
        <v>143.053</v>
      </c>
      <c r="Q1060">
        <v>129.613</v>
      </c>
      <c r="R1060">
        <v>4.694</v>
      </c>
      <c r="S1060">
        <v>5.1030038E-2</v>
      </c>
      <c r="T1060">
        <v>0</v>
      </c>
      <c r="U1060">
        <v>0.68600000000000005</v>
      </c>
      <c r="V1060" s="1" t="str">
        <f>IF(Energy_data_1990___2020[[#This Row],[CO2 emissions from fuel combustion (MtCO2)]]&gt;Energy_data_1990___2020[[#Totals],[CO2 emissions from fuel combustion (MtCO2)]],"Above Average","")</f>
        <v/>
      </c>
      <c r="W1060" s="1">
        <f>SUM(Energy_data_1990___2020[[#This Row],[Coal and lignite production (Mt)]]-Energy_data_1990___2020[[#This Row],[Coal and lignite domestic consumption (Mt)]])</f>
        <v>-4.008</v>
      </c>
    </row>
    <row r="1061" spans="1:23">
      <c r="A1061" t="s">
        <v>64</v>
      </c>
      <c r="B1061">
        <v>1995</v>
      </c>
      <c r="C1061" t="s">
        <v>30</v>
      </c>
      <c r="D1061">
        <v>55.066838480000001</v>
      </c>
      <c r="E1061">
        <v>1.0945435750000001</v>
      </c>
      <c r="F1061">
        <v>0.19021258899999999</v>
      </c>
      <c r="G1061">
        <v>31.82271549</v>
      </c>
      <c r="H1061">
        <v>50.310320910000002</v>
      </c>
      <c r="I1061">
        <v>47.599274690000001</v>
      </c>
      <c r="J1061">
        <v>29.473151680000001</v>
      </c>
      <c r="K1061">
        <v>16.448</v>
      </c>
      <c r="L1061">
        <v>20.504000000000001</v>
      </c>
      <c r="N1061">
        <v>0.79599923800000005</v>
      </c>
      <c r="O1061">
        <v>0.173782564</v>
      </c>
      <c r="P1061">
        <v>148.351</v>
      </c>
      <c r="Q1061">
        <v>132.38900000000001</v>
      </c>
      <c r="R1061">
        <v>4.734</v>
      </c>
      <c r="S1061">
        <v>6.7407702E-2</v>
      </c>
      <c r="T1061">
        <v>0</v>
      </c>
      <c r="U1061">
        <v>0.752</v>
      </c>
      <c r="V1061" s="1" t="str">
        <f>IF(Energy_data_1990___2020[[#This Row],[CO2 emissions from fuel combustion (MtCO2)]]&gt;Energy_data_1990___2020[[#Totals],[CO2 emissions from fuel combustion (MtCO2)]],"Above Average","")</f>
        <v/>
      </c>
      <c r="W1061" s="1">
        <f>SUM(Energy_data_1990___2020[[#This Row],[Coal and lignite production (Mt)]]-Energy_data_1990___2020[[#This Row],[Coal and lignite domestic consumption (Mt)]])</f>
        <v>-3.9820000000000002</v>
      </c>
    </row>
    <row r="1062" spans="1:23">
      <c r="A1062" t="s">
        <v>64</v>
      </c>
      <c r="B1062">
        <v>1996</v>
      </c>
      <c r="C1062" t="s">
        <v>30</v>
      </c>
      <c r="D1062">
        <v>60.497867110000001</v>
      </c>
      <c r="E1062">
        <v>1.1752660850000001</v>
      </c>
      <c r="F1062">
        <v>0.20565149699999999</v>
      </c>
      <c r="G1062">
        <v>31.957377879999999</v>
      </c>
      <c r="H1062">
        <v>51.47588949</v>
      </c>
      <c r="I1062">
        <v>38.416914310000003</v>
      </c>
      <c r="J1062">
        <v>28.967890199999999</v>
      </c>
      <c r="K1062">
        <v>17.763000000000002</v>
      </c>
      <c r="L1062">
        <v>21.7</v>
      </c>
      <c r="N1062">
        <v>0.81600078200000004</v>
      </c>
      <c r="O1062">
        <v>0.17498292500000001</v>
      </c>
      <c r="P1062">
        <v>140.66200000000001</v>
      </c>
      <c r="Q1062">
        <v>132.29900000000001</v>
      </c>
      <c r="R1062">
        <v>5.173</v>
      </c>
      <c r="S1062">
        <v>0.103083989</v>
      </c>
      <c r="T1062">
        <v>0</v>
      </c>
      <c r="U1062">
        <v>0.71799999999999997</v>
      </c>
      <c r="V1062" s="1" t="str">
        <f>IF(Energy_data_1990___2020[[#This Row],[CO2 emissions from fuel combustion (MtCO2)]]&gt;Energy_data_1990___2020[[#Totals],[CO2 emissions from fuel combustion (MtCO2)]],"Above Average","")</f>
        <v/>
      </c>
      <c r="W1062" s="1">
        <f>SUM(Energy_data_1990___2020[[#This Row],[Coal and lignite production (Mt)]]-Energy_data_1990___2020[[#This Row],[Coal and lignite domestic consumption (Mt)]])</f>
        <v>-4.4550000000000001</v>
      </c>
    </row>
    <row r="1063" spans="1:23">
      <c r="A1063" t="s">
        <v>64</v>
      </c>
      <c r="B1063">
        <v>1997</v>
      </c>
      <c r="C1063" t="s">
        <v>30</v>
      </c>
      <c r="D1063">
        <v>55.068340730000003</v>
      </c>
      <c r="E1063">
        <v>1.097311266</v>
      </c>
      <c r="F1063">
        <v>0.18156778900000001</v>
      </c>
      <c r="G1063">
        <v>32.451661059999999</v>
      </c>
      <c r="H1063">
        <v>50.184794799999999</v>
      </c>
      <c r="I1063">
        <v>48.292450870000003</v>
      </c>
      <c r="J1063">
        <v>29.328631850000001</v>
      </c>
      <c r="K1063">
        <v>16.462</v>
      </c>
      <c r="L1063">
        <v>22.718</v>
      </c>
      <c r="N1063">
        <v>0.85499905899999995</v>
      </c>
      <c r="O1063">
        <v>0.16546607599999999</v>
      </c>
      <c r="P1063">
        <v>149.249</v>
      </c>
      <c r="Q1063">
        <v>132.04</v>
      </c>
      <c r="R1063">
        <v>4.4119999999999999</v>
      </c>
      <c r="S1063">
        <v>0.13668433299999999</v>
      </c>
      <c r="T1063">
        <v>0</v>
      </c>
      <c r="U1063">
        <v>0.64500000000000002</v>
      </c>
      <c r="V1063" s="1" t="str">
        <f>IF(Energy_data_1990___2020[[#This Row],[CO2 emissions from fuel combustion (MtCO2)]]&gt;Energy_data_1990___2020[[#Totals],[CO2 emissions from fuel combustion (MtCO2)]],"Above Average","")</f>
        <v/>
      </c>
      <c r="W1063" s="1">
        <f>SUM(Energy_data_1990___2020[[#This Row],[Coal and lignite production (Mt)]]-Energy_data_1990___2020[[#This Row],[Coal and lignite domestic consumption (Mt)]])</f>
        <v>-3.7669999999999999</v>
      </c>
    </row>
    <row r="1064" spans="1:23">
      <c r="A1064" t="s">
        <v>64</v>
      </c>
      <c r="B1064">
        <v>1998</v>
      </c>
      <c r="C1064" t="s">
        <v>30</v>
      </c>
      <c r="D1064">
        <v>55.874337609999998</v>
      </c>
      <c r="E1064">
        <v>1.094595768</v>
      </c>
      <c r="F1064">
        <v>0.17669621099999999</v>
      </c>
      <c r="G1064">
        <v>33.961672389999997</v>
      </c>
      <c r="H1064">
        <v>51.04563641</v>
      </c>
      <c r="I1064">
        <v>49.19568598</v>
      </c>
      <c r="J1064">
        <v>29.48178119</v>
      </c>
      <c r="K1064">
        <v>16.574999999999999</v>
      </c>
      <c r="L1064">
        <v>22.462</v>
      </c>
      <c r="N1064">
        <v>0.88899912800000003</v>
      </c>
      <c r="O1064">
        <v>0.16142599499999999</v>
      </c>
      <c r="P1064">
        <v>158.83099999999999</v>
      </c>
      <c r="Q1064">
        <v>132.88300000000001</v>
      </c>
      <c r="R1064">
        <v>4.4619999999999997</v>
      </c>
      <c r="S1064">
        <v>0.20021280499999999</v>
      </c>
      <c r="T1064">
        <v>0</v>
      </c>
      <c r="U1064">
        <v>0.625</v>
      </c>
      <c r="V1064" s="1" t="str">
        <f>IF(Energy_data_1990___2020[[#This Row],[CO2 emissions from fuel combustion (MtCO2)]]&gt;Energy_data_1990___2020[[#Totals],[CO2 emissions from fuel combustion (MtCO2)]],"Above Average","")</f>
        <v/>
      </c>
      <c r="W1064" s="1">
        <f>SUM(Energy_data_1990___2020[[#This Row],[Coal and lignite production (Mt)]]-Energy_data_1990___2020[[#This Row],[Coal and lignite domestic consumption (Mt)]])</f>
        <v>-3.8369999999999997</v>
      </c>
    </row>
    <row r="1065" spans="1:23">
      <c r="A1065" t="s">
        <v>64</v>
      </c>
      <c r="B1065">
        <v>1999</v>
      </c>
      <c r="C1065" t="s">
        <v>30</v>
      </c>
      <c r="D1065">
        <v>54.453192090000002</v>
      </c>
      <c r="E1065">
        <v>1.086532533</v>
      </c>
      <c r="F1065">
        <v>0.165084815</v>
      </c>
      <c r="G1065">
        <v>33.209035350000001</v>
      </c>
      <c r="H1065">
        <v>50.11648563</v>
      </c>
      <c r="I1065">
        <v>48.281673769999998</v>
      </c>
      <c r="J1065">
        <v>29.94905842</v>
      </c>
      <c r="K1065">
        <v>16.279</v>
      </c>
      <c r="L1065">
        <v>22.773</v>
      </c>
      <c r="N1065">
        <v>0.87600040099999998</v>
      </c>
      <c r="O1065">
        <v>0.151937296</v>
      </c>
      <c r="P1065">
        <v>154.86000000000001</v>
      </c>
      <c r="Q1065">
        <v>132.68600000000001</v>
      </c>
      <c r="R1065">
        <v>4.1870000000000003</v>
      </c>
      <c r="S1065">
        <v>0.23182229100000001</v>
      </c>
      <c r="T1065">
        <v>0</v>
      </c>
      <c r="U1065">
        <v>0.58499999999999996</v>
      </c>
      <c r="V1065" s="1" t="str">
        <f>IF(Energy_data_1990___2020[[#This Row],[CO2 emissions from fuel combustion (MtCO2)]]&gt;Energy_data_1990___2020[[#Totals],[CO2 emissions from fuel combustion (MtCO2)]],"Above Average","")</f>
        <v/>
      </c>
      <c r="W1065" s="1">
        <f>SUM(Energy_data_1990___2020[[#This Row],[Coal and lignite production (Mt)]]-Energy_data_1990___2020[[#This Row],[Coal and lignite domestic consumption (Mt)]])</f>
        <v>-3.6020000000000003</v>
      </c>
    </row>
    <row r="1066" spans="1:23">
      <c r="A1066" t="s">
        <v>64</v>
      </c>
      <c r="B1066">
        <v>2000</v>
      </c>
      <c r="C1066" t="s">
        <v>30</v>
      </c>
      <c r="D1066">
        <v>50.977408390000001</v>
      </c>
      <c r="E1066">
        <v>1.0725701889999999</v>
      </c>
      <c r="F1066">
        <v>0.147364044</v>
      </c>
      <c r="G1066">
        <v>30.487064610000001</v>
      </c>
      <c r="H1066">
        <v>47.528272659999999</v>
      </c>
      <c r="I1066">
        <v>57.257031929999997</v>
      </c>
      <c r="J1066">
        <v>30.809065279999999</v>
      </c>
      <c r="K1066">
        <v>14.843</v>
      </c>
      <c r="L1066">
        <v>22.707999999999998</v>
      </c>
      <c r="N1066">
        <v>0.80499963299999999</v>
      </c>
      <c r="O1066">
        <v>0.13739338000000001</v>
      </c>
      <c r="P1066">
        <v>145.26599999999999</v>
      </c>
      <c r="Q1066">
        <v>135.40799999999999</v>
      </c>
      <c r="R1066">
        <v>4.1660000000000004</v>
      </c>
      <c r="S1066">
        <v>0.31528368600000001</v>
      </c>
      <c r="T1066">
        <v>0</v>
      </c>
      <c r="U1066">
        <v>0.54100000000000004</v>
      </c>
      <c r="V1066" s="1" t="str">
        <f>IF(Energy_data_1990___2020[[#This Row],[CO2 emissions from fuel combustion (MtCO2)]]&gt;Energy_data_1990___2020[[#Totals],[CO2 emissions from fuel combustion (MtCO2)]],"Above Average","")</f>
        <v/>
      </c>
      <c r="W1066" s="1">
        <f>SUM(Energy_data_1990___2020[[#This Row],[Coal and lignite production (Mt)]]-Energy_data_1990___2020[[#This Row],[Coal and lignite domestic consumption (Mt)]])</f>
        <v>-3.6250000000000004</v>
      </c>
    </row>
    <row r="1067" spans="1:23">
      <c r="A1067" t="s">
        <v>64</v>
      </c>
      <c r="B1067">
        <v>2001</v>
      </c>
      <c r="C1067" t="s">
        <v>30</v>
      </c>
      <c r="D1067">
        <v>51.856064570000001</v>
      </c>
      <c r="E1067">
        <v>1.0268674959999999</v>
      </c>
      <c r="F1067">
        <v>0.14773540399999999</v>
      </c>
      <c r="G1067">
        <v>33.865131140000003</v>
      </c>
      <c r="H1067">
        <v>50.499275480000001</v>
      </c>
      <c r="I1067">
        <v>51.568213739999997</v>
      </c>
      <c r="J1067">
        <v>31.741514500000001</v>
      </c>
      <c r="K1067">
        <v>14.827999999999999</v>
      </c>
      <c r="L1067">
        <v>21.492999999999999</v>
      </c>
      <c r="N1067">
        <v>0.88199951899999995</v>
      </c>
      <c r="O1067">
        <v>0.14386997800000001</v>
      </c>
      <c r="P1067">
        <v>161.61699999999999</v>
      </c>
      <c r="Q1067">
        <v>138.51</v>
      </c>
      <c r="R1067">
        <v>4.5549999999999997</v>
      </c>
      <c r="S1067">
        <v>0.29947344599999998</v>
      </c>
      <c r="T1067">
        <v>0</v>
      </c>
      <c r="U1067">
        <v>0.63700000000000001</v>
      </c>
      <c r="V1067" s="1" t="str">
        <f>IF(Energy_data_1990___2020[[#This Row],[CO2 emissions from fuel combustion (MtCO2)]]&gt;Energy_data_1990___2020[[#Totals],[CO2 emissions from fuel combustion (MtCO2)]],"Above Average","")</f>
        <v/>
      </c>
      <c r="W1067" s="1">
        <f>SUM(Energy_data_1990___2020[[#This Row],[Coal and lignite production (Mt)]]-Energy_data_1990___2020[[#This Row],[Coal and lignite domestic consumption (Mt)]])</f>
        <v>-3.9179999999999997</v>
      </c>
    </row>
    <row r="1068" spans="1:23">
      <c r="A1068" t="s">
        <v>64</v>
      </c>
      <c r="B1068">
        <v>2002</v>
      </c>
      <c r="C1068" t="s">
        <v>30</v>
      </c>
      <c r="D1068">
        <v>53.309104359999999</v>
      </c>
      <c r="E1068">
        <v>1.0303565690000001</v>
      </c>
      <c r="F1068">
        <v>0.14861144800000001</v>
      </c>
      <c r="G1068">
        <v>31.783620490000001</v>
      </c>
      <c r="H1068">
        <v>51.738500989999999</v>
      </c>
      <c r="I1068">
        <v>48.509217300000003</v>
      </c>
      <c r="J1068">
        <v>31.078078250000001</v>
      </c>
      <c r="K1068">
        <v>15.215</v>
      </c>
      <c r="L1068">
        <v>19.516999999999999</v>
      </c>
      <c r="N1068">
        <v>0.88799958199999995</v>
      </c>
      <c r="O1068">
        <v>0.14423302800000001</v>
      </c>
      <c r="P1068">
        <v>146.73500000000001</v>
      </c>
      <c r="Q1068">
        <v>136.655</v>
      </c>
      <c r="R1068">
        <v>5.0090000000000003</v>
      </c>
      <c r="S1068">
        <v>0.41571540499999998</v>
      </c>
      <c r="T1068">
        <v>0</v>
      </c>
      <c r="U1068">
        <v>0.80400000000000005</v>
      </c>
      <c r="V1068" s="1" t="str">
        <f>IF(Energy_data_1990___2020[[#This Row],[CO2 emissions from fuel combustion (MtCO2)]]&gt;Energy_data_1990___2020[[#Totals],[CO2 emissions from fuel combustion (MtCO2)]],"Above Average","")</f>
        <v/>
      </c>
      <c r="W1068" s="1">
        <f>SUM(Energy_data_1990___2020[[#This Row],[Coal and lignite production (Mt)]]-Energy_data_1990___2020[[#This Row],[Coal and lignite domestic consumption (Mt)]])</f>
        <v>-4.2050000000000001</v>
      </c>
    </row>
    <row r="1069" spans="1:23">
      <c r="A1069" t="s">
        <v>64</v>
      </c>
      <c r="B1069">
        <v>2003</v>
      </c>
      <c r="C1069" t="s">
        <v>30</v>
      </c>
      <c r="D1069">
        <v>54.668420849999997</v>
      </c>
      <c r="E1069">
        <v>1.0806047400000001</v>
      </c>
      <c r="F1069">
        <v>0.14905515499999999</v>
      </c>
      <c r="G1069">
        <v>30.89651521</v>
      </c>
      <c r="H1069">
        <v>50.590580289999998</v>
      </c>
      <c r="I1069">
        <v>43.406897669999999</v>
      </c>
      <c r="J1069">
        <v>31.28176191</v>
      </c>
      <c r="K1069">
        <v>14.913</v>
      </c>
      <c r="L1069">
        <v>19.385000000000002</v>
      </c>
      <c r="N1069">
        <v>0.92600077999999997</v>
      </c>
      <c r="O1069">
        <v>0.137936796</v>
      </c>
      <c r="P1069">
        <v>135.43700000000001</v>
      </c>
      <c r="Q1069">
        <v>134.61699999999999</v>
      </c>
      <c r="R1069">
        <v>4.9219999999999997</v>
      </c>
      <c r="S1069">
        <v>0.50281680799999995</v>
      </c>
      <c r="T1069">
        <v>0</v>
      </c>
      <c r="U1069">
        <v>0.80600000000000005</v>
      </c>
      <c r="V1069" s="1" t="str">
        <f>IF(Energy_data_1990___2020[[#This Row],[CO2 emissions from fuel combustion (MtCO2)]]&gt;Energy_data_1990___2020[[#Totals],[CO2 emissions from fuel combustion (MtCO2)]],"Above Average","")</f>
        <v/>
      </c>
      <c r="W1069" s="1">
        <f>SUM(Energy_data_1990___2020[[#This Row],[Coal and lignite production (Mt)]]-Energy_data_1990___2020[[#This Row],[Coal and lignite domestic consumption (Mt)]])</f>
        <v>-4.1159999999999997</v>
      </c>
    </row>
    <row r="1070" spans="1:23">
      <c r="A1070" t="s">
        <v>64</v>
      </c>
      <c r="B1070">
        <v>2004</v>
      </c>
      <c r="C1070" t="s">
        <v>30</v>
      </c>
      <c r="D1070">
        <v>53.095402030000002</v>
      </c>
      <c r="E1070">
        <v>1.0102775939999999</v>
      </c>
      <c r="F1070">
        <v>0.13876319200000001</v>
      </c>
      <c r="G1070">
        <v>34.299601350000003</v>
      </c>
      <c r="H1070">
        <v>52.555260390000001</v>
      </c>
      <c r="I1070">
        <v>44.972913839999997</v>
      </c>
      <c r="J1070">
        <v>31.602145889999999</v>
      </c>
      <c r="K1070">
        <v>14.378</v>
      </c>
      <c r="L1070">
        <v>20.308</v>
      </c>
      <c r="N1070">
        <v>0.89099939699999997</v>
      </c>
      <c r="O1070">
        <v>0.13735154899999999</v>
      </c>
      <c r="P1070">
        <v>151.738</v>
      </c>
      <c r="Q1070">
        <v>135.41399999999999</v>
      </c>
      <c r="R1070">
        <v>5.0970000000000004</v>
      </c>
      <c r="S1070">
        <v>0.56808446099999999</v>
      </c>
      <c r="T1070">
        <v>0</v>
      </c>
      <c r="U1070">
        <v>0.89300000000000002</v>
      </c>
      <c r="V1070" s="1" t="str">
        <f>IF(Energy_data_1990___2020[[#This Row],[CO2 emissions from fuel combustion (MtCO2)]]&gt;Energy_data_1990___2020[[#Totals],[CO2 emissions from fuel combustion (MtCO2)]],"Above Average","")</f>
        <v/>
      </c>
      <c r="W1070" s="1">
        <f>SUM(Energy_data_1990___2020[[#This Row],[Coal and lignite production (Mt)]]-Energy_data_1990___2020[[#This Row],[Coal and lignite domestic consumption (Mt)]])</f>
        <v>-4.2040000000000006</v>
      </c>
    </row>
    <row r="1071" spans="1:23">
      <c r="A1071" t="s">
        <v>64</v>
      </c>
      <c r="B1071">
        <v>2005</v>
      </c>
      <c r="C1071" t="s">
        <v>30</v>
      </c>
      <c r="D1071">
        <v>50.397140899999997</v>
      </c>
      <c r="E1071">
        <v>0.97723122200000001</v>
      </c>
      <c r="F1071">
        <v>0.128004496</v>
      </c>
      <c r="G1071">
        <v>34.543492780000001</v>
      </c>
      <c r="H1071">
        <v>51.571357679999998</v>
      </c>
      <c r="I1071">
        <v>51.315681509999997</v>
      </c>
      <c r="J1071">
        <v>31.888978340000001</v>
      </c>
      <c r="K1071">
        <v>13.766999999999999</v>
      </c>
      <c r="L1071">
        <v>19.8</v>
      </c>
      <c r="N1071">
        <v>0.83899967900000005</v>
      </c>
      <c r="O1071">
        <v>0.13098690800000001</v>
      </c>
      <c r="P1071">
        <v>158.435</v>
      </c>
      <c r="Q1071">
        <v>135.41800000000001</v>
      </c>
      <c r="R1071">
        <v>4.5629999999999997</v>
      </c>
      <c r="S1071">
        <v>0.59140972599999997</v>
      </c>
      <c r="T1071">
        <v>0</v>
      </c>
      <c r="U1071">
        <v>0.70799999999999996</v>
      </c>
      <c r="V1071" s="1" t="str">
        <f>IF(Energy_data_1990___2020[[#This Row],[CO2 emissions from fuel combustion (MtCO2)]]&gt;Energy_data_1990___2020[[#Totals],[CO2 emissions from fuel combustion (MtCO2)]],"Above Average","")</f>
        <v/>
      </c>
      <c r="W1071" s="1">
        <f>SUM(Energy_data_1990___2020[[#This Row],[Coal and lignite production (Mt)]]-Energy_data_1990___2020[[#This Row],[Coal and lignite domestic consumption (Mt)]])</f>
        <v>-3.8549999999999995</v>
      </c>
    </row>
    <row r="1072" spans="1:23">
      <c r="A1072" t="s">
        <v>64</v>
      </c>
      <c r="B1072">
        <v>2006</v>
      </c>
      <c r="C1072" t="s">
        <v>30</v>
      </c>
      <c r="D1072">
        <v>51.37801846</v>
      </c>
      <c r="E1072">
        <v>1.023430139</v>
      </c>
      <c r="F1072">
        <v>0.124754052</v>
      </c>
      <c r="G1072">
        <v>32.64124399</v>
      </c>
      <c r="H1072">
        <v>50.201783689999999</v>
      </c>
      <c r="I1072">
        <v>49.64648296</v>
      </c>
      <c r="J1072">
        <v>32.05024324</v>
      </c>
      <c r="K1072">
        <v>13.526999999999999</v>
      </c>
      <c r="L1072">
        <v>20.123000000000001</v>
      </c>
      <c r="N1072">
        <v>0.85800040899999996</v>
      </c>
      <c r="O1072">
        <v>0.121897965</v>
      </c>
      <c r="P1072">
        <v>143.416</v>
      </c>
      <c r="Q1072">
        <v>135.357</v>
      </c>
      <c r="R1072">
        <v>4.899</v>
      </c>
      <c r="S1072">
        <v>0.68751045899999996</v>
      </c>
      <c r="T1072">
        <v>0</v>
      </c>
      <c r="U1072">
        <v>0.621</v>
      </c>
      <c r="V1072" s="1" t="str">
        <f>IF(Energy_data_1990___2020[[#This Row],[CO2 emissions from fuel combustion (MtCO2)]]&gt;Energy_data_1990___2020[[#Totals],[CO2 emissions from fuel combustion (MtCO2)]],"Above Average","")</f>
        <v/>
      </c>
      <c r="W1072" s="1">
        <f>SUM(Energy_data_1990___2020[[#This Row],[Coal and lignite production (Mt)]]-Energy_data_1990___2020[[#This Row],[Coal and lignite domestic consumption (Mt)]])</f>
        <v>-4.2780000000000005</v>
      </c>
    </row>
    <row r="1073" spans="1:23">
      <c r="A1073" t="s">
        <v>64</v>
      </c>
      <c r="B1073">
        <v>2007</v>
      </c>
      <c r="C1073" t="s">
        <v>30</v>
      </c>
      <c r="D1073">
        <v>48.916371400000003</v>
      </c>
      <c r="E1073">
        <v>0.979630165</v>
      </c>
      <c r="F1073">
        <v>0.114836859</v>
      </c>
      <c r="G1073">
        <v>33.310924720000003</v>
      </c>
      <c r="H1073">
        <v>49.933508750000001</v>
      </c>
      <c r="I1073">
        <v>52.058795879999998</v>
      </c>
      <c r="J1073">
        <v>31.959922129999999</v>
      </c>
      <c r="K1073">
        <v>13.143000000000001</v>
      </c>
      <c r="L1073">
        <v>17.952999999999999</v>
      </c>
      <c r="N1073">
        <v>0.93000068999999996</v>
      </c>
      <c r="O1073">
        <v>0.117224707</v>
      </c>
      <c r="P1073">
        <v>148.922</v>
      </c>
      <c r="Q1073">
        <v>135.64099999999999</v>
      </c>
      <c r="R1073">
        <v>4.610585757</v>
      </c>
      <c r="S1073">
        <v>0.95956272399999998</v>
      </c>
      <c r="T1073">
        <v>0</v>
      </c>
      <c r="U1073">
        <v>0.52</v>
      </c>
      <c r="V1073" s="1" t="str">
        <f>IF(Energy_data_1990___2020[[#This Row],[CO2 emissions from fuel combustion (MtCO2)]]&gt;Energy_data_1990___2020[[#Totals],[CO2 emissions from fuel combustion (MtCO2)]],"Above Average","")</f>
        <v/>
      </c>
      <c r="W1073" s="1">
        <f>SUM(Energy_data_1990___2020[[#This Row],[Coal and lignite production (Mt)]]-Energy_data_1990___2020[[#This Row],[Coal and lignite domestic consumption (Mt)]])</f>
        <v>-4.0905857569999995</v>
      </c>
    </row>
    <row r="1074" spans="1:23">
      <c r="A1074" t="s">
        <v>64</v>
      </c>
      <c r="B1074">
        <v>2008</v>
      </c>
      <c r="C1074" t="s">
        <v>30</v>
      </c>
      <c r="D1074">
        <v>47.993213089999998</v>
      </c>
      <c r="E1074">
        <v>0.96852052600000005</v>
      </c>
      <c r="F1074">
        <v>0.112943292</v>
      </c>
      <c r="G1074">
        <v>32.981569290000003</v>
      </c>
      <c r="H1074">
        <v>49.553119219999999</v>
      </c>
      <c r="I1074">
        <v>54.35289727</v>
      </c>
      <c r="J1074">
        <v>32.109920199999998</v>
      </c>
      <c r="K1074">
        <v>12.791</v>
      </c>
      <c r="L1074">
        <v>20.879000000000001</v>
      </c>
      <c r="N1074">
        <v>0.79700048999999995</v>
      </c>
      <c r="O1074">
        <v>0.116614247</v>
      </c>
      <c r="P1074">
        <v>150.03800000000001</v>
      </c>
      <c r="Q1074">
        <v>133.256</v>
      </c>
      <c r="R1074">
        <v>4.7758008329999999</v>
      </c>
      <c r="S1074">
        <v>1.334328637</v>
      </c>
      <c r="T1074">
        <v>0</v>
      </c>
      <c r="U1074">
        <v>0.83699999999999997</v>
      </c>
      <c r="V1074" s="1" t="str">
        <f>IF(Energy_data_1990___2020[[#This Row],[CO2 emissions from fuel combustion (MtCO2)]]&gt;Energy_data_1990___2020[[#Totals],[CO2 emissions from fuel combustion (MtCO2)]],"Above Average","")</f>
        <v/>
      </c>
      <c r="W1074" s="1">
        <f>SUM(Energy_data_1990___2020[[#This Row],[Coal and lignite production (Mt)]]-Energy_data_1990___2020[[#This Row],[Coal and lignite domestic consumption (Mt)]])</f>
        <v>-3.9388008330000002</v>
      </c>
    </row>
    <row r="1075" spans="1:23">
      <c r="A1075" t="s">
        <v>64</v>
      </c>
      <c r="B1075">
        <v>2009</v>
      </c>
      <c r="C1075" t="s">
        <v>30</v>
      </c>
      <c r="D1075">
        <v>44.117896569999999</v>
      </c>
      <c r="E1075">
        <v>0.97204990199999997</v>
      </c>
      <c r="F1075">
        <v>0.108416415</v>
      </c>
      <c r="G1075">
        <v>30.09645038</v>
      </c>
      <c r="H1075">
        <v>45.386452349999999</v>
      </c>
      <c r="I1075">
        <v>58.45979449</v>
      </c>
      <c r="J1075">
        <v>32.507247079999999</v>
      </c>
      <c r="K1075">
        <v>11.701000000000001</v>
      </c>
      <c r="L1075">
        <v>20.248000000000001</v>
      </c>
      <c r="N1075">
        <v>1.2389989029999999</v>
      </c>
      <c r="O1075">
        <v>0.111533796</v>
      </c>
      <c r="P1075">
        <v>136.73500000000001</v>
      </c>
      <c r="Q1075">
        <v>127.944</v>
      </c>
      <c r="R1075">
        <v>3.5135100769999998</v>
      </c>
      <c r="S1075">
        <v>1.826891432</v>
      </c>
      <c r="T1075">
        <v>0</v>
      </c>
      <c r="U1075">
        <v>0.70199999999999996</v>
      </c>
      <c r="V1075" s="1" t="str">
        <f>IF(Energy_data_1990___2020[[#This Row],[CO2 emissions from fuel combustion (MtCO2)]]&gt;Energy_data_1990___2020[[#Totals],[CO2 emissions from fuel combustion (MtCO2)]],"Above Average","")</f>
        <v/>
      </c>
      <c r="W1075" s="1">
        <f>SUM(Energy_data_1990___2020[[#This Row],[Coal and lignite production (Mt)]]-Energy_data_1990___2020[[#This Row],[Coal and lignite domestic consumption (Mt)]])</f>
        <v>-2.8115100769999999</v>
      </c>
    </row>
    <row r="1076" spans="1:23">
      <c r="A1076" t="s">
        <v>64</v>
      </c>
      <c r="B1076">
        <v>2010</v>
      </c>
      <c r="C1076" t="s">
        <v>30</v>
      </c>
      <c r="D1076">
        <v>49.207215239999996</v>
      </c>
      <c r="E1076">
        <v>0.96722822600000002</v>
      </c>
      <c r="F1076">
        <v>0.11387526000000001</v>
      </c>
      <c r="G1076">
        <v>32.81382953</v>
      </c>
      <c r="H1076">
        <v>50.874461599999997</v>
      </c>
      <c r="I1076">
        <v>55.328244069999997</v>
      </c>
      <c r="J1076">
        <v>31.696061709999999</v>
      </c>
      <c r="K1076">
        <v>12.492000000000001</v>
      </c>
      <c r="L1076">
        <v>20.768999999999998</v>
      </c>
      <c r="N1076">
        <v>1.571999769</v>
      </c>
      <c r="O1076">
        <v>0.11773359899999999</v>
      </c>
      <c r="P1076">
        <v>148.548</v>
      </c>
      <c r="Q1076">
        <v>136.63399999999999</v>
      </c>
      <c r="R1076">
        <v>4.637985359</v>
      </c>
      <c r="S1076">
        <v>2.3534480439999999</v>
      </c>
      <c r="T1076">
        <v>0</v>
      </c>
      <c r="U1076">
        <v>0.79700000000000004</v>
      </c>
      <c r="V1076" s="1" t="str">
        <f>IF(Energy_data_1990___2020[[#This Row],[CO2 emissions from fuel combustion (MtCO2)]]&gt;Energy_data_1990___2020[[#Totals],[CO2 emissions from fuel combustion (MtCO2)]],"Above Average","")</f>
        <v/>
      </c>
      <c r="W1076" s="1">
        <f>SUM(Energy_data_1990___2020[[#This Row],[Coal and lignite production (Mt)]]-Energy_data_1990___2020[[#This Row],[Coal and lignite domestic consumption (Mt)]])</f>
        <v>-3.8409853589999998</v>
      </c>
    </row>
    <row r="1077" spans="1:23">
      <c r="A1077" t="s">
        <v>64</v>
      </c>
      <c r="B1077">
        <v>2011</v>
      </c>
      <c r="C1077" t="s">
        <v>30</v>
      </c>
      <c r="D1077">
        <v>44.81784253</v>
      </c>
      <c r="E1077">
        <v>0.90403160800000004</v>
      </c>
      <c r="F1077">
        <v>0.100645359</v>
      </c>
      <c r="G1077">
        <v>32.67778191</v>
      </c>
      <c r="H1077">
        <v>49.575526050000001</v>
      </c>
      <c r="I1077">
        <v>55.988830159999999</v>
      </c>
      <c r="J1077">
        <v>31.766514699999998</v>
      </c>
      <c r="K1077">
        <v>11.515000000000001</v>
      </c>
      <c r="L1077">
        <v>19.62</v>
      </c>
      <c r="N1077">
        <v>1.3149998549999999</v>
      </c>
      <c r="O1077">
        <v>0.111329469</v>
      </c>
      <c r="P1077">
        <v>150.405</v>
      </c>
      <c r="Q1077">
        <v>128.96100000000001</v>
      </c>
      <c r="R1077">
        <v>4.1832783190000002</v>
      </c>
      <c r="S1077">
        <v>4.0676839200000003</v>
      </c>
      <c r="T1077">
        <v>0</v>
      </c>
      <c r="U1077">
        <v>0.73599999999999999</v>
      </c>
      <c r="V1077" s="1" t="str">
        <f>IF(Energy_data_1990___2020[[#This Row],[CO2 emissions from fuel combustion (MtCO2)]]&gt;Energy_data_1990___2020[[#Totals],[CO2 emissions from fuel combustion (MtCO2)]],"Above Average","")</f>
        <v/>
      </c>
      <c r="W1077" s="1">
        <f>SUM(Energy_data_1990___2020[[#This Row],[Coal and lignite production (Mt)]]-Energy_data_1990___2020[[#This Row],[Coal and lignite domestic consumption (Mt)]])</f>
        <v>-3.4472783190000005</v>
      </c>
    </row>
    <row r="1078" spans="1:23">
      <c r="A1078" t="s">
        <v>64</v>
      </c>
      <c r="B1078">
        <v>2012</v>
      </c>
      <c r="C1078" t="s">
        <v>30</v>
      </c>
      <c r="D1078">
        <v>42.021559490000001</v>
      </c>
      <c r="E1078">
        <v>0.83908307400000004</v>
      </c>
      <c r="F1078">
        <v>9.4965079999999993E-2</v>
      </c>
      <c r="G1078">
        <v>35.5853915</v>
      </c>
      <c r="H1078">
        <v>50.080332650000003</v>
      </c>
      <c r="I1078">
        <v>59.098468429999997</v>
      </c>
      <c r="J1078">
        <v>32.387583990000003</v>
      </c>
      <c r="K1078">
        <v>11.048</v>
      </c>
      <c r="L1078">
        <v>21.408999999999999</v>
      </c>
      <c r="N1078">
        <v>1.178001246</v>
      </c>
      <c r="O1078">
        <v>0.113177209</v>
      </c>
      <c r="P1078">
        <v>166.56100000000001</v>
      </c>
      <c r="Q1078">
        <v>132.11600000000001</v>
      </c>
      <c r="R1078">
        <v>3.5306784219999998</v>
      </c>
      <c r="S1078">
        <v>4.312534147</v>
      </c>
      <c r="T1078">
        <v>0</v>
      </c>
      <c r="U1078">
        <v>0.47199999999999998</v>
      </c>
      <c r="V1078" s="1" t="str">
        <f>IF(Energy_data_1990___2020[[#This Row],[CO2 emissions from fuel combustion (MtCO2)]]&gt;Energy_data_1990___2020[[#Totals],[CO2 emissions from fuel combustion (MtCO2)]],"Above Average","")</f>
        <v/>
      </c>
      <c r="W1078" s="1">
        <f>SUM(Energy_data_1990___2020[[#This Row],[Coal and lignite production (Mt)]]-Energy_data_1990___2020[[#This Row],[Coal and lignite domestic consumption (Mt)]])</f>
        <v>-3.0586784219999998</v>
      </c>
    </row>
    <row r="1079" spans="1:23">
      <c r="A1079" t="s">
        <v>64</v>
      </c>
      <c r="B1079">
        <v>2013</v>
      </c>
      <c r="C1079" t="s">
        <v>30</v>
      </c>
      <c r="D1079">
        <v>40.56261585</v>
      </c>
      <c r="E1079">
        <v>0.82326835300000001</v>
      </c>
      <c r="F1079">
        <v>9.0681531999999995E-2</v>
      </c>
      <c r="G1079">
        <v>34.590130520000002</v>
      </c>
      <c r="H1079">
        <v>49.270223610000002</v>
      </c>
      <c r="I1079">
        <v>54.074011200000001</v>
      </c>
      <c r="J1079">
        <v>32.318602519999999</v>
      </c>
      <c r="K1079">
        <v>10.701000000000001</v>
      </c>
      <c r="L1079">
        <v>17.584</v>
      </c>
      <c r="N1079">
        <v>1.077000602</v>
      </c>
      <c r="O1079">
        <v>0.110148206</v>
      </c>
      <c r="P1079">
        <v>153.166</v>
      </c>
      <c r="Q1079">
        <v>129.34100000000001</v>
      </c>
      <c r="R1079">
        <v>3.5656974090000002</v>
      </c>
      <c r="S1079">
        <v>6.4485590799999999</v>
      </c>
      <c r="T1079">
        <v>0</v>
      </c>
      <c r="U1079">
        <v>0.624</v>
      </c>
      <c r="V1079" s="1" t="str">
        <f>IF(Energy_data_1990___2020[[#This Row],[CO2 emissions from fuel combustion (MtCO2)]]&gt;Energy_data_1990___2020[[#Totals],[CO2 emissions from fuel combustion (MtCO2)]],"Above Average","")</f>
        <v/>
      </c>
      <c r="W1079" s="1">
        <f>SUM(Energy_data_1990___2020[[#This Row],[Coal and lignite production (Mt)]]-Energy_data_1990___2020[[#This Row],[Coal and lignite domestic consumption (Mt)]])</f>
        <v>-2.9416974090000001</v>
      </c>
    </row>
    <row r="1080" spans="1:23">
      <c r="A1080" t="s">
        <v>64</v>
      </c>
      <c r="B1080">
        <v>2014</v>
      </c>
      <c r="C1080" t="s">
        <v>30</v>
      </c>
      <c r="D1080">
        <v>39.24044525</v>
      </c>
      <c r="E1080">
        <v>0.81653615499999999</v>
      </c>
      <c r="F1080">
        <v>8.5380059999999994E-2</v>
      </c>
      <c r="G1080">
        <v>34.279829530000001</v>
      </c>
      <c r="H1080">
        <v>48.057204810000002</v>
      </c>
      <c r="I1080">
        <v>55.869012060000003</v>
      </c>
      <c r="J1080">
        <v>32.359903379999999</v>
      </c>
      <c r="K1080">
        <v>10.465</v>
      </c>
      <c r="L1080">
        <v>19.798999999999999</v>
      </c>
      <c r="N1080">
        <v>0.91999913200000005</v>
      </c>
      <c r="O1080">
        <v>0.104563722</v>
      </c>
      <c r="P1080">
        <v>153.66300000000001</v>
      </c>
      <c r="Q1080">
        <v>126.845</v>
      </c>
      <c r="R1080">
        <v>3.2482844150000001</v>
      </c>
      <c r="S1080">
        <v>7.342040699</v>
      </c>
      <c r="T1080">
        <v>0</v>
      </c>
      <c r="U1080">
        <v>0.45</v>
      </c>
      <c r="V1080" s="1" t="str">
        <f>IF(Energy_data_1990___2020[[#This Row],[CO2 emissions from fuel combustion (MtCO2)]]&gt;Energy_data_1990___2020[[#Totals],[CO2 emissions from fuel combustion (MtCO2)]],"Above Average","")</f>
        <v/>
      </c>
      <c r="W1080" s="1">
        <f>SUM(Energy_data_1990___2020[[#This Row],[Coal and lignite production (Mt)]]-Energy_data_1990___2020[[#This Row],[Coal and lignite domestic consumption (Mt)]])</f>
        <v>-2.7982844149999999</v>
      </c>
    </row>
    <row r="1081" spans="1:23">
      <c r="A1081" t="s">
        <v>64</v>
      </c>
      <c r="B1081">
        <v>2015</v>
      </c>
      <c r="C1081" t="s">
        <v>30</v>
      </c>
      <c r="D1081">
        <v>38.958300209999997</v>
      </c>
      <c r="E1081">
        <v>0.87818745399999998</v>
      </c>
      <c r="F1081">
        <v>8.1177470000000002E-2</v>
      </c>
      <c r="G1081">
        <v>33.807814409999999</v>
      </c>
      <c r="H1081">
        <v>44.362168969999999</v>
      </c>
      <c r="I1081">
        <v>63.303765300000002</v>
      </c>
      <c r="J1081">
        <v>32.691853000000002</v>
      </c>
      <c r="K1081">
        <v>10.189</v>
      </c>
      <c r="L1081">
        <v>21.367000000000001</v>
      </c>
      <c r="N1081">
        <v>0.96400030800000003</v>
      </c>
      <c r="O1081">
        <v>9.2437519999999995E-2</v>
      </c>
      <c r="P1081">
        <v>162.11199999999999</v>
      </c>
      <c r="Q1081">
        <v>129.27500000000001</v>
      </c>
      <c r="R1081">
        <v>3.176323945</v>
      </c>
      <c r="S1081">
        <v>10.12818298</v>
      </c>
      <c r="T1081">
        <v>0</v>
      </c>
      <c r="U1081">
        <v>0.36899999999999999</v>
      </c>
      <c r="V1081" s="1" t="str">
        <f>IF(Energy_data_1990___2020[[#This Row],[CO2 emissions from fuel combustion (MtCO2)]]&gt;Energy_data_1990___2020[[#Totals],[CO2 emissions from fuel combustion (MtCO2)]],"Above Average","")</f>
        <v/>
      </c>
      <c r="W1081" s="1">
        <f>SUM(Energy_data_1990___2020[[#This Row],[Coal and lignite production (Mt)]]-Energy_data_1990___2020[[#This Row],[Coal and lignite domestic consumption (Mt)]])</f>
        <v>-2.8073239450000003</v>
      </c>
    </row>
    <row r="1082" spans="1:23">
      <c r="A1082" t="s">
        <v>64</v>
      </c>
      <c r="B1082">
        <v>2016</v>
      </c>
      <c r="C1082" t="s">
        <v>30</v>
      </c>
      <c r="D1082">
        <v>39.030626490000003</v>
      </c>
      <c r="E1082">
        <v>0.81750344399999997</v>
      </c>
      <c r="F1082">
        <v>7.9411936000000002E-2</v>
      </c>
      <c r="G1082">
        <v>34.757095040000003</v>
      </c>
      <c r="H1082">
        <v>47.743684500000001</v>
      </c>
      <c r="I1082">
        <v>57.205307349999998</v>
      </c>
      <c r="J1082">
        <v>32.609381900000002</v>
      </c>
      <c r="K1082">
        <v>10.348000000000001</v>
      </c>
      <c r="L1082">
        <v>21.210999999999999</v>
      </c>
      <c r="N1082">
        <v>0.92100065499999995</v>
      </c>
      <c r="O1082">
        <v>9.7139574000000006E-2</v>
      </c>
      <c r="P1082">
        <v>156.01</v>
      </c>
      <c r="Q1082">
        <v>132.05699999999999</v>
      </c>
      <c r="R1082">
        <v>3.1400624709999998</v>
      </c>
      <c r="S1082">
        <v>10.01346068</v>
      </c>
      <c r="T1082">
        <v>3.0000000000000001E-3</v>
      </c>
      <c r="U1082">
        <v>0.42399999999999999</v>
      </c>
      <c r="V1082" s="1" t="str">
        <f>IF(Energy_data_1990___2020[[#This Row],[CO2 emissions from fuel combustion (MtCO2)]]&gt;Energy_data_1990___2020[[#Totals],[CO2 emissions from fuel combustion (MtCO2)]],"Above Average","")</f>
        <v/>
      </c>
      <c r="W1082" s="1">
        <f>SUM(Energy_data_1990___2020[[#This Row],[Coal and lignite production (Mt)]]-Energy_data_1990___2020[[#This Row],[Coal and lignite domestic consumption (Mt)]])</f>
        <v>-2.7160624709999999</v>
      </c>
    </row>
    <row r="1083" spans="1:23">
      <c r="A1083" t="s">
        <v>64</v>
      </c>
      <c r="B1083">
        <v>2017</v>
      </c>
      <c r="C1083" t="s">
        <v>30</v>
      </c>
      <c r="D1083">
        <v>39.056413059999997</v>
      </c>
      <c r="E1083">
        <v>0.79623512100000005</v>
      </c>
      <c r="F1083">
        <v>7.7592974999999995E-2</v>
      </c>
      <c r="G1083">
        <v>35.997792060000002</v>
      </c>
      <c r="H1083">
        <v>49.051356830000003</v>
      </c>
      <c r="I1083">
        <v>57.889193300000002</v>
      </c>
      <c r="J1083">
        <v>32.190727180000003</v>
      </c>
      <c r="K1083">
        <v>10.209637000000001</v>
      </c>
      <c r="L1083">
        <v>21.132000000000001</v>
      </c>
      <c r="N1083">
        <v>1.1410004309999999</v>
      </c>
      <c r="O1083">
        <v>9.7449827000000003E-2</v>
      </c>
      <c r="P1083">
        <v>164.25</v>
      </c>
      <c r="Q1083">
        <v>132.00299999999999</v>
      </c>
      <c r="R1083">
        <v>3.1194793760000001</v>
      </c>
      <c r="S1083">
        <v>10.860882800000001</v>
      </c>
      <c r="T1083">
        <v>2E-3</v>
      </c>
      <c r="U1083">
        <v>0.377</v>
      </c>
      <c r="V1083" s="1" t="str">
        <f>IF(Energy_data_1990___2020[[#This Row],[CO2 emissions from fuel combustion (MtCO2)]]&gt;Energy_data_1990___2020[[#Totals],[CO2 emissions from fuel combustion (MtCO2)]],"Above Average","")</f>
        <v/>
      </c>
      <c r="W1083" s="1">
        <f>SUM(Energy_data_1990___2020[[#This Row],[Coal and lignite production (Mt)]]-Energy_data_1990___2020[[#This Row],[Coal and lignite domestic consumption (Mt)]])</f>
        <v>-2.7424793760000004</v>
      </c>
    </row>
    <row r="1084" spans="1:23">
      <c r="A1084" t="s">
        <v>64</v>
      </c>
      <c r="B1084">
        <v>2018</v>
      </c>
      <c r="C1084" t="s">
        <v>30</v>
      </c>
      <c r="D1084">
        <v>36.586451760000003</v>
      </c>
      <c r="E1084">
        <v>0.73561192500000006</v>
      </c>
      <c r="F1084">
        <v>7.1103701000000005E-2</v>
      </c>
      <c r="G1084">
        <v>36.300874120000003</v>
      </c>
      <c r="H1084">
        <v>49.736077590000001</v>
      </c>
      <c r="I1084">
        <v>55.80966952</v>
      </c>
      <c r="J1084">
        <v>32.870999699999999</v>
      </c>
      <c r="K1084">
        <v>9.1316319999999997</v>
      </c>
      <c r="L1084">
        <v>21.649000000000001</v>
      </c>
      <c r="N1084">
        <v>1.223001359</v>
      </c>
      <c r="O1084">
        <v>9.6659254999999999E-2</v>
      </c>
      <c r="P1084">
        <v>163.4</v>
      </c>
      <c r="Q1084">
        <v>131.85900000000001</v>
      </c>
      <c r="R1084">
        <v>3.225051895</v>
      </c>
      <c r="S1084">
        <v>10.42227662</v>
      </c>
      <c r="T1084">
        <v>1E-3</v>
      </c>
      <c r="U1084">
        <v>0.53500000000000003</v>
      </c>
      <c r="V1084" s="1" t="str">
        <f>IF(Energy_data_1990___2020[[#This Row],[CO2 emissions from fuel combustion (MtCO2)]]&gt;Energy_data_1990___2020[[#Totals],[CO2 emissions from fuel combustion (MtCO2)]],"Above Average","")</f>
        <v/>
      </c>
      <c r="W1084" s="1">
        <f>SUM(Energy_data_1990___2020[[#This Row],[Coal and lignite production (Mt)]]-Energy_data_1990___2020[[#This Row],[Coal and lignite domestic consumption (Mt)]])</f>
        <v>-2.6900518949999999</v>
      </c>
    </row>
    <row r="1085" spans="1:23">
      <c r="A1085" t="s">
        <v>64</v>
      </c>
      <c r="B1085">
        <v>2019</v>
      </c>
      <c r="C1085" t="s">
        <v>30</v>
      </c>
      <c r="D1085">
        <v>36.072824369999999</v>
      </c>
      <c r="E1085">
        <v>0.73846548499999998</v>
      </c>
      <c r="F1085">
        <v>6.9232474000000002E-2</v>
      </c>
      <c r="G1085">
        <v>36.804453170000002</v>
      </c>
      <c r="H1085">
        <v>48.84835528</v>
      </c>
      <c r="I1085">
        <v>58.511529000000003</v>
      </c>
      <c r="J1085">
        <v>32.601676329999997</v>
      </c>
      <c r="K1085">
        <v>8.8268917810000005</v>
      </c>
      <c r="L1085">
        <v>16.755361409999999</v>
      </c>
      <c r="N1085">
        <v>1.2150678619999999</v>
      </c>
      <c r="O1085">
        <v>9.3751807000000006E-2</v>
      </c>
      <c r="P1085">
        <v>169.10776079999999</v>
      </c>
      <c r="Q1085">
        <v>128.31681259999999</v>
      </c>
      <c r="R1085">
        <v>3.0622106050000002</v>
      </c>
      <c r="S1085">
        <v>12.14440445</v>
      </c>
      <c r="T1085">
        <v>5.0000000000000001E-3</v>
      </c>
      <c r="U1085">
        <v>0.53500000000000003</v>
      </c>
      <c r="V1085" s="1" t="str">
        <f>IF(Energy_data_1990___2020[[#This Row],[CO2 emissions from fuel combustion (MtCO2)]]&gt;Energy_data_1990___2020[[#Totals],[CO2 emissions from fuel combustion (MtCO2)]],"Above Average","")</f>
        <v/>
      </c>
      <c r="W1085" s="1">
        <f>SUM(Energy_data_1990___2020[[#This Row],[Coal and lignite production (Mt)]]-Energy_data_1990___2020[[#This Row],[Coal and lignite domestic consumption (Mt)]])</f>
        <v>-2.5272106050000001</v>
      </c>
    </row>
    <row r="1086" spans="1:23">
      <c r="A1086" t="s">
        <v>64</v>
      </c>
      <c r="B1086">
        <v>2020</v>
      </c>
      <c r="C1086" t="s">
        <v>30</v>
      </c>
      <c r="D1086">
        <v>32.202288799999998</v>
      </c>
      <c r="E1086">
        <v>0.68789304299999998</v>
      </c>
      <c r="F1086">
        <v>6.3649824999999993E-2</v>
      </c>
      <c r="G1086">
        <v>32.866519080000003</v>
      </c>
      <c r="H1086">
        <v>46.8129299</v>
      </c>
      <c r="I1086">
        <v>68.402780710000002</v>
      </c>
      <c r="J1086">
        <v>32.741916510000003</v>
      </c>
      <c r="K1086">
        <v>7.9306070860000002</v>
      </c>
      <c r="L1086">
        <v>18.43099921</v>
      </c>
      <c r="N1086">
        <v>1.2535233429999999</v>
      </c>
      <c r="O1086">
        <v>9.2528664999999996E-2</v>
      </c>
      <c r="P1086">
        <v>163.68373539999999</v>
      </c>
      <c r="Q1086">
        <v>123.4699071</v>
      </c>
      <c r="R1086">
        <v>2.6886578050000001</v>
      </c>
      <c r="S1086">
        <v>17.300287409999999</v>
      </c>
      <c r="T1086">
        <v>4.0000000000000001E-3</v>
      </c>
      <c r="U1086">
        <v>0.53500000000000003</v>
      </c>
      <c r="V1086" s="1" t="str">
        <f>IF(Energy_data_1990___2020[[#This Row],[CO2 emissions from fuel combustion (MtCO2)]]&gt;Energy_data_1990___2020[[#Totals],[CO2 emissions from fuel combustion (MtCO2)]],"Above Average","")</f>
        <v/>
      </c>
      <c r="W1086" s="1">
        <f>SUM(Energy_data_1990___2020[[#This Row],[Coal and lignite production (Mt)]]-Energy_data_1990___2020[[#This Row],[Coal and lignite domestic consumption (Mt)]])</f>
        <v>-2.1536578049999999</v>
      </c>
    </row>
    <row r="1087" spans="1:23">
      <c r="A1087" t="s">
        <v>65</v>
      </c>
      <c r="B1087">
        <v>1990</v>
      </c>
      <c r="C1087" t="s">
        <v>28</v>
      </c>
      <c r="D1087">
        <v>112.395763</v>
      </c>
      <c r="E1087">
        <v>2.3611966529999999</v>
      </c>
      <c r="F1087">
        <v>0.67150719800000003</v>
      </c>
      <c r="G1087">
        <v>10.63247112</v>
      </c>
      <c r="H1087">
        <v>47.601186810000002</v>
      </c>
      <c r="I1087">
        <v>9.0804279139999995</v>
      </c>
      <c r="J1087">
        <v>21.513242859999998</v>
      </c>
      <c r="K1087">
        <v>24.734000000000002</v>
      </c>
      <c r="L1087">
        <v>21.46</v>
      </c>
      <c r="M1087">
        <v>1.2899989380000001</v>
      </c>
      <c r="N1087">
        <v>1.7239982060000001</v>
      </c>
      <c r="O1087">
        <v>0.284392745</v>
      </c>
      <c r="P1087">
        <v>90.204999999999998</v>
      </c>
      <c r="Q1087">
        <v>78.81</v>
      </c>
      <c r="R1087">
        <v>17.36476944</v>
      </c>
      <c r="S1087">
        <v>0</v>
      </c>
      <c r="T1087">
        <v>0.17499999999999999</v>
      </c>
      <c r="U1087">
        <v>0</v>
      </c>
      <c r="V1087" s="1" t="str">
        <f>IF(Energy_data_1990___2020[[#This Row],[CO2 emissions from fuel combustion (MtCO2)]]&gt;Energy_data_1990___2020[[#Totals],[CO2 emissions from fuel combustion (MtCO2)]],"Above Average","")</f>
        <v/>
      </c>
      <c r="W1087" s="1">
        <f>SUM(Energy_data_1990___2020[[#This Row],[Coal and lignite production (Mt)]]-Energy_data_1990___2020[[#This Row],[Coal and lignite domestic consumption (Mt)]])</f>
        <v>-17.36476944</v>
      </c>
    </row>
    <row r="1088" spans="1:23">
      <c r="A1088" t="s">
        <v>65</v>
      </c>
      <c r="B1088">
        <v>1991</v>
      </c>
      <c r="C1088" t="s">
        <v>28</v>
      </c>
      <c r="D1088">
        <v>121.59026919999999</v>
      </c>
      <c r="E1088">
        <v>2.3601690560000002</v>
      </c>
      <c r="F1088">
        <v>0.67541854800000001</v>
      </c>
      <c r="G1088">
        <v>10.688049729999999</v>
      </c>
      <c r="H1088">
        <v>51.517610099999999</v>
      </c>
      <c r="I1088">
        <v>5.555611571</v>
      </c>
      <c r="J1088">
        <v>22.4025912</v>
      </c>
      <c r="K1088">
        <v>25.788</v>
      </c>
      <c r="L1088">
        <v>23.042999999999999</v>
      </c>
      <c r="M1088">
        <v>0.98700001599999998</v>
      </c>
      <c r="N1088">
        <v>2.7550006950000001</v>
      </c>
      <c r="O1088">
        <v>0.28617379999999998</v>
      </c>
      <c r="P1088">
        <v>99.179000000000002</v>
      </c>
      <c r="Q1088">
        <v>87.078000000000003</v>
      </c>
      <c r="R1088">
        <v>19.035773850000002</v>
      </c>
      <c r="S1088">
        <v>0</v>
      </c>
      <c r="T1088">
        <v>0.108</v>
      </c>
      <c r="U1088">
        <v>0</v>
      </c>
      <c r="V1088" s="1" t="str">
        <f>IF(Energy_data_1990___2020[[#This Row],[CO2 emissions from fuel combustion (MtCO2)]]&gt;Energy_data_1990___2020[[#Totals],[CO2 emissions from fuel combustion (MtCO2)]],"Above Average","")</f>
        <v/>
      </c>
      <c r="W1088" s="1">
        <f>SUM(Energy_data_1990___2020[[#This Row],[Coal and lignite production (Mt)]]-Energy_data_1990___2020[[#This Row],[Coal and lignite domestic consumption (Mt)]])</f>
        <v>-19.035773850000002</v>
      </c>
    </row>
    <row r="1089" spans="1:23">
      <c r="A1089" t="s">
        <v>65</v>
      </c>
      <c r="B1089">
        <v>1992</v>
      </c>
      <c r="C1089" t="s">
        <v>28</v>
      </c>
      <c r="D1089">
        <v>128.9307949</v>
      </c>
      <c r="E1089">
        <v>2.399333006</v>
      </c>
      <c r="F1089">
        <v>0.66630496900000002</v>
      </c>
      <c r="G1089">
        <v>10.36262945</v>
      </c>
      <c r="H1089">
        <v>53.736098570000003</v>
      </c>
      <c r="I1089">
        <v>7.9152847529999999</v>
      </c>
      <c r="J1089">
        <v>22.54146197</v>
      </c>
      <c r="K1089">
        <v>26.149000000000001</v>
      </c>
      <c r="L1089">
        <v>23.138999999999999</v>
      </c>
      <c r="M1089">
        <v>0.85499893999999999</v>
      </c>
      <c r="N1089">
        <v>2.9130007340000001</v>
      </c>
      <c r="O1089">
        <v>0.27770424799999999</v>
      </c>
      <c r="P1089">
        <v>105.53</v>
      </c>
      <c r="Q1089">
        <v>93.025000000000006</v>
      </c>
      <c r="R1089">
        <v>21.924819800000002</v>
      </c>
      <c r="S1089">
        <v>0</v>
      </c>
      <c r="T1089">
        <v>6.5000000000000002E-2</v>
      </c>
      <c r="U1089">
        <v>0</v>
      </c>
      <c r="V1089" s="1" t="str">
        <f>IF(Energy_data_1990___2020[[#This Row],[CO2 emissions from fuel combustion (MtCO2)]]&gt;Energy_data_1990___2020[[#Totals],[CO2 emissions from fuel combustion (MtCO2)]],"Above Average","")</f>
        <v/>
      </c>
      <c r="W1089" s="1">
        <f>SUM(Energy_data_1990___2020[[#This Row],[Coal and lignite production (Mt)]]-Energy_data_1990___2020[[#This Row],[Coal and lignite domestic consumption (Mt)]])</f>
        <v>-21.924819800000002</v>
      </c>
    </row>
    <row r="1090" spans="1:23">
      <c r="A1090" t="s">
        <v>65</v>
      </c>
      <c r="B1090">
        <v>1993</v>
      </c>
      <c r="C1090" t="s">
        <v>28</v>
      </c>
      <c r="D1090">
        <v>138.09916569999999</v>
      </c>
      <c r="E1090">
        <v>2.400037668</v>
      </c>
      <c r="F1090">
        <v>0.66691071300000004</v>
      </c>
      <c r="G1090">
        <v>10.257913820000001</v>
      </c>
      <c r="H1090">
        <v>57.540415950000003</v>
      </c>
      <c r="I1090">
        <v>5.8330801609999998</v>
      </c>
      <c r="J1090">
        <v>23.3068028</v>
      </c>
      <c r="K1090">
        <v>28.026</v>
      </c>
      <c r="L1090">
        <v>25.45</v>
      </c>
      <c r="M1090">
        <v>0.82799999999999996</v>
      </c>
      <c r="N1090">
        <v>2.8080030589999998</v>
      </c>
      <c r="O1090">
        <v>0.27787510199999998</v>
      </c>
      <c r="P1090">
        <v>115.205</v>
      </c>
      <c r="Q1090">
        <v>101.38500000000001</v>
      </c>
      <c r="R1090">
        <v>23.904374579999999</v>
      </c>
      <c r="S1090">
        <v>0</v>
      </c>
      <c r="T1090">
        <v>5.8999999999999997E-2</v>
      </c>
      <c r="U1090">
        <v>0</v>
      </c>
      <c r="V1090" s="1" t="str">
        <f>IF(Energy_data_1990___2020[[#This Row],[CO2 emissions from fuel combustion (MtCO2)]]&gt;Energy_data_1990___2020[[#Totals],[CO2 emissions from fuel combustion (MtCO2)]],"Above Average","")</f>
        <v/>
      </c>
      <c r="W1090" s="1">
        <f>SUM(Energy_data_1990___2020[[#This Row],[Coal and lignite production (Mt)]]-Energy_data_1990___2020[[#This Row],[Coal and lignite domestic consumption (Mt)]])</f>
        <v>-23.904374579999999</v>
      </c>
    </row>
    <row r="1091" spans="1:23">
      <c r="A1091" t="s">
        <v>65</v>
      </c>
      <c r="B1091">
        <v>1994</v>
      </c>
      <c r="C1091" t="s">
        <v>28</v>
      </c>
      <c r="D1091">
        <v>146.32575439999999</v>
      </c>
      <c r="E1091">
        <v>2.4246368490000001</v>
      </c>
      <c r="F1091">
        <v>0.65974379699999997</v>
      </c>
      <c r="G1091">
        <v>10.52251152</v>
      </c>
      <c r="H1091">
        <v>60.349554789999999</v>
      </c>
      <c r="I1091">
        <v>7.1303636189999997</v>
      </c>
      <c r="J1091">
        <v>23.55644139</v>
      </c>
      <c r="K1091">
        <v>29.57</v>
      </c>
      <c r="L1091">
        <v>24.928999999999998</v>
      </c>
      <c r="M1091">
        <v>0.90799983900000003</v>
      </c>
      <c r="N1091">
        <v>3.712997675</v>
      </c>
      <c r="O1091">
        <v>0.27210004599999998</v>
      </c>
      <c r="P1091">
        <v>124.636</v>
      </c>
      <c r="Q1091">
        <v>108.65</v>
      </c>
      <c r="R1091">
        <v>25.092768159999999</v>
      </c>
      <c r="S1091">
        <v>0</v>
      </c>
      <c r="T1091">
        <v>6.2E-2</v>
      </c>
      <c r="U1091">
        <v>0</v>
      </c>
      <c r="V1091" s="1" t="str">
        <f>IF(Energy_data_1990___2020[[#This Row],[CO2 emissions from fuel combustion (MtCO2)]]&gt;Energy_data_1990___2020[[#Totals],[CO2 emissions from fuel combustion (MtCO2)]],"Above Average","")</f>
        <v/>
      </c>
      <c r="W1091" s="1">
        <f>SUM(Energy_data_1990___2020[[#This Row],[Coal and lignite production (Mt)]]-Energy_data_1990___2020[[#This Row],[Coal and lignite domestic consumption (Mt)]])</f>
        <v>-25.092768159999999</v>
      </c>
    </row>
    <row r="1092" spans="1:23">
      <c r="A1092" t="s">
        <v>65</v>
      </c>
      <c r="B1092">
        <v>1995</v>
      </c>
      <c r="C1092" t="s">
        <v>28</v>
      </c>
      <c r="D1092">
        <v>155.15737720000001</v>
      </c>
      <c r="E1092">
        <v>2.445258795</v>
      </c>
      <c r="F1092">
        <v>0.65733578599999998</v>
      </c>
      <c r="G1092">
        <v>10.61858031</v>
      </c>
      <c r="H1092">
        <v>63.452333779999996</v>
      </c>
      <c r="I1092">
        <v>6.6701724069999999</v>
      </c>
      <c r="J1092">
        <v>23.866783359999999</v>
      </c>
      <c r="K1092">
        <v>32.014000000000003</v>
      </c>
      <c r="L1092">
        <v>30.141999999999999</v>
      </c>
      <c r="M1092">
        <v>0.94200019300000004</v>
      </c>
      <c r="N1092">
        <v>3.9570002689999999</v>
      </c>
      <c r="O1092">
        <v>0.26882053900000002</v>
      </c>
      <c r="P1092">
        <v>133.11500000000001</v>
      </c>
      <c r="Q1092">
        <v>115.837</v>
      </c>
      <c r="R1092">
        <v>25.925031149999999</v>
      </c>
      <c r="S1092">
        <v>0</v>
      </c>
      <c r="T1092">
        <v>5.6000000000000001E-2</v>
      </c>
      <c r="U1092">
        <v>0</v>
      </c>
      <c r="V1092" s="1" t="str">
        <f>IF(Energy_data_1990___2020[[#This Row],[CO2 emissions from fuel combustion (MtCO2)]]&gt;Energy_data_1990___2020[[#Totals],[CO2 emissions from fuel combustion (MtCO2)]],"Above Average","")</f>
        <v/>
      </c>
      <c r="W1092" s="1">
        <f>SUM(Energy_data_1990___2020[[#This Row],[Coal and lignite production (Mt)]]-Energy_data_1990___2020[[#This Row],[Coal and lignite domestic consumption (Mt)]])</f>
        <v>-25.925031149999999</v>
      </c>
    </row>
    <row r="1093" spans="1:23">
      <c r="A1093" t="s">
        <v>65</v>
      </c>
      <c r="B1093">
        <v>1996</v>
      </c>
      <c r="C1093" t="s">
        <v>28</v>
      </c>
      <c r="D1093">
        <v>162.8436178</v>
      </c>
      <c r="E1093">
        <v>2.4401596909999999</v>
      </c>
      <c r="F1093">
        <v>0.65022113400000003</v>
      </c>
      <c r="G1093">
        <v>11.173467280000001</v>
      </c>
      <c r="H1093">
        <v>66.734820020000001</v>
      </c>
      <c r="I1093">
        <v>6.3706740489999998</v>
      </c>
      <c r="J1093">
        <v>24.371413789999998</v>
      </c>
      <c r="K1093">
        <v>31.928999999999998</v>
      </c>
      <c r="L1093">
        <v>32.033000000000001</v>
      </c>
      <c r="M1093">
        <v>0.90100099300000003</v>
      </c>
      <c r="N1093">
        <v>4.120997912</v>
      </c>
      <c r="O1093">
        <v>0.26646663199999998</v>
      </c>
      <c r="P1093">
        <v>141.96299999999999</v>
      </c>
      <c r="Q1093">
        <v>123.146</v>
      </c>
      <c r="R1093">
        <v>29.64703115</v>
      </c>
      <c r="S1093">
        <v>3.3257579999999998E-3</v>
      </c>
      <c r="T1093">
        <v>5.3999999999999999E-2</v>
      </c>
      <c r="U1093">
        <v>0</v>
      </c>
      <c r="V1093" s="1" t="str">
        <f>IF(Energy_data_1990___2020[[#This Row],[CO2 emissions from fuel combustion (MtCO2)]]&gt;Energy_data_1990___2020[[#Totals],[CO2 emissions from fuel combustion (MtCO2)]],"Above Average","")</f>
        <v/>
      </c>
      <c r="W1093" s="1">
        <f>SUM(Energy_data_1990___2020[[#This Row],[Coal and lignite production (Mt)]]-Energy_data_1990___2020[[#This Row],[Coal and lignite domestic consumption (Mt)]])</f>
        <v>-29.64703115</v>
      </c>
    </row>
    <row r="1094" spans="1:23">
      <c r="A1094" t="s">
        <v>65</v>
      </c>
      <c r="B1094">
        <v>1997</v>
      </c>
      <c r="C1094" t="s">
        <v>28</v>
      </c>
      <c r="D1094">
        <v>175.597936</v>
      </c>
      <c r="E1094">
        <v>2.4885281789999998</v>
      </c>
      <c r="F1094">
        <v>0.65773740599999997</v>
      </c>
      <c r="G1094">
        <v>10.982760799999999</v>
      </c>
      <c r="H1094">
        <v>70.562968699999999</v>
      </c>
      <c r="I1094">
        <v>6.6617049980000003</v>
      </c>
      <c r="J1094">
        <v>25.089354610000001</v>
      </c>
      <c r="K1094">
        <v>32.426000000000002</v>
      </c>
      <c r="L1094">
        <v>32.622999999999998</v>
      </c>
      <c r="M1094">
        <v>0.85999914099999997</v>
      </c>
      <c r="N1094">
        <v>4.6890014190000002</v>
      </c>
      <c r="O1094">
        <v>0.26430779900000001</v>
      </c>
      <c r="P1094">
        <v>150.48699999999999</v>
      </c>
      <c r="Q1094">
        <v>131.76599999999999</v>
      </c>
      <c r="R1094">
        <v>33.911999999999999</v>
      </c>
      <c r="S1094">
        <v>2.0165560000000001E-3</v>
      </c>
      <c r="T1094">
        <v>4.5999999999999999E-2</v>
      </c>
      <c r="U1094">
        <v>0</v>
      </c>
      <c r="V1094" s="1" t="str">
        <f>IF(Energy_data_1990___2020[[#This Row],[CO2 emissions from fuel combustion (MtCO2)]]&gt;Energy_data_1990___2020[[#Totals],[CO2 emissions from fuel combustion (MtCO2)]],"Above Average","")</f>
        <v/>
      </c>
      <c r="W1094" s="1">
        <f>SUM(Energy_data_1990___2020[[#This Row],[Coal and lignite production (Mt)]]-Energy_data_1990___2020[[#This Row],[Coal and lignite domestic consumption (Mt)]])</f>
        <v>-33.911999999999999</v>
      </c>
    </row>
    <row r="1095" spans="1:23">
      <c r="A1095" t="s">
        <v>65</v>
      </c>
      <c r="B1095">
        <v>1998</v>
      </c>
      <c r="C1095" t="s">
        <v>28</v>
      </c>
      <c r="D1095">
        <v>186.05055659999999</v>
      </c>
      <c r="E1095">
        <v>2.4669616429999999</v>
      </c>
      <c r="F1095">
        <v>0.66688019099999996</v>
      </c>
      <c r="G1095">
        <v>11.313888329999999</v>
      </c>
      <c r="H1095">
        <v>75.416882619999996</v>
      </c>
      <c r="I1095">
        <v>6.8572058880000002</v>
      </c>
      <c r="J1095">
        <v>25.77019044</v>
      </c>
      <c r="K1095">
        <v>33.409999999999997</v>
      </c>
      <c r="L1095">
        <v>33.901000000000003</v>
      </c>
      <c r="M1095">
        <v>0.87899907899999996</v>
      </c>
      <c r="N1095">
        <v>5.8480019409999997</v>
      </c>
      <c r="O1095">
        <v>0.27032450800000002</v>
      </c>
      <c r="P1095">
        <v>163.18600000000001</v>
      </c>
      <c r="Q1095">
        <v>142.54400000000001</v>
      </c>
      <c r="R1095">
        <v>36.912031149999997</v>
      </c>
      <c r="S1095">
        <v>1.895196E-3</v>
      </c>
      <c r="T1095">
        <v>4.9000000000000002E-2</v>
      </c>
      <c r="U1095">
        <v>0</v>
      </c>
      <c r="V1095" s="1" t="str">
        <f>IF(Energy_data_1990___2020[[#This Row],[CO2 emissions from fuel combustion (MtCO2)]]&gt;Energy_data_1990___2020[[#Totals],[CO2 emissions from fuel combustion (MtCO2)]],"Above Average","")</f>
        <v/>
      </c>
      <c r="W1095" s="1">
        <f>SUM(Energy_data_1990___2020[[#This Row],[Coal and lignite production (Mt)]]-Energy_data_1990___2020[[#This Row],[Coal and lignite domestic consumption (Mt)]])</f>
        <v>-36.912031149999997</v>
      </c>
    </row>
    <row r="1096" spans="1:23">
      <c r="A1096" t="s">
        <v>65</v>
      </c>
      <c r="B1096">
        <v>1999</v>
      </c>
      <c r="C1096" t="s">
        <v>28</v>
      </c>
      <c r="D1096">
        <v>194.58669620000001</v>
      </c>
      <c r="E1096">
        <v>2.4773697659999998</v>
      </c>
      <c r="F1096">
        <v>0.65986485900000003</v>
      </c>
      <c r="G1096">
        <v>11.700903759999999</v>
      </c>
      <c r="H1096">
        <v>78.545681329999994</v>
      </c>
      <c r="I1096">
        <v>5.7023832700000003</v>
      </c>
      <c r="J1096">
        <v>26.087748510000001</v>
      </c>
      <c r="K1096">
        <v>35.094000000000001</v>
      </c>
      <c r="L1096">
        <v>35.911000000000001</v>
      </c>
      <c r="M1096">
        <v>0.85599989300000001</v>
      </c>
      <c r="N1096">
        <v>5.7299977279999998</v>
      </c>
      <c r="O1096">
        <v>0.26635703300000002</v>
      </c>
      <c r="P1096">
        <v>169.47300000000001</v>
      </c>
      <c r="Q1096">
        <v>149.18600000000001</v>
      </c>
      <c r="R1096">
        <v>38.828000000000003</v>
      </c>
      <c r="S1096">
        <v>8.6801800000000002E-4</v>
      </c>
      <c r="T1096">
        <v>4.2000000000000003E-2</v>
      </c>
      <c r="U1096">
        <v>0</v>
      </c>
      <c r="V1096" s="1" t="str">
        <f>IF(Energy_data_1990___2020[[#This Row],[CO2 emissions from fuel combustion (MtCO2)]]&gt;Energy_data_1990___2020[[#Totals],[CO2 emissions from fuel combustion (MtCO2)]],"Above Average","")</f>
        <v/>
      </c>
      <c r="W1096" s="1">
        <f>SUM(Energy_data_1990___2020[[#This Row],[Coal and lignite production (Mt)]]-Energy_data_1990___2020[[#This Row],[Coal and lignite domestic consumption (Mt)]])</f>
        <v>-38.828000000000003</v>
      </c>
    </row>
    <row r="1097" spans="1:23">
      <c r="A1097" t="s">
        <v>65</v>
      </c>
      <c r="B1097">
        <v>2000</v>
      </c>
      <c r="C1097" t="s">
        <v>28</v>
      </c>
      <c r="D1097">
        <v>212.3211972</v>
      </c>
      <c r="E1097">
        <v>2.5003046389999999</v>
      </c>
      <c r="F1097">
        <v>0.68840273900000004</v>
      </c>
      <c r="G1097">
        <v>11.79012393</v>
      </c>
      <c r="H1097">
        <v>84.918131149999994</v>
      </c>
      <c r="I1097">
        <v>5.354060585</v>
      </c>
      <c r="J1097">
        <v>27.071696639999999</v>
      </c>
      <c r="K1097">
        <v>36.088999999999999</v>
      </c>
      <c r="L1097">
        <v>36.816000000000003</v>
      </c>
      <c r="M1097">
        <v>0.74699901199999996</v>
      </c>
      <c r="N1097">
        <v>6.2300017719999996</v>
      </c>
      <c r="O1097">
        <v>0.27532754500000001</v>
      </c>
      <c r="P1097">
        <v>185.392</v>
      </c>
      <c r="Q1097">
        <v>163.75899999999999</v>
      </c>
      <c r="R1097">
        <v>45.883968850000002</v>
      </c>
      <c r="S1097">
        <v>5.3939799999999996E-4</v>
      </c>
      <c r="T1097">
        <v>3.3000000000000002E-2</v>
      </c>
      <c r="U1097">
        <v>0</v>
      </c>
      <c r="V1097" s="1" t="str">
        <f>IF(Energy_data_1990___2020[[#This Row],[CO2 emissions from fuel combustion (MtCO2)]]&gt;Energy_data_1990___2020[[#Totals],[CO2 emissions from fuel combustion (MtCO2)]],"Above Average","")</f>
        <v/>
      </c>
      <c r="W1097" s="1">
        <f>SUM(Energy_data_1990___2020[[#This Row],[Coal and lignite production (Mt)]]-Energy_data_1990___2020[[#This Row],[Coal and lignite domestic consumption (Mt)]])</f>
        <v>-45.883968850000002</v>
      </c>
    </row>
    <row r="1098" spans="1:23">
      <c r="A1098" t="s">
        <v>65</v>
      </c>
      <c r="B1098">
        <v>2001</v>
      </c>
      <c r="C1098" t="s">
        <v>28</v>
      </c>
      <c r="D1098">
        <v>220.73310720000001</v>
      </c>
      <c r="E1098">
        <v>2.5520257220000002</v>
      </c>
      <c r="F1098">
        <v>0.72480842199999995</v>
      </c>
      <c r="G1098">
        <v>11.23559586</v>
      </c>
      <c r="H1098">
        <v>86.493292460000006</v>
      </c>
      <c r="I1098">
        <v>5.4972521670000001</v>
      </c>
      <c r="J1098">
        <v>25.28542508</v>
      </c>
      <c r="K1098">
        <v>38.259</v>
      </c>
      <c r="L1098">
        <v>38.478000000000002</v>
      </c>
      <c r="M1098">
        <v>0.84900066299999999</v>
      </c>
      <c r="N1098">
        <v>6.8919968919999999</v>
      </c>
      <c r="O1098">
        <v>0.284012977</v>
      </c>
      <c r="P1098">
        <v>189.24</v>
      </c>
      <c r="Q1098">
        <v>166.52600000000001</v>
      </c>
      <c r="R1098">
        <v>49.445</v>
      </c>
      <c r="S1098">
        <v>6.3411539999999999E-3</v>
      </c>
      <c r="T1098">
        <v>3.6999999999999998E-2</v>
      </c>
      <c r="U1098">
        <v>0</v>
      </c>
      <c r="V1098" s="1" t="str">
        <f>IF(Energy_data_1990___2020[[#This Row],[CO2 emissions from fuel combustion (MtCO2)]]&gt;Energy_data_1990___2020[[#Totals],[CO2 emissions from fuel combustion (MtCO2)]],"Above Average","")</f>
        <v/>
      </c>
      <c r="W1098" s="1">
        <f>SUM(Energy_data_1990___2020[[#This Row],[Coal and lignite production (Mt)]]-Energy_data_1990___2020[[#This Row],[Coal and lignite domestic consumption (Mt)]])</f>
        <v>-49.445</v>
      </c>
    </row>
    <row r="1099" spans="1:23">
      <c r="A1099" t="s">
        <v>65</v>
      </c>
      <c r="B1099">
        <v>2002</v>
      </c>
      <c r="C1099" t="s">
        <v>28</v>
      </c>
      <c r="D1099">
        <v>228.70027189999999</v>
      </c>
      <c r="E1099">
        <v>2.527816675</v>
      </c>
      <c r="F1099">
        <v>0.71131687099999996</v>
      </c>
      <c r="G1099">
        <v>12.15429159</v>
      </c>
      <c r="H1099">
        <v>90.473440670000002</v>
      </c>
      <c r="I1099">
        <v>3.823479281</v>
      </c>
      <c r="J1099">
        <v>25.599745299999999</v>
      </c>
      <c r="K1099">
        <v>38.168999999999997</v>
      </c>
      <c r="L1099">
        <v>39.393999999999998</v>
      </c>
      <c r="M1099">
        <v>0.88699979600000001</v>
      </c>
      <c r="N1099">
        <v>7.8639972800000004</v>
      </c>
      <c r="O1099">
        <v>0.28139575100000003</v>
      </c>
      <c r="P1099">
        <v>199.47800000000001</v>
      </c>
      <c r="Q1099">
        <v>175.90700000000001</v>
      </c>
      <c r="R1099">
        <v>52.482968849999999</v>
      </c>
      <c r="S1099">
        <v>8.0209349999999999E-3</v>
      </c>
      <c r="T1099">
        <v>4.5999999999999999E-2</v>
      </c>
      <c r="U1099">
        <v>0</v>
      </c>
      <c r="V1099" s="1" t="str">
        <f>IF(Energy_data_1990___2020[[#This Row],[CO2 emissions from fuel combustion (MtCO2)]]&gt;Energy_data_1990___2020[[#Totals],[CO2 emissions from fuel combustion (MtCO2)]],"Above Average","")</f>
        <v/>
      </c>
      <c r="W1099" s="1">
        <f>SUM(Energy_data_1990___2020[[#This Row],[Coal and lignite production (Mt)]]-Energy_data_1990___2020[[#This Row],[Coal and lignite domestic consumption (Mt)]])</f>
        <v>-52.482968849999999</v>
      </c>
    </row>
    <row r="1100" spans="1:23">
      <c r="A1100" t="s">
        <v>65</v>
      </c>
      <c r="B1100">
        <v>2003</v>
      </c>
      <c r="C1100" t="s">
        <v>28</v>
      </c>
      <c r="D1100">
        <v>239.30239230000001</v>
      </c>
      <c r="E1100">
        <v>2.539542097</v>
      </c>
      <c r="F1100">
        <v>0.71483670899999996</v>
      </c>
      <c r="G1100">
        <v>12.143416800000001</v>
      </c>
      <c r="H1100">
        <v>94.230527850000001</v>
      </c>
      <c r="I1100">
        <v>4.022679342</v>
      </c>
      <c r="J1100">
        <v>25.926188419999999</v>
      </c>
      <c r="K1100">
        <v>39.527000000000001</v>
      </c>
      <c r="L1100">
        <v>45.024000000000001</v>
      </c>
      <c r="M1100">
        <v>0.83100046999999999</v>
      </c>
      <c r="N1100">
        <v>7.9400088860000002</v>
      </c>
      <c r="O1100">
        <v>0.28148252000000001</v>
      </c>
      <c r="P1100">
        <v>210.059</v>
      </c>
      <c r="Q1100">
        <v>185.255</v>
      </c>
      <c r="R1100">
        <v>56.622031149999998</v>
      </c>
      <c r="S1100">
        <v>1.1425361E-2</v>
      </c>
      <c r="T1100">
        <v>4.1000000000000002E-2</v>
      </c>
      <c r="U1100">
        <v>0</v>
      </c>
      <c r="V1100" s="1" t="str">
        <f>IF(Energy_data_1990___2020[[#This Row],[CO2 emissions from fuel combustion (MtCO2)]]&gt;Energy_data_1990___2020[[#Totals],[CO2 emissions from fuel combustion (MtCO2)]],"Above Average","")</f>
        <v/>
      </c>
      <c r="W1100" s="1">
        <f>SUM(Energy_data_1990___2020[[#This Row],[Coal and lignite production (Mt)]]-Energy_data_1990___2020[[#This Row],[Coal and lignite domestic consumption (Mt)]])</f>
        <v>-56.622031149999998</v>
      </c>
    </row>
    <row r="1101" spans="1:23">
      <c r="A1101" t="s">
        <v>65</v>
      </c>
      <c r="B1101">
        <v>2004</v>
      </c>
      <c r="C1101" t="s">
        <v>28</v>
      </c>
      <c r="D1101">
        <v>247.25317509999999</v>
      </c>
      <c r="E1101">
        <v>2.5884676689999999</v>
      </c>
      <c r="F1101">
        <v>0.693469856</v>
      </c>
      <c r="G1101">
        <v>12.48472325</v>
      </c>
      <c r="H1101">
        <v>95.521059829999999</v>
      </c>
      <c r="I1101">
        <v>3.8439260220000002</v>
      </c>
      <c r="J1101">
        <v>26.297219139999999</v>
      </c>
      <c r="K1101">
        <v>40.686999999999998</v>
      </c>
      <c r="L1101">
        <v>49.73</v>
      </c>
      <c r="M1101">
        <v>0.79500096600000003</v>
      </c>
      <c r="N1101">
        <v>9.4239921140000007</v>
      </c>
      <c r="O1101">
        <v>0.26790748199999997</v>
      </c>
      <c r="P1101">
        <v>219.255</v>
      </c>
      <c r="Q1101">
        <v>195.126</v>
      </c>
      <c r="R1101">
        <v>58.256031149999998</v>
      </c>
      <c r="S1101">
        <v>1.1858338E-2</v>
      </c>
      <c r="T1101">
        <v>0.04</v>
      </c>
      <c r="U1101">
        <v>0</v>
      </c>
      <c r="V1101" s="1" t="str">
        <f>IF(Energy_data_1990___2020[[#This Row],[CO2 emissions from fuel combustion (MtCO2)]]&gt;Energy_data_1990___2020[[#Totals],[CO2 emissions from fuel combustion (MtCO2)]],"Above Average","")</f>
        <v/>
      </c>
      <c r="W1101" s="1">
        <f>SUM(Energy_data_1990___2020[[#This Row],[Coal and lignite production (Mt)]]-Energy_data_1990___2020[[#This Row],[Coal and lignite domestic consumption (Mt)]])</f>
        <v>-58.256031149999998</v>
      </c>
    </row>
    <row r="1102" spans="1:23">
      <c r="A1102" t="s">
        <v>65</v>
      </c>
      <c r="B1102">
        <v>2005</v>
      </c>
      <c r="C1102" t="s">
        <v>28</v>
      </c>
      <c r="D1102">
        <v>250.79066510000001</v>
      </c>
      <c r="E1102">
        <v>2.5694599789999999</v>
      </c>
      <c r="F1102">
        <v>0.66725384700000001</v>
      </c>
      <c r="G1102">
        <v>12.715769209999999</v>
      </c>
      <c r="H1102">
        <v>97.604425489999997</v>
      </c>
      <c r="I1102">
        <v>4.33554788</v>
      </c>
      <c r="J1102">
        <v>26.345444650000001</v>
      </c>
      <c r="K1102">
        <v>40.703000000000003</v>
      </c>
      <c r="L1102">
        <v>52.252000000000002</v>
      </c>
      <c r="M1102">
        <v>0.49200033300000001</v>
      </c>
      <c r="N1102">
        <v>9.1529963090000006</v>
      </c>
      <c r="O1102">
        <v>0.25968641399999998</v>
      </c>
      <c r="P1102">
        <v>226.98400000000001</v>
      </c>
      <c r="Q1102">
        <v>203.202</v>
      </c>
      <c r="R1102">
        <v>59.911968850000001</v>
      </c>
      <c r="S1102">
        <v>4.0531491000000003E-2</v>
      </c>
      <c r="T1102">
        <v>2.9000000000000001E-2</v>
      </c>
      <c r="U1102">
        <v>0</v>
      </c>
      <c r="V1102" s="1" t="str">
        <f>IF(Energy_data_1990___2020[[#This Row],[CO2 emissions from fuel combustion (MtCO2)]]&gt;Energy_data_1990___2020[[#Totals],[CO2 emissions from fuel combustion (MtCO2)]],"Above Average","")</f>
        <v/>
      </c>
      <c r="W1102" s="1">
        <f>SUM(Energy_data_1990___2020[[#This Row],[Coal and lignite production (Mt)]]-Energy_data_1990___2020[[#This Row],[Coal and lignite domestic consumption (Mt)]])</f>
        <v>-59.911968850000001</v>
      </c>
    </row>
    <row r="1103" spans="1:23">
      <c r="A1103" t="s">
        <v>65</v>
      </c>
      <c r="B1103">
        <v>2006</v>
      </c>
      <c r="C1103" t="s">
        <v>28</v>
      </c>
      <c r="D1103">
        <v>258.38393880000001</v>
      </c>
      <c r="E1103">
        <v>2.5745044300000002</v>
      </c>
      <c r="F1103">
        <v>0.65085589899999996</v>
      </c>
      <c r="G1103">
        <v>12.67999184</v>
      </c>
      <c r="H1103">
        <v>100.3625924</v>
      </c>
      <c r="I1103">
        <v>4.3195095439999998</v>
      </c>
      <c r="J1103">
        <v>26.837150269999999</v>
      </c>
      <c r="K1103">
        <v>41.008000000000003</v>
      </c>
      <c r="L1103">
        <v>51.442</v>
      </c>
      <c r="M1103">
        <v>0.41600047200000001</v>
      </c>
      <c r="N1103">
        <v>9.3539920559999992</v>
      </c>
      <c r="O1103">
        <v>0.252808227</v>
      </c>
      <c r="P1103">
        <v>235.536</v>
      </c>
      <c r="Q1103">
        <v>209.977</v>
      </c>
      <c r="R1103">
        <v>62.651999539999998</v>
      </c>
      <c r="S1103">
        <v>0.117604103</v>
      </c>
      <c r="T1103">
        <v>2.1000000000000001E-2</v>
      </c>
      <c r="U1103">
        <v>0</v>
      </c>
      <c r="V1103" s="1" t="str">
        <f>IF(Energy_data_1990___2020[[#This Row],[CO2 emissions from fuel combustion (MtCO2)]]&gt;Energy_data_1990___2020[[#Totals],[CO2 emissions from fuel combustion (MtCO2)]],"Above Average","")</f>
        <v/>
      </c>
      <c r="W1103" s="1">
        <f>SUM(Energy_data_1990___2020[[#This Row],[Coal and lignite production (Mt)]]-Energy_data_1990___2020[[#This Row],[Coal and lignite domestic consumption (Mt)]])</f>
        <v>-62.651999539999998</v>
      </c>
    </row>
    <row r="1104" spans="1:23">
      <c r="A1104" t="s">
        <v>65</v>
      </c>
      <c r="B1104">
        <v>2007</v>
      </c>
      <c r="C1104" t="s">
        <v>28</v>
      </c>
      <c r="D1104">
        <v>263.17509039999999</v>
      </c>
      <c r="E1104">
        <v>2.5101656530000001</v>
      </c>
      <c r="F1104">
        <v>0.62236544800000004</v>
      </c>
      <c r="G1104">
        <v>12.91622415</v>
      </c>
      <c r="H1104">
        <v>104.84371419999999</v>
      </c>
      <c r="I1104">
        <v>4.4139761530000001</v>
      </c>
      <c r="J1104">
        <v>26.126271540000001</v>
      </c>
      <c r="K1104">
        <v>42.899000000000001</v>
      </c>
      <c r="L1104">
        <v>50.808</v>
      </c>
      <c r="M1104">
        <v>0.375</v>
      </c>
      <c r="N1104">
        <v>10.22599967</v>
      </c>
      <c r="O1104">
        <v>0.24793799799999999</v>
      </c>
      <c r="P1104">
        <v>243.386</v>
      </c>
      <c r="Q1104">
        <v>217.089</v>
      </c>
      <c r="R1104">
        <v>65.227000000000004</v>
      </c>
      <c r="S1104">
        <v>0.18119365900000001</v>
      </c>
      <c r="T1104">
        <v>1.6E-2</v>
      </c>
      <c r="U1104">
        <v>0</v>
      </c>
      <c r="V1104" s="1" t="str">
        <f>IF(Energy_data_1990___2020[[#This Row],[CO2 emissions from fuel combustion (MtCO2)]]&gt;Energy_data_1990___2020[[#Totals],[CO2 emissions from fuel combustion (MtCO2)]],"Above Average","")</f>
        <v/>
      </c>
      <c r="W1104" s="1">
        <f>SUM(Energy_data_1990___2020[[#This Row],[Coal and lignite production (Mt)]]-Energy_data_1990___2020[[#This Row],[Coal and lignite domestic consumption (Mt)]])</f>
        <v>-65.227000000000004</v>
      </c>
    </row>
    <row r="1105" spans="1:23">
      <c r="A1105" t="s">
        <v>65</v>
      </c>
      <c r="B1105">
        <v>2008</v>
      </c>
      <c r="C1105" t="s">
        <v>28</v>
      </c>
      <c r="D1105">
        <v>250.7384586</v>
      </c>
      <c r="E1105">
        <v>2.489056723</v>
      </c>
      <c r="F1105">
        <v>0.58880880800000002</v>
      </c>
      <c r="G1105">
        <v>13.007611710000001</v>
      </c>
      <c r="H1105">
        <v>100.73633770000001</v>
      </c>
      <c r="I1105">
        <v>4.2875088979999996</v>
      </c>
      <c r="J1105">
        <v>26.80259671</v>
      </c>
      <c r="K1105">
        <v>40.680999999999997</v>
      </c>
      <c r="L1105">
        <v>47.311</v>
      </c>
      <c r="M1105">
        <v>0.32100003799999999</v>
      </c>
      <c r="N1105">
        <v>11.097996269999999</v>
      </c>
      <c r="O1105">
        <v>0.23655901500000001</v>
      </c>
      <c r="P1105">
        <v>238.81</v>
      </c>
      <c r="Q1105">
        <v>214.345</v>
      </c>
      <c r="R1105">
        <v>62.634030699999997</v>
      </c>
      <c r="S1105">
        <v>0.24789581699999999</v>
      </c>
      <c r="T1105">
        <v>1.4E-2</v>
      </c>
      <c r="U1105">
        <v>0</v>
      </c>
      <c r="V1105" s="1" t="str">
        <f>IF(Energy_data_1990___2020[[#This Row],[CO2 emissions from fuel combustion (MtCO2)]]&gt;Energy_data_1990___2020[[#Totals],[CO2 emissions from fuel combustion (MtCO2)]],"Above Average","")</f>
        <v/>
      </c>
      <c r="W1105" s="1">
        <f>SUM(Energy_data_1990___2020[[#This Row],[Coal and lignite production (Mt)]]-Energy_data_1990___2020[[#This Row],[Coal and lignite domestic consumption (Mt)]])</f>
        <v>-62.634030699999997</v>
      </c>
    </row>
    <row r="1106" spans="1:23">
      <c r="A1106" t="s">
        <v>65</v>
      </c>
      <c r="B1106">
        <v>2009</v>
      </c>
      <c r="C1106" t="s">
        <v>28</v>
      </c>
      <c r="D1106">
        <v>237.17516430000001</v>
      </c>
      <c r="E1106">
        <v>2.363934204</v>
      </c>
      <c r="F1106">
        <v>0.56582238299999998</v>
      </c>
      <c r="G1106">
        <v>13.10206941</v>
      </c>
      <c r="H1106">
        <v>100.3306961</v>
      </c>
      <c r="I1106">
        <v>4.1641329459999996</v>
      </c>
      <c r="J1106">
        <v>25.913271770000001</v>
      </c>
      <c r="K1106">
        <v>40.085999999999999</v>
      </c>
      <c r="L1106">
        <v>48.792000000000002</v>
      </c>
      <c r="M1106">
        <v>0.31500012100000002</v>
      </c>
      <c r="N1106">
        <v>10.70800414</v>
      </c>
      <c r="O1106">
        <v>0.239356232</v>
      </c>
      <c r="P1106">
        <v>230.22800000000001</v>
      </c>
      <c r="Q1106">
        <v>205.50399999999999</v>
      </c>
      <c r="R1106">
        <v>60.200031610000003</v>
      </c>
      <c r="S1106">
        <v>0.34530986699999999</v>
      </c>
      <c r="T1106">
        <v>1.4E-2</v>
      </c>
      <c r="U1106">
        <v>0</v>
      </c>
      <c r="V1106" s="1" t="str">
        <f>IF(Energy_data_1990___2020[[#This Row],[CO2 emissions from fuel combustion (MtCO2)]]&gt;Energy_data_1990___2020[[#Totals],[CO2 emissions from fuel combustion (MtCO2)]],"Above Average","")</f>
        <v/>
      </c>
      <c r="W1106" s="1">
        <f>SUM(Energy_data_1990___2020[[#This Row],[Coal and lignite production (Mt)]]-Energy_data_1990___2020[[#This Row],[Coal and lignite domestic consumption (Mt)]])</f>
        <v>-60.200031610000003</v>
      </c>
    </row>
    <row r="1107" spans="1:23">
      <c r="A1107" t="s">
        <v>65</v>
      </c>
      <c r="B1107">
        <v>2010</v>
      </c>
      <c r="C1107" t="s">
        <v>28</v>
      </c>
      <c r="D1107">
        <v>254.10151200000001</v>
      </c>
      <c r="E1107">
        <v>2.3995533010000001</v>
      </c>
      <c r="F1107">
        <v>0.54795048499999999</v>
      </c>
      <c r="G1107">
        <v>13.215733459999999</v>
      </c>
      <c r="H1107">
        <v>105.89533969999999</v>
      </c>
      <c r="I1107">
        <v>4.0909827429999996</v>
      </c>
      <c r="J1107">
        <v>26.13039998</v>
      </c>
      <c r="K1107">
        <v>41.866999999999997</v>
      </c>
      <c r="L1107">
        <v>45.994999999999997</v>
      </c>
      <c r="M1107">
        <v>0.26599994599999999</v>
      </c>
      <c r="N1107">
        <v>13.418996419999999</v>
      </c>
      <c r="O1107">
        <v>0.22835520400000001</v>
      </c>
      <c r="P1107">
        <v>246.86</v>
      </c>
      <c r="Q1107">
        <v>222.215</v>
      </c>
      <c r="R1107">
        <v>63.267937230000001</v>
      </c>
      <c r="S1107">
        <v>0.42615247499999998</v>
      </c>
      <c r="T1107">
        <v>1.2999999999999999E-2</v>
      </c>
      <c r="U1107">
        <v>0.47199999999999998</v>
      </c>
      <c r="V1107" s="1" t="str">
        <f>IF(Energy_data_1990___2020[[#This Row],[CO2 emissions from fuel combustion (MtCO2)]]&gt;Energy_data_1990___2020[[#Totals],[CO2 emissions from fuel combustion (MtCO2)]],"Above Average","")</f>
        <v/>
      </c>
      <c r="W1107" s="1">
        <f>SUM(Energy_data_1990___2020[[#This Row],[Coal and lignite production (Mt)]]-Energy_data_1990___2020[[#This Row],[Coal and lignite domestic consumption (Mt)]])</f>
        <v>-62.79593723</v>
      </c>
    </row>
    <row r="1108" spans="1:23">
      <c r="A1108" t="s">
        <v>65</v>
      </c>
      <c r="B1108">
        <v>2011</v>
      </c>
      <c r="C1108" t="s">
        <v>28</v>
      </c>
      <c r="D1108">
        <v>259.93241719999997</v>
      </c>
      <c r="E1108">
        <v>2.46484697</v>
      </c>
      <c r="F1108">
        <v>0.53998054600000001</v>
      </c>
      <c r="G1108">
        <v>13.42629035</v>
      </c>
      <c r="H1108">
        <v>105.4558033</v>
      </c>
      <c r="I1108">
        <v>4.0936554090000001</v>
      </c>
      <c r="J1108">
        <v>27.339482870000001</v>
      </c>
      <c r="K1108">
        <v>38.49</v>
      </c>
      <c r="L1108">
        <v>42.463000000000001</v>
      </c>
      <c r="M1108">
        <v>0.29700018500000003</v>
      </c>
      <c r="N1108">
        <v>14.634989089999999</v>
      </c>
      <c r="O1108">
        <v>0.21907264500000001</v>
      </c>
      <c r="P1108">
        <v>252.07300000000001</v>
      </c>
      <c r="Q1108">
        <v>226.92</v>
      </c>
      <c r="R1108">
        <v>66.798968389999999</v>
      </c>
      <c r="S1108">
        <v>0.620058475</v>
      </c>
      <c r="T1108">
        <v>0.01</v>
      </c>
      <c r="U1108">
        <v>0.40200000000000002</v>
      </c>
      <c r="V1108" s="1" t="str">
        <f>IF(Energy_data_1990___2020[[#This Row],[CO2 emissions from fuel combustion (MtCO2)]]&gt;Energy_data_1990___2020[[#Totals],[CO2 emissions from fuel combustion (MtCO2)]],"Above Average","")</f>
        <v/>
      </c>
      <c r="W1108" s="1">
        <f>SUM(Energy_data_1990___2020[[#This Row],[Coal and lignite production (Mt)]]-Energy_data_1990___2020[[#This Row],[Coal and lignite domestic consumption (Mt)]])</f>
        <v>-66.396968389999998</v>
      </c>
    </row>
    <row r="1109" spans="1:23">
      <c r="A1109" t="s">
        <v>65</v>
      </c>
      <c r="B1109">
        <v>2012</v>
      </c>
      <c r="C1109" t="s">
        <v>28</v>
      </c>
      <c r="D1109">
        <v>255.5317057</v>
      </c>
      <c r="E1109">
        <v>2.4328497160000002</v>
      </c>
      <c r="F1109">
        <v>0.52010486</v>
      </c>
      <c r="G1109">
        <v>13.271265789999999</v>
      </c>
      <c r="H1109">
        <v>105.0339049</v>
      </c>
      <c r="I1109">
        <v>4.8128256829999998</v>
      </c>
      <c r="J1109">
        <v>27.349271689999998</v>
      </c>
      <c r="K1109">
        <v>38.200000000000003</v>
      </c>
      <c r="L1109">
        <v>46.527000000000001</v>
      </c>
      <c r="M1109">
        <v>0.39700011000000002</v>
      </c>
      <c r="N1109">
        <v>15.25401177</v>
      </c>
      <c r="O1109">
        <v>0.213784212</v>
      </c>
      <c r="P1109">
        <v>250.435</v>
      </c>
      <c r="Q1109">
        <v>226.38200000000001</v>
      </c>
      <c r="R1109">
        <v>66.361999999999995</v>
      </c>
      <c r="S1109">
        <v>0.63369736700000001</v>
      </c>
      <c r="T1109">
        <v>0.01</v>
      </c>
      <c r="U1109">
        <v>0.33500000000000002</v>
      </c>
      <c r="V1109" s="1" t="str">
        <f>IF(Energy_data_1990___2020[[#This Row],[CO2 emissions from fuel combustion (MtCO2)]]&gt;Energy_data_1990___2020[[#Totals],[CO2 emissions from fuel combustion (MtCO2)]],"Above Average","")</f>
        <v/>
      </c>
      <c r="W1109" s="1">
        <f>SUM(Energy_data_1990___2020[[#This Row],[Coal and lignite production (Mt)]]-Energy_data_1990___2020[[#This Row],[Coal and lignite domestic consumption (Mt)]])</f>
        <v>-66.027000000000001</v>
      </c>
    </row>
    <row r="1110" spans="1:23">
      <c r="A1110" t="s">
        <v>65</v>
      </c>
      <c r="B1110">
        <v>2013</v>
      </c>
      <c r="C1110" t="s">
        <v>28</v>
      </c>
      <c r="D1110">
        <v>257.39870239999999</v>
      </c>
      <c r="E1110">
        <v>2.4082560690000001</v>
      </c>
      <c r="F1110">
        <v>0.512614876</v>
      </c>
      <c r="G1110">
        <v>13.56893927</v>
      </c>
      <c r="H1110">
        <v>106.8817829</v>
      </c>
      <c r="I1110">
        <v>4.9334690759999997</v>
      </c>
      <c r="J1110">
        <v>26.840806690000001</v>
      </c>
      <c r="K1110">
        <v>39.06</v>
      </c>
      <c r="L1110">
        <v>44.04</v>
      </c>
      <c r="M1110">
        <v>0.343000258</v>
      </c>
      <c r="N1110">
        <v>15.587016220000001</v>
      </c>
      <c r="O1110">
        <v>0.212857296</v>
      </c>
      <c r="P1110">
        <v>252.43899999999999</v>
      </c>
      <c r="Q1110">
        <v>230.48599999999999</v>
      </c>
      <c r="R1110">
        <v>67.399999539999996</v>
      </c>
      <c r="S1110">
        <v>0.78355563100000003</v>
      </c>
      <c r="T1110">
        <v>8.9999999999999993E-3</v>
      </c>
      <c r="U1110">
        <v>0.32800000000000001</v>
      </c>
      <c r="V1110" s="1" t="str">
        <f>IF(Energy_data_1990___2020[[#This Row],[CO2 emissions from fuel combustion (MtCO2)]]&gt;Energy_data_1990___2020[[#Totals],[CO2 emissions from fuel combustion (MtCO2)]],"Above Average","")</f>
        <v/>
      </c>
      <c r="W1110" s="1">
        <f>SUM(Energy_data_1990___2020[[#This Row],[Coal and lignite production (Mt)]]-Energy_data_1990___2020[[#This Row],[Coal and lignite domestic consumption (Mt)]])</f>
        <v>-67.071999539999993</v>
      </c>
    </row>
    <row r="1111" spans="1:23">
      <c r="A1111" t="s">
        <v>65</v>
      </c>
      <c r="B1111">
        <v>2014</v>
      </c>
      <c r="C1111" t="s">
        <v>28</v>
      </c>
      <c r="D1111">
        <v>264.51690239999999</v>
      </c>
      <c r="E1111">
        <v>2.4250275239999999</v>
      </c>
      <c r="F1111">
        <v>0.50642723700000003</v>
      </c>
      <c r="G1111">
        <v>13.588974609999999</v>
      </c>
      <c r="H1111">
        <v>109.07789699999999</v>
      </c>
      <c r="I1111">
        <v>4.3987401410000002</v>
      </c>
      <c r="J1111">
        <v>27.070596259999999</v>
      </c>
      <c r="K1111">
        <v>40.679000000000002</v>
      </c>
      <c r="L1111">
        <v>44.631</v>
      </c>
      <c r="M1111">
        <v>0.34099997300000001</v>
      </c>
      <c r="N1111">
        <v>16.380984059999999</v>
      </c>
      <c r="O1111">
        <v>0.20883360400000001</v>
      </c>
      <c r="P1111">
        <v>260.029</v>
      </c>
      <c r="Q1111">
        <v>235.99</v>
      </c>
      <c r="R1111">
        <v>67.88106277</v>
      </c>
      <c r="S1111">
        <v>0.78914274900000003</v>
      </c>
      <c r="T1111">
        <v>8.0000000000000002E-3</v>
      </c>
      <c r="U1111">
        <v>0.28499999999999998</v>
      </c>
      <c r="V1111" s="1" t="str">
        <f>IF(Energy_data_1990___2020[[#This Row],[CO2 emissions from fuel combustion (MtCO2)]]&gt;Energy_data_1990___2020[[#Totals],[CO2 emissions from fuel combustion (MtCO2)]],"Above Average","")</f>
        <v/>
      </c>
      <c r="W1111" s="1">
        <f>SUM(Energy_data_1990___2020[[#This Row],[Coal and lignite production (Mt)]]-Energy_data_1990___2020[[#This Row],[Coal and lignite domestic consumption (Mt)]])</f>
        <v>-67.596062770000003</v>
      </c>
    </row>
    <row r="1112" spans="1:23">
      <c r="A1112" t="s">
        <v>65</v>
      </c>
      <c r="B1112">
        <v>2015</v>
      </c>
      <c r="C1112" t="s">
        <v>28</v>
      </c>
      <c r="D1112">
        <v>265.07760330000002</v>
      </c>
      <c r="E1112">
        <v>2.4807205830000001</v>
      </c>
      <c r="F1112">
        <v>0.50344102700000004</v>
      </c>
      <c r="G1112">
        <v>12.069058869999999</v>
      </c>
      <c r="H1112">
        <v>106.85508280000001</v>
      </c>
      <c r="I1112">
        <v>4.5957555589999997</v>
      </c>
      <c r="J1112">
        <v>27.028108029999999</v>
      </c>
      <c r="K1112">
        <v>41.796999999999997</v>
      </c>
      <c r="L1112">
        <v>44.771000000000001</v>
      </c>
      <c r="M1112">
        <v>0.336000258</v>
      </c>
      <c r="N1112">
        <v>17.599989319999999</v>
      </c>
      <c r="O1112">
        <v>0.202941448</v>
      </c>
      <c r="P1112">
        <v>258.173</v>
      </c>
      <c r="Q1112">
        <v>234.75899999999999</v>
      </c>
      <c r="R1112">
        <v>65.040000000000006</v>
      </c>
      <c r="S1112">
        <v>0.92999655299999995</v>
      </c>
      <c r="T1112">
        <v>8.0000000000000002E-3</v>
      </c>
      <c r="U1112">
        <v>0.23499999999999999</v>
      </c>
      <c r="V1112" s="1" t="str">
        <f>IF(Energy_data_1990___2020[[#This Row],[CO2 emissions from fuel combustion (MtCO2)]]&gt;Energy_data_1990___2020[[#Totals],[CO2 emissions from fuel combustion (MtCO2)]],"Above Average","")</f>
        <v/>
      </c>
      <c r="W1112" s="1">
        <f>SUM(Energy_data_1990___2020[[#This Row],[Coal and lignite production (Mt)]]-Energy_data_1990___2020[[#This Row],[Coal and lignite domestic consumption (Mt)]])</f>
        <v>-64.805000000000007</v>
      </c>
    </row>
    <row r="1113" spans="1:23">
      <c r="A1113" t="s">
        <v>65</v>
      </c>
      <c r="B1113">
        <v>2016</v>
      </c>
      <c r="C1113" t="s">
        <v>28</v>
      </c>
      <c r="D1113">
        <v>268.47857269999997</v>
      </c>
      <c r="E1113">
        <v>2.4714537499999998</v>
      </c>
      <c r="F1113">
        <v>0.50280847500000003</v>
      </c>
      <c r="G1113">
        <v>10.902184159999999</v>
      </c>
      <c r="H1113">
        <v>108.6318418</v>
      </c>
      <c r="I1113">
        <v>5.4358155049999999</v>
      </c>
      <c r="J1113">
        <v>27.382564500000001</v>
      </c>
      <c r="K1113">
        <v>41.634999999999998</v>
      </c>
      <c r="L1113">
        <v>45.045000000000002</v>
      </c>
      <c r="M1113">
        <v>0.28899965399999999</v>
      </c>
      <c r="N1113">
        <v>18.444989960000001</v>
      </c>
      <c r="O1113">
        <v>0.203446443</v>
      </c>
      <c r="P1113">
        <v>264.137</v>
      </c>
      <c r="Q1113">
        <v>240.119</v>
      </c>
      <c r="R1113">
        <v>66.170968389999999</v>
      </c>
      <c r="S1113">
        <v>0.98017316799999998</v>
      </c>
      <c r="T1113">
        <v>8.0000000000000002E-3</v>
      </c>
      <c r="U1113">
        <v>0.14699999999999999</v>
      </c>
      <c r="V1113" s="1" t="str">
        <f>IF(Energy_data_1990___2020[[#This Row],[CO2 emissions from fuel combustion (MtCO2)]]&gt;Energy_data_1990___2020[[#Totals],[CO2 emissions from fuel combustion (MtCO2)]],"Above Average","")</f>
        <v/>
      </c>
      <c r="W1113" s="1">
        <f>SUM(Energy_data_1990___2020[[#This Row],[Coal and lignite production (Mt)]]-Energy_data_1990___2020[[#This Row],[Coal and lignite domestic consumption (Mt)]])</f>
        <v>-66.023968389999993</v>
      </c>
    </row>
    <row r="1114" spans="1:23">
      <c r="A1114" t="s">
        <v>65</v>
      </c>
      <c r="B1114">
        <v>2017</v>
      </c>
      <c r="C1114" t="s">
        <v>28</v>
      </c>
      <c r="D1114">
        <v>275.82574699999998</v>
      </c>
      <c r="E1114">
        <v>2.5681004120000002</v>
      </c>
      <c r="F1114">
        <v>0.50203695599999998</v>
      </c>
      <c r="G1114">
        <v>8.3727193979999992</v>
      </c>
      <c r="H1114">
        <v>107.4045804</v>
      </c>
      <c r="I1114">
        <v>5.201509733</v>
      </c>
      <c r="J1114">
        <v>28.202531950000001</v>
      </c>
      <c r="K1114">
        <v>41.103555999999998</v>
      </c>
      <c r="L1114">
        <v>44.273440999999998</v>
      </c>
      <c r="M1114">
        <v>0.238829294</v>
      </c>
      <c r="N1114">
        <v>20.260848200000002</v>
      </c>
      <c r="O1114">
        <v>0.19548961300000001</v>
      </c>
      <c r="P1114">
        <v>270.28679599999998</v>
      </c>
      <c r="Q1114">
        <v>245.41027800000001</v>
      </c>
      <c r="R1114">
        <v>67.637953999999993</v>
      </c>
      <c r="S1114">
        <v>1.2631227460000001</v>
      </c>
      <c r="T1114">
        <v>4.8669999999999998E-3</v>
      </c>
      <c r="U1114">
        <v>9.9000000000000005E-2</v>
      </c>
      <c r="V1114" s="1" t="str">
        <f>IF(Energy_data_1990___2020[[#This Row],[CO2 emissions from fuel combustion (MtCO2)]]&gt;Energy_data_1990___2020[[#Totals],[CO2 emissions from fuel combustion (MtCO2)]],"Above Average","")</f>
        <v/>
      </c>
      <c r="W1114" s="1">
        <f>SUM(Energy_data_1990___2020[[#This Row],[Coal and lignite production (Mt)]]-Energy_data_1990___2020[[#This Row],[Coal and lignite domestic consumption (Mt)]])</f>
        <v>-67.53895399999999</v>
      </c>
    </row>
    <row r="1115" spans="1:23">
      <c r="A1115" t="s">
        <v>65</v>
      </c>
      <c r="B1115">
        <v>2018</v>
      </c>
      <c r="C1115" t="s">
        <v>28</v>
      </c>
      <c r="D1115">
        <v>271.71470970000001</v>
      </c>
      <c r="E1115">
        <v>2.4638948319999998</v>
      </c>
      <c r="F1115">
        <v>0.48134153499999999</v>
      </c>
      <c r="G1115">
        <v>9.7309690450000002</v>
      </c>
      <c r="H1115">
        <v>110.2785339</v>
      </c>
      <c r="I1115">
        <v>5.1611671350000003</v>
      </c>
      <c r="J1115">
        <v>28.43067856</v>
      </c>
      <c r="K1115">
        <v>40.783217</v>
      </c>
      <c r="L1115">
        <v>46.245505000000001</v>
      </c>
      <c r="M1115">
        <v>0.17782921300000001</v>
      </c>
      <c r="N1115">
        <v>20.206267660000002</v>
      </c>
      <c r="O1115">
        <v>0.19535798700000001</v>
      </c>
      <c r="P1115">
        <v>275.57795800000002</v>
      </c>
      <c r="Q1115">
        <v>250.211614</v>
      </c>
      <c r="R1115">
        <v>67.416485969999997</v>
      </c>
      <c r="S1115">
        <v>1.60589549</v>
      </c>
      <c r="T1115">
        <v>4.2090000000000001E-3</v>
      </c>
      <c r="U1115">
        <v>7.9000000000000001E-2</v>
      </c>
      <c r="V1115" s="1" t="str">
        <f>IF(Energy_data_1990___2020[[#This Row],[CO2 emissions from fuel combustion (MtCO2)]]&gt;Energy_data_1990___2020[[#Totals],[CO2 emissions from fuel combustion (MtCO2)]],"Above Average","")</f>
        <v/>
      </c>
      <c r="W1115" s="1">
        <f>SUM(Energy_data_1990___2020[[#This Row],[Coal and lignite production (Mt)]]-Energy_data_1990___2020[[#This Row],[Coal and lignite domestic consumption (Mt)]])</f>
        <v>-67.337485970000003</v>
      </c>
    </row>
    <row r="1116" spans="1:23">
      <c r="A1116" t="s">
        <v>65</v>
      </c>
      <c r="B1116">
        <v>2019</v>
      </c>
      <c r="C1116" t="s">
        <v>28</v>
      </c>
      <c r="D1116">
        <v>261.16953210000003</v>
      </c>
      <c r="E1116">
        <v>2.4282383219999999</v>
      </c>
      <c r="F1116">
        <v>0.45045789000000003</v>
      </c>
      <c r="G1116">
        <v>11.142540690000001</v>
      </c>
      <c r="H1116">
        <v>107.555148</v>
      </c>
      <c r="I1116">
        <v>6.0703394560000001</v>
      </c>
      <c r="J1116">
        <v>29.243514340000001</v>
      </c>
      <c r="K1116">
        <v>37.846815300000003</v>
      </c>
      <c r="L1116">
        <v>45.822945349999998</v>
      </c>
      <c r="M1116">
        <v>0.15050149600000001</v>
      </c>
      <c r="N1116">
        <v>19.837760530000001</v>
      </c>
      <c r="O1116">
        <v>0.18550810500000001</v>
      </c>
      <c r="P1116">
        <v>274.219426</v>
      </c>
      <c r="Q1116">
        <v>248.5104418</v>
      </c>
      <c r="R1116">
        <v>64.525328900000005</v>
      </c>
      <c r="S1116">
        <v>2.1604141719999999</v>
      </c>
      <c r="T1116">
        <v>3.4651220000000002E-3</v>
      </c>
      <c r="U1116">
        <v>9.1999999999999998E-2</v>
      </c>
      <c r="V1116" s="1" t="str">
        <f>IF(Energy_data_1990___2020[[#This Row],[CO2 emissions from fuel combustion (MtCO2)]]&gt;Energy_data_1990___2020[[#Totals],[CO2 emissions from fuel combustion (MtCO2)]],"Above Average","")</f>
        <v/>
      </c>
      <c r="W1116" s="1">
        <f>SUM(Energy_data_1990___2020[[#This Row],[Coal and lignite production (Mt)]]-Energy_data_1990___2020[[#This Row],[Coal and lignite domestic consumption (Mt)]])</f>
        <v>-64.433328900000006</v>
      </c>
    </row>
    <row r="1117" spans="1:23">
      <c r="A1117" t="s">
        <v>65</v>
      </c>
      <c r="B1117">
        <v>2020</v>
      </c>
      <c r="C1117" t="s">
        <v>28</v>
      </c>
      <c r="D1117">
        <v>257.13884580000001</v>
      </c>
      <c r="E1117">
        <v>2.4383437130000001</v>
      </c>
      <c r="F1117">
        <v>0.443293094</v>
      </c>
      <c r="G1117">
        <v>10.865002580000001</v>
      </c>
      <c r="H1117">
        <v>105.45635729999999</v>
      </c>
      <c r="I1117">
        <v>5.9582897109999999</v>
      </c>
      <c r="J1117">
        <v>29.687137660000001</v>
      </c>
      <c r="K1117">
        <v>37.400046400000001</v>
      </c>
      <c r="L1117">
        <v>38.549101299999997</v>
      </c>
      <c r="M1117">
        <v>9.4806574000000005E-2</v>
      </c>
      <c r="N1117">
        <v>21.533326989999999</v>
      </c>
      <c r="O1117">
        <v>0.18180090500000001</v>
      </c>
      <c r="P1117">
        <v>280.16907980000002</v>
      </c>
      <c r="Q1117">
        <v>254.16252309999999</v>
      </c>
      <c r="R1117">
        <v>63.237244709999999</v>
      </c>
      <c r="S1117">
        <v>3.0557717790000001</v>
      </c>
      <c r="T1117">
        <v>1.952753E-3</v>
      </c>
      <c r="U1117">
        <v>8.3000000000000004E-2</v>
      </c>
      <c r="V1117" s="1" t="str">
        <f>IF(Energy_data_1990___2020[[#This Row],[CO2 emissions from fuel combustion (MtCO2)]]&gt;Energy_data_1990___2020[[#Totals],[CO2 emissions from fuel combustion (MtCO2)]],"Above Average","")</f>
        <v/>
      </c>
      <c r="W1117" s="1">
        <f>SUM(Energy_data_1990___2020[[#This Row],[Coal and lignite production (Mt)]]-Energy_data_1990___2020[[#This Row],[Coal and lignite domestic consumption (Mt)]])</f>
        <v>-63.15424471</v>
      </c>
    </row>
    <row r="1118" spans="1:23">
      <c r="A1118" t="s">
        <v>66</v>
      </c>
      <c r="B1118">
        <v>1990</v>
      </c>
      <c r="C1118" t="s">
        <v>28</v>
      </c>
      <c r="D1118">
        <v>80.922698560000001</v>
      </c>
      <c r="E1118">
        <v>1.918573418</v>
      </c>
      <c r="F1118">
        <v>0.20736036099999999</v>
      </c>
      <c r="G1118">
        <v>26.81036061</v>
      </c>
      <c r="H1118">
        <v>42.178578000000002</v>
      </c>
      <c r="I1118">
        <v>11.26403477</v>
      </c>
      <c r="J1118">
        <v>11.38580799</v>
      </c>
      <c r="K1118">
        <v>17.207000000000001</v>
      </c>
      <c r="L1118">
        <v>11.86</v>
      </c>
      <c r="M1118">
        <v>6.3840064620000003</v>
      </c>
      <c r="N1118">
        <v>6.386996087</v>
      </c>
      <c r="O1118">
        <v>0.108080493</v>
      </c>
      <c r="P1118">
        <v>44.176000000000002</v>
      </c>
      <c r="Q1118">
        <v>38.344000000000001</v>
      </c>
      <c r="R1118">
        <v>12.78</v>
      </c>
      <c r="S1118">
        <v>2.2636729999999999E-3</v>
      </c>
      <c r="T1118">
        <v>2.7509999999999999</v>
      </c>
      <c r="U1118">
        <v>12.420999999999999</v>
      </c>
      <c r="V1118" s="1" t="str">
        <f>IF(Energy_data_1990___2020[[#This Row],[CO2 emissions from fuel combustion (MtCO2)]]&gt;Energy_data_1990___2020[[#Totals],[CO2 emissions from fuel combustion (MtCO2)]],"Above Average","")</f>
        <v/>
      </c>
      <c r="W1118" s="1">
        <f>SUM(Energy_data_1990___2020[[#This Row],[Coal and lignite production (Mt)]]-Energy_data_1990___2020[[#This Row],[Coal and lignite domestic consumption (Mt)]])</f>
        <v>-0.35899999999999999</v>
      </c>
    </row>
    <row r="1119" spans="1:23">
      <c r="A1119" t="s">
        <v>66</v>
      </c>
      <c r="B1119">
        <v>1991</v>
      </c>
      <c r="C1119" t="s">
        <v>28</v>
      </c>
      <c r="D1119">
        <v>90.075396339999998</v>
      </c>
      <c r="E1119">
        <v>1.966895091</v>
      </c>
      <c r="F1119">
        <v>0.21261734400000001</v>
      </c>
      <c r="G1119">
        <v>29.8686723</v>
      </c>
      <c r="H1119">
        <v>45.795729899999998</v>
      </c>
      <c r="I1119">
        <v>9.1401813290000007</v>
      </c>
      <c r="J1119">
        <v>12.14117669</v>
      </c>
      <c r="K1119">
        <v>18.341999999999999</v>
      </c>
      <c r="L1119">
        <v>12.526999999999999</v>
      </c>
      <c r="M1119">
        <v>7.8990056629999996</v>
      </c>
      <c r="N1119">
        <v>7.9030055580000003</v>
      </c>
      <c r="O1119">
        <v>0.10809795899999999</v>
      </c>
      <c r="P1119">
        <v>50.185000000000002</v>
      </c>
      <c r="Q1119">
        <v>43.399000000000001</v>
      </c>
      <c r="R1119">
        <v>15.063000000000001</v>
      </c>
      <c r="S1119">
        <v>1.9926269999999999E-3</v>
      </c>
      <c r="T1119">
        <v>3.18</v>
      </c>
      <c r="U1119">
        <v>14.689</v>
      </c>
      <c r="V1119" s="1" t="str">
        <f>IF(Energy_data_1990___2020[[#This Row],[CO2 emissions from fuel combustion (MtCO2)]]&gt;Energy_data_1990___2020[[#Totals],[CO2 emissions from fuel combustion (MtCO2)]],"Above Average","")</f>
        <v/>
      </c>
      <c r="W1119" s="1">
        <f>SUM(Energy_data_1990___2020[[#This Row],[Coal and lignite production (Mt)]]-Energy_data_1990___2020[[#This Row],[Coal and lignite domestic consumption (Mt)]])</f>
        <v>-0.37400000000000055</v>
      </c>
    </row>
    <row r="1120" spans="1:23">
      <c r="A1120" t="s">
        <v>66</v>
      </c>
      <c r="B1120">
        <v>1992</v>
      </c>
      <c r="C1120" t="s">
        <v>28</v>
      </c>
      <c r="D1120">
        <v>98.351734969999995</v>
      </c>
      <c r="E1120">
        <v>2.0168130620000002</v>
      </c>
      <c r="F1120">
        <v>0.214790754</v>
      </c>
      <c r="G1120">
        <v>31.091806210000001</v>
      </c>
      <c r="H1120">
        <v>48.765915309999997</v>
      </c>
      <c r="I1120">
        <v>7.4240779010000004</v>
      </c>
      <c r="J1120">
        <v>12.7109624</v>
      </c>
      <c r="K1120">
        <v>20.271000000000001</v>
      </c>
      <c r="L1120">
        <v>15.432</v>
      </c>
      <c r="M1120">
        <v>8.4630052449999997</v>
      </c>
      <c r="N1120">
        <v>8.4670080890000001</v>
      </c>
      <c r="O1120">
        <v>0.106500081</v>
      </c>
      <c r="P1120">
        <v>57.097999999999999</v>
      </c>
      <c r="Q1120">
        <v>49.305</v>
      </c>
      <c r="R1120">
        <v>16.079000000000001</v>
      </c>
      <c r="S1120">
        <v>1.7513749999999999E-3</v>
      </c>
      <c r="T1120">
        <v>3.5670000000000002</v>
      </c>
      <c r="U1120">
        <v>15.356999999999999</v>
      </c>
      <c r="V1120" s="1" t="str">
        <f>IF(Energy_data_1990___2020[[#This Row],[CO2 emissions from fuel combustion (MtCO2)]]&gt;Energy_data_1990___2020[[#Totals],[CO2 emissions from fuel combustion (MtCO2)]],"Above Average","")</f>
        <v/>
      </c>
      <c r="W1120" s="1">
        <f>SUM(Energy_data_1990___2020[[#This Row],[Coal and lignite production (Mt)]]-Energy_data_1990___2020[[#This Row],[Coal and lignite domestic consumption (Mt)]])</f>
        <v>-0.72200000000000131</v>
      </c>
    </row>
    <row r="1121" spans="1:23">
      <c r="A1121" t="s">
        <v>66</v>
      </c>
      <c r="B1121">
        <v>1993</v>
      </c>
      <c r="C1121" t="s">
        <v>28</v>
      </c>
      <c r="D1121">
        <v>111.1457149</v>
      </c>
      <c r="E1121">
        <v>2.1612938900000001</v>
      </c>
      <c r="F1121">
        <v>0.22423024499999999</v>
      </c>
      <c r="G1121">
        <v>30.430794590000001</v>
      </c>
      <c r="H1121">
        <v>51.425544389999999</v>
      </c>
      <c r="I1121">
        <v>5.8400492059999998</v>
      </c>
      <c r="J1121">
        <v>13.404803149999999</v>
      </c>
      <c r="K1121">
        <v>23.414000000000001</v>
      </c>
      <c r="L1121">
        <v>18.332999999999998</v>
      </c>
      <c r="M1121">
        <v>9.4949872380000002</v>
      </c>
      <c r="N1121">
        <v>9.5000041209999999</v>
      </c>
      <c r="O1121">
        <v>0.103748151</v>
      </c>
      <c r="P1121">
        <v>63.406999999999996</v>
      </c>
      <c r="Q1121">
        <v>56.279000000000003</v>
      </c>
      <c r="R1121">
        <v>16.821999999999999</v>
      </c>
      <c r="S1121">
        <v>1.577113E-3</v>
      </c>
      <c r="T1121">
        <v>3.677</v>
      </c>
      <c r="U1121">
        <v>15.545999999999999</v>
      </c>
      <c r="V1121" s="1" t="str">
        <f>IF(Energy_data_1990___2020[[#This Row],[CO2 emissions from fuel combustion (MtCO2)]]&gt;Energy_data_1990___2020[[#Totals],[CO2 emissions from fuel combustion (MtCO2)]],"Above Average","")</f>
        <v/>
      </c>
      <c r="W1121" s="1">
        <f>SUM(Energy_data_1990___2020[[#This Row],[Coal and lignite production (Mt)]]-Energy_data_1990___2020[[#This Row],[Coal and lignite domestic consumption (Mt)]])</f>
        <v>-1.2759999999999998</v>
      </c>
    </row>
    <row r="1122" spans="1:23">
      <c r="A1122" t="s">
        <v>66</v>
      </c>
      <c r="B1122">
        <v>1994</v>
      </c>
      <c r="C1122" t="s">
        <v>28</v>
      </c>
      <c r="D1122">
        <v>125.04813420000001</v>
      </c>
      <c r="E1122">
        <v>2.200385936</v>
      </c>
      <c r="F1122">
        <v>0.23359706099999999</v>
      </c>
      <c r="G1122">
        <v>31.89666407</v>
      </c>
      <c r="H1122">
        <v>56.83009157</v>
      </c>
      <c r="I1122">
        <v>6.3433412479999998</v>
      </c>
      <c r="J1122">
        <v>13.413144580000001</v>
      </c>
      <c r="K1122">
        <v>26.844000000000001</v>
      </c>
      <c r="L1122">
        <v>21.741</v>
      </c>
      <c r="M1122">
        <v>10.570007690000001</v>
      </c>
      <c r="N1122">
        <v>10.575012020000001</v>
      </c>
      <c r="O1122">
        <v>0.106161859</v>
      </c>
      <c r="P1122">
        <v>71.177000000000007</v>
      </c>
      <c r="Q1122">
        <v>62.51</v>
      </c>
      <c r="R1122">
        <v>18.606999999999999</v>
      </c>
      <c r="S1122">
        <v>1.404948E-3</v>
      </c>
      <c r="T1122">
        <v>4.2389999999999999</v>
      </c>
      <c r="U1122">
        <v>17.094999999999999</v>
      </c>
      <c r="V1122" s="1" t="str">
        <f>IF(Energy_data_1990___2020[[#This Row],[CO2 emissions from fuel combustion (MtCO2)]]&gt;Energy_data_1990___2020[[#Totals],[CO2 emissions from fuel combustion (MtCO2)]],"Above Average","")</f>
        <v/>
      </c>
      <c r="W1122" s="1">
        <f>SUM(Energy_data_1990___2020[[#This Row],[Coal and lignite production (Mt)]]-Energy_data_1990___2020[[#This Row],[Coal and lignite domestic consumption (Mt)]])</f>
        <v>-1.5120000000000005</v>
      </c>
    </row>
    <row r="1123" spans="1:23">
      <c r="A1123" t="s">
        <v>66</v>
      </c>
      <c r="B1123">
        <v>1995</v>
      </c>
      <c r="C1123" t="s">
        <v>28</v>
      </c>
      <c r="D1123">
        <v>141.06440689999999</v>
      </c>
      <c r="E1123">
        <v>2.2778366600000002</v>
      </c>
      <c r="F1123">
        <v>0.24372524600000001</v>
      </c>
      <c r="G1123">
        <v>33.198323510000002</v>
      </c>
      <c r="H1123">
        <v>61.929114310000003</v>
      </c>
      <c r="I1123">
        <v>8.7421799880000002</v>
      </c>
      <c r="J1123">
        <v>13.783418230000001</v>
      </c>
      <c r="K1123">
        <v>29.946999999999999</v>
      </c>
      <c r="L1123">
        <v>24.242999999999999</v>
      </c>
      <c r="M1123">
        <v>11.1379947</v>
      </c>
      <c r="N1123">
        <v>11.14398525</v>
      </c>
      <c r="O1123">
        <v>0.10699856100000001</v>
      </c>
      <c r="P1123">
        <v>80.082999999999998</v>
      </c>
      <c r="Q1123">
        <v>71.224999999999994</v>
      </c>
      <c r="R1123">
        <v>20.901</v>
      </c>
      <c r="S1123">
        <v>1.248704E-3</v>
      </c>
      <c r="T1123">
        <v>4.1050000000000004</v>
      </c>
      <c r="U1123">
        <v>18.420999999999999</v>
      </c>
      <c r="V1123" s="1" t="str">
        <f>IF(Energy_data_1990___2020[[#This Row],[CO2 emissions from fuel combustion (MtCO2)]]&gt;Energy_data_1990___2020[[#Totals],[CO2 emissions from fuel combustion (MtCO2)]],"Above Average","")</f>
        <v/>
      </c>
      <c r="W1123" s="1">
        <f>SUM(Energy_data_1990___2020[[#This Row],[Coal and lignite production (Mt)]]-Energy_data_1990___2020[[#This Row],[Coal and lignite domestic consumption (Mt)]])</f>
        <v>-2.4800000000000004</v>
      </c>
    </row>
    <row r="1124" spans="1:23">
      <c r="A1124" t="s">
        <v>66</v>
      </c>
      <c r="B1124">
        <v>1996</v>
      </c>
      <c r="C1124" t="s">
        <v>28</v>
      </c>
      <c r="D1124">
        <v>159.2839865</v>
      </c>
      <c r="E1124">
        <v>2.3002311990000002</v>
      </c>
      <c r="F1124">
        <v>0.260480926</v>
      </c>
      <c r="G1124">
        <v>37.156716469999999</v>
      </c>
      <c r="H1124">
        <v>69.246946370000003</v>
      </c>
      <c r="I1124">
        <v>9.1293604330000004</v>
      </c>
      <c r="J1124">
        <v>13.44684312</v>
      </c>
      <c r="K1124">
        <v>33.567</v>
      </c>
      <c r="L1124">
        <v>32.588000000000001</v>
      </c>
      <c r="M1124">
        <v>13.07701395</v>
      </c>
      <c r="N1124">
        <v>13.08399275</v>
      </c>
      <c r="O1124">
        <v>0.113241193</v>
      </c>
      <c r="P1124">
        <v>89.841999999999999</v>
      </c>
      <c r="Q1124">
        <v>77.353999999999999</v>
      </c>
      <c r="R1124">
        <v>24.942</v>
      </c>
      <c r="S1124">
        <v>2.2261300000000002E-3</v>
      </c>
      <c r="T1124">
        <v>5.117</v>
      </c>
      <c r="U1124">
        <v>21.48</v>
      </c>
      <c r="V1124" s="1" t="str">
        <f>IF(Energy_data_1990___2020[[#This Row],[CO2 emissions from fuel combustion (MtCO2)]]&gt;Energy_data_1990___2020[[#Totals],[CO2 emissions from fuel combustion (MtCO2)]],"Above Average","")</f>
        <v/>
      </c>
      <c r="W1124" s="1">
        <f>SUM(Energy_data_1990___2020[[#This Row],[Coal and lignite production (Mt)]]-Energy_data_1990___2020[[#This Row],[Coal and lignite domestic consumption (Mt)]])</f>
        <v>-3.4619999999999997</v>
      </c>
    </row>
    <row r="1125" spans="1:23">
      <c r="A1125" t="s">
        <v>66</v>
      </c>
      <c r="B1125">
        <v>1997</v>
      </c>
      <c r="C1125" t="s">
        <v>28</v>
      </c>
      <c r="D1125">
        <v>163.2843475</v>
      </c>
      <c r="E1125">
        <v>2.3148529999999998</v>
      </c>
      <c r="F1125">
        <v>0.27458372399999997</v>
      </c>
      <c r="G1125">
        <v>40.040776440000002</v>
      </c>
      <c r="H1125">
        <v>70.537674539999998</v>
      </c>
      <c r="I1125">
        <v>8.0932357929999998</v>
      </c>
      <c r="J1125">
        <v>14.12706874</v>
      </c>
      <c r="K1125">
        <v>33.250999999999998</v>
      </c>
      <c r="L1125">
        <v>37.92</v>
      </c>
      <c r="M1125">
        <v>15.990021069999999</v>
      </c>
      <c r="N1125">
        <v>15.999010849999999</v>
      </c>
      <c r="O1125">
        <v>0.118618212</v>
      </c>
      <c r="P1125">
        <v>93.225999999999999</v>
      </c>
      <c r="Q1125">
        <v>82.429000000000002</v>
      </c>
      <c r="R1125">
        <v>25.896000000000001</v>
      </c>
      <c r="S1125">
        <v>2.1453240000000001E-3</v>
      </c>
      <c r="T1125">
        <v>5.5750000000000002</v>
      </c>
      <c r="U1125">
        <v>23.393000000000001</v>
      </c>
      <c r="V1125" s="1" t="str">
        <f>IF(Energy_data_1990___2020[[#This Row],[CO2 emissions from fuel combustion (MtCO2)]]&gt;Energy_data_1990___2020[[#Totals],[CO2 emissions from fuel combustion (MtCO2)]],"Above Average","")</f>
        <v/>
      </c>
      <c r="W1125" s="1">
        <f>SUM(Energy_data_1990___2020[[#This Row],[Coal and lignite production (Mt)]]-Energy_data_1990___2020[[#This Row],[Coal and lignite domestic consumption (Mt)]])</f>
        <v>-2.5030000000000001</v>
      </c>
    </row>
    <row r="1126" spans="1:23">
      <c r="A1126" t="s">
        <v>66</v>
      </c>
      <c r="B1126">
        <v>1998</v>
      </c>
      <c r="C1126" t="s">
        <v>28</v>
      </c>
      <c r="D1126">
        <v>148.52323190000001</v>
      </c>
      <c r="E1126">
        <v>2.2456473190000001</v>
      </c>
      <c r="F1126">
        <v>0.27040283300000001</v>
      </c>
      <c r="G1126">
        <v>39.699010649999998</v>
      </c>
      <c r="H1126">
        <v>66.138271399999994</v>
      </c>
      <c r="I1126">
        <v>6.1053613469999997</v>
      </c>
      <c r="J1126">
        <v>15.148760640000001</v>
      </c>
      <c r="K1126">
        <v>29.704999999999998</v>
      </c>
      <c r="L1126">
        <v>35.067</v>
      </c>
      <c r="M1126">
        <v>17.444979310000001</v>
      </c>
      <c r="N1126">
        <v>17.47599945</v>
      </c>
      <c r="O1126">
        <v>0.120411977</v>
      </c>
      <c r="P1126">
        <v>90.052000000000007</v>
      </c>
      <c r="Q1126">
        <v>80.433999999999997</v>
      </c>
      <c r="R1126">
        <v>22.204999999999998</v>
      </c>
      <c r="S1126">
        <v>2.2209389999999999E-3</v>
      </c>
      <c r="T1126">
        <v>5.8380000000000001</v>
      </c>
      <c r="U1126">
        <v>20.163</v>
      </c>
      <c r="V1126" s="1" t="str">
        <f>IF(Energy_data_1990___2020[[#This Row],[CO2 emissions from fuel combustion (MtCO2)]]&gt;Energy_data_1990___2020[[#Totals],[CO2 emissions from fuel combustion (MtCO2)]],"Above Average","")</f>
        <v/>
      </c>
      <c r="W1126" s="1">
        <f>SUM(Energy_data_1990___2020[[#This Row],[Coal and lignite production (Mt)]]-Energy_data_1990___2020[[#This Row],[Coal and lignite domestic consumption (Mt)]])</f>
        <v>-2.041999999999998</v>
      </c>
    </row>
    <row r="1127" spans="1:23">
      <c r="A1127" t="s">
        <v>66</v>
      </c>
      <c r="B1127">
        <v>1999</v>
      </c>
      <c r="C1127" t="s">
        <v>28</v>
      </c>
      <c r="D1127">
        <v>154.7184427</v>
      </c>
      <c r="E1127">
        <v>2.1911944050000001</v>
      </c>
      <c r="F1127">
        <v>0.26936568999999999</v>
      </c>
      <c r="G1127">
        <v>41.548640220000003</v>
      </c>
      <c r="H1127">
        <v>70.609181129999996</v>
      </c>
      <c r="I1127">
        <v>4.888992548</v>
      </c>
      <c r="J1127">
        <v>14.19689764</v>
      </c>
      <c r="K1127">
        <v>31.457999999999998</v>
      </c>
      <c r="L1127">
        <v>37.527000000000001</v>
      </c>
      <c r="M1127">
        <v>18.987015199999998</v>
      </c>
      <c r="N1127">
        <v>19.027000439999998</v>
      </c>
      <c r="O1127">
        <v>0.12293098700000001</v>
      </c>
      <c r="P1127">
        <v>90.039000000000001</v>
      </c>
      <c r="Q1127">
        <v>81.45</v>
      </c>
      <c r="R1127">
        <v>21.968</v>
      </c>
      <c r="S1127">
        <v>2.2212600000000001E-3</v>
      </c>
      <c r="T1127">
        <v>6.194</v>
      </c>
      <c r="U1127">
        <v>18.265999999999998</v>
      </c>
      <c r="V1127" s="1" t="str">
        <f>IF(Energy_data_1990___2020[[#This Row],[CO2 emissions from fuel combustion (MtCO2)]]&gt;Energy_data_1990___2020[[#Totals],[CO2 emissions from fuel combustion (MtCO2)]],"Above Average","")</f>
        <v/>
      </c>
      <c r="W1127" s="1">
        <f>SUM(Energy_data_1990___2020[[#This Row],[Coal and lignite production (Mt)]]-Energy_data_1990___2020[[#This Row],[Coal and lignite domestic consumption (Mt)]])</f>
        <v>-3.7020000000000017</v>
      </c>
    </row>
    <row r="1128" spans="1:23">
      <c r="A1128" t="s">
        <v>66</v>
      </c>
      <c r="B1128">
        <v>2000</v>
      </c>
      <c r="C1128" t="s">
        <v>28</v>
      </c>
      <c r="D1128">
        <v>155.45578929999999</v>
      </c>
      <c r="E1128">
        <v>2.1503644030000002</v>
      </c>
      <c r="F1128">
        <v>0.25910455599999999</v>
      </c>
      <c r="G1128">
        <v>43.955063109999998</v>
      </c>
      <c r="H1128">
        <v>72.29276539</v>
      </c>
      <c r="I1128">
        <v>6.8110068039999998</v>
      </c>
      <c r="J1128">
        <v>14.94406218</v>
      </c>
      <c r="K1128">
        <v>30.513999999999999</v>
      </c>
      <c r="L1128">
        <v>37.594999999999999</v>
      </c>
      <c r="M1128">
        <v>19.99002613</v>
      </c>
      <c r="N1128">
        <v>22.210997150000001</v>
      </c>
      <c r="O1128">
        <v>0.120493324</v>
      </c>
      <c r="P1128">
        <v>95.977000000000004</v>
      </c>
      <c r="Q1128">
        <v>87.932000000000002</v>
      </c>
      <c r="R1128">
        <v>21.765000000000001</v>
      </c>
      <c r="S1128">
        <v>2.0838330000000002E-3</v>
      </c>
      <c r="T1128">
        <v>7.6840000000000002</v>
      </c>
      <c r="U1128">
        <v>17.707999999999998</v>
      </c>
      <c r="V1128" s="1" t="str">
        <f>IF(Energy_data_1990___2020[[#This Row],[CO2 emissions from fuel combustion (MtCO2)]]&gt;Energy_data_1990___2020[[#Totals],[CO2 emissions from fuel combustion (MtCO2)]],"Above Average","")</f>
        <v/>
      </c>
      <c r="W1128" s="1">
        <f>SUM(Energy_data_1990___2020[[#This Row],[Coal and lignite production (Mt)]]-Energy_data_1990___2020[[#This Row],[Coal and lignite domestic consumption (Mt)]])</f>
        <v>-4.0570000000000022</v>
      </c>
    </row>
    <row r="1129" spans="1:23">
      <c r="A1129" t="s">
        <v>66</v>
      </c>
      <c r="B1129">
        <v>2001</v>
      </c>
      <c r="C1129" t="s">
        <v>28</v>
      </c>
      <c r="D1129">
        <v>163.72478150000001</v>
      </c>
      <c r="E1129">
        <v>2.200716565</v>
      </c>
      <c r="F1129">
        <v>0.26380088000000002</v>
      </c>
      <c r="G1129">
        <v>43.128466279999998</v>
      </c>
      <c r="H1129">
        <v>74.396123590000002</v>
      </c>
      <c r="I1129">
        <v>6.6363991410000001</v>
      </c>
      <c r="J1129">
        <v>15.1496066</v>
      </c>
      <c r="K1129">
        <v>30.013999999999999</v>
      </c>
      <c r="L1129">
        <v>38.613</v>
      </c>
      <c r="M1129">
        <v>19.422016459999998</v>
      </c>
      <c r="N1129">
        <v>25.938016019999999</v>
      </c>
      <c r="O1129">
        <v>0.119870448</v>
      </c>
      <c r="P1129">
        <v>102.42</v>
      </c>
      <c r="Q1129">
        <v>92.29</v>
      </c>
      <c r="R1129">
        <v>24.869</v>
      </c>
      <c r="S1129">
        <v>1.952744E-3</v>
      </c>
      <c r="T1129">
        <v>8.0719999999999992</v>
      </c>
      <c r="U1129">
        <v>19.617000000000001</v>
      </c>
      <c r="V1129" s="1" t="str">
        <f>IF(Energy_data_1990___2020[[#This Row],[CO2 emissions from fuel combustion (MtCO2)]]&gt;Energy_data_1990___2020[[#Totals],[CO2 emissions from fuel combustion (MtCO2)]],"Above Average","")</f>
        <v/>
      </c>
      <c r="W1129" s="1">
        <f>SUM(Energy_data_1990___2020[[#This Row],[Coal and lignite production (Mt)]]-Energy_data_1990___2020[[#This Row],[Coal and lignite domestic consumption (Mt)]])</f>
        <v>-5.2519999999999989</v>
      </c>
    </row>
    <row r="1130" spans="1:23">
      <c r="A1130" t="s">
        <v>66</v>
      </c>
      <c r="B1130">
        <v>2002</v>
      </c>
      <c r="C1130" t="s">
        <v>28</v>
      </c>
      <c r="D1130">
        <v>175.3260636</v>
      </c>
      <c r="E1130">
        <v>2.1310700699999998</v>
      </c>
      <c r="F1130">
        <v>0.26612941899999998</v>
      </c>
      <c r="G1130">
        <v>45.981185789999998</v>
      </c>
      <c r="H1130">
        <v>82.271374420000001</v>
      </c>
      <c r="I1130">
        <v>7.4844284630000004</v>
      </c>
      <c r="J1130">
        <v>14.6648818</v>
      </c>
      <c r="K1130">
        <v>33.959000000000003</v>
      </c>
      <c r="L1130">
        <v>41.902999999999999</v>
      </c>
      <c r="M1130">
        <v>20.55600433</v>
      </c>
      <c r="N1130">
        <v>28.019013340000001</v>
      </c>
      <c r="O1130">
        <v>0.12488065199999999</v>
      </c>
      <c r="P1130">
        <v>109.01300000000001</v>
      </c>
      <c r="Q1130">
        <v>100.173</v>
      </c>
      <c r="R1130">
        <v>25.135999999999999</v>
      </c>
      <c r="S1130">
        <v>1.8346440000000001E-3</v>
      </c>
      <c r="T1130">
        <v>9.1920000000000002</v>
      </c>
      <c r="U1130">
        <v>19.602</v>
      </c>
      <c r="V1130" s="1" t="str">
        <f>IF(Energy_data_1990___2020[[#This Row],[CO2 emissions from fuel combustion (MtCO2)]]&gt;Energy_data_1990___2020[[#Totals],[CO2 emissions from fuel combustion (MtCO2)]],"Above Average","")</f>
        <v/>
      </c>
      <c r="W1130" s="1">
        <f>SUM(Energy_data_1990___2020[[#This Row],[Coal and lignite production (Mt)]]-Energy_data_1990___2020[[#This Row],[Coal and lignite domestic consumption (Mt)]])</f>
        <v>-5.5339999999999989</v>
      </c>
    </row>
    <row r="1131" spans="1:23">
      <c r="A1131" t="s">
        <v>66</v>
      </c>
      <c r="B1131">
        <v>2003</v>
      </c>
      <c r="C1131" t="s">
        <v>28</v>
      </c>
      <c r="D1131">
        <v>184.66257669999999</v>
      </c>
      <c r="E1131">
        <v>2.071996999</v>
      </c>
      <c r="F1131">
        <v>0.26150123199999997</v>
      </c>
      <c r="G1131">
        <v>49.328461599999997</v>
      </c>
      <c r="H1131">
        <v>89.12299428</v>
      </c>
      <c r="I1131">
        <v>7.2249814079999997</v>
      </c>
      <c r="J1131">
        <v>14.41650001</v>
      </c>
      <c r="K1131">
        <v>37.198</v>
      </c>
      <c r="L1131">
        <v>45.063000000000002</v>
      </c>
      <c r="M1131">
        <v>21.664006109999999</v>
      </c>
      <c r="N1131">
        <v>29.75101386</v>
      </c>
      <c r="O1131">
        <v>0.126207341</v>
      </c>
      <c r="P1131">
        <v>116.983</v>
      </c>
      <c r="Q1131">
        <v>106.959</v>
      </c>
      <c r="R1131">
        <v>25.071000000000002</v>
      </c>
      <c r="S1131">
        <v>1.7096500000000001E-3</v>
      </c>
      <c r="T1131">
        <v>10.706</v>
      </c>
      <c r="U1131">
        <v>18.843</v>
      </c>
      <c r="V1131" s="1" t="str">
        <f>IF(Energy_data_1990___2020[[#This Row],[CO2 emissions from fuel combustion (MtCO2)]]&gt;Energy_data_1990___2020[[#Totals],[CO2 emissions from fuel combustion (MtCO2)]],"Above Average","")</f>
        <v/>
      </c>
      <c r="W1131" s="1">
        <f>SUM(Energy_data_1990___2020[[#This Row],[Coal and lignite production (Mt)]]-Energy_data_1990___2020[[#This Row],[Coal and lignite domestic consumption (Mt)]])</f>
        <v>-6.2280000000000015</v>
      </c>
    </row>
    <row r="1132" spans="1:23">
      <c r="A1132" t="s">
        <v>66</v>
      </c>
      <c r="B1132">
        <v>2004</v>
      </c>
      <c r="C1132" t="s">
        <v>28</v>
      </c>
      <c r="D1132">
        <v>201.5301747</v>
      </c>
      <c r="E1132">
        <v>2.0925621799999998</v>
      </c>
      <c r="F1132">
        <v>0.26850070399999998</v>
      </c>
      <c r="G1132">
        <v>51.274949309999997</v>
      </c>
      <c r="H1132">
        <v>96.307854840000005</v>
      </c>
      <c r="I1132">
        <v>5.823729191</v>
      </c>
      <c r="J1132">
        <v>14.30460164</v>
      </c>
      <c r="K1132">
        <v>41.136000000000003</v>
      </c>
      <c r="L1132">
        <v>49.433999999999997</v>
      </c>
      <c r="M1132">
        <v>22.399018550000001</v>
      </c>
      <c r="N1132">
        <v>31.178025359999999</v>
      </c>
      <c r="O1132">
        <v>0.12831193599999999</v>
      </c>
      <c r="P1132">
        <v>125.727</v>
      </c>
      <c r="Q1132">
        <v>115.044</v>
      </c>
      <c r="R1132">
        <v>28.084</v>
      </c>
      <c r="S1132">
        <v>1.5907479999999999E-3</v>
      </c>
      <c r="T1132">
        <v>10.532</v>
      </c>
      <c r="U1132">
        <v>20.059999999999999</v>
      </c>
      <c r="V1132" s="1" t="str">
        <f>IF(Energy_data_1990___2020[[#This Row],[CO2 emissions from fuel combustion (MtCO2)]]&gt;Energy_data_1990___2020[[#Totals],[CO2 emissions from fuel combustion (MtCO2)]],"Above Average","")</f>
        <v/>
      </c>
      <c r="W1132" s="1">
        <f>SUM(Energy_data_1990___2020[[#This Row],[Coal and lignite production (Mt)]]-Energy_data_1990___2020[[#This Row],[Coal and lignite domestic consumption (Mt)]])</f>
        <v>-8.0240000000000009</v>
      </c>
    </row>
    <row r="1133" spans="1:23">
      <c r="A1133" t="s">
        <v>66</v>
      </c>
      <c r="B1133">
        <v>2005</v>
      </c>
      <c r="C1133" t="s">
        <v>28</v>
      </c>
      <c r="D1133">
        <v>207.77139159999999</v>
      </c>
      <c r="E1133">
        <v>2.0948199949999999</v>
      </c>
      <c r="F1133">
        <v>0.26568931099999998</v>
      </c>
      <c r="G1133">
        <v>55.197424789999999</v>
      </c>
      <c r="H1133">
        <v>99.183410539999997</v>
      </c>
      <c r="I1133">
        <v>5.5447551759999998</v>
      </c>
      <c r="J1133">
        <v>14.91201691</v>
      </c>
      <c r="K1133">
        <v>40.514000000000003</v>
      </c>
      <c r="L1133">
        <v>48.552999999999997</v>
      </c>
      <c r="M1133">
        <v>23.651982539999999</v>
      </c>
      <c r="N1133">
        <v>33.156959120000003</v>
      </c>
      <c r="O1133">
        <v>0.126831571</v>
      </c>
      <c r="P1133">
        <v>132.197</v>
      </c>
      <c r="Q1133">
        <v>121.229</v>
      </c>
      <c r="R1133">
        <v>29.614000000000001</v>
      </c>
      <c r="S1133">
        <v>1.5128940000000001E-3</v>
      </c>
      <c r="T1133">
        <v>12.502000000000001</v>
      </c>
      <c r="U1133">
        <v>20.878</v>
      </c>
      <c r="V1133" s="1" t="str">
        <f>IF(Energy_data_1990___2020[[#This Row],[CO2 emissions from fuel combustion (MtCO2)]]&gt;Energy_data_1990___2020[[#Totals],[CO2 emissions from fuel combustion (MtCO2)]],"Above Average","")</f>
        <v/>
      </c>
      <c r="W1133" s="1">
        <f>SUM(Energy_data_1990___2020[[#This Row],[Coal and lignite production (Mt)]]-Energy_data_1990___2020[[#This Row],[Coal and lignite domestic consumption (Mt)]])</f>
        <v>-8.7360000000000007</v>
      </c>
    </row>
    <row r="1134" spans="1:23">
      <c r="A1134" t="s">
        <v>66</v>
      </c>
      <c r="B1134">
        <v>2006</v>
      </c>
      <c r="C1134" t="s">
        <v>28</v>
      </c>
      <c r="D1134">
        <v>209.78661059999999</v>
      </c>
      <c r="E1134">
        <v>2.0758582030000001</v>
      </c>
      <c r="F1134">
        <v>0.25556979400000002</v>
      </c>
      <c r="G1134">
        <v>57.351073880000001</v>
      </c>
      <c r="H1134">
        <v>101.06018330000001</v>
      </c>
      <c r="I1134">
        <v>6.9171555839999996</v>
      </c>
      <c r="J1134">
        <v>15.346154390000001</v>
      </c>
      <c r="K1134">
        <v>40.448999999999998</v>
      </c>
      <c r="L1134">
        <v>50.009</v>
      </c>
      <c r="M1134">
        <v>24.339013510000001</v>
      </c>
      <c r="N1134">
        <v>34.131026110000001</v>
      </c>
      <c r="O1134">
        <v>0.123115246</v>
      </c>
      <c r="P1134">
        <v>138.74199999999999</v>
      </c>
      <c r="Q1134">
        <v>127.81100000000001</v>
      </c>
      <c r="R1134">
        <v>30.007999999999999</v>
      </c>
      <c r="S1134">
        <v>2.1622870000000001E-3</v>
      </c>
      <c r="T1134">
        <v>14.053000000000001</v>
      </c>
      <c r="U1134">
        <v>19.001000000000001</v>
      </c>
      <c r="V1134" s="1" t="str">
        <f>IF(Energy_data_1990___2020[[#This Row],[CO2 emissions from fuel combustion (MtCO2)]]&gt;Energy_data_1990___2020[[#Totals],[CO2 emissions from fuel combustion (MtCO2)]],"Above Average","")</f>
        <v/>
      </c>
      <c r="W1134" s="1">
        <f>SUM(Energy_data_1990___2020[[#This Row],[Coal and lignite production (Mt)]]-Energy_data_1990___2020[[#This Row],[Coal and lignite domestic consumption (Mt)]])</f>
        <v>-11.006999999999998</v>
      </c>
    </row>
    <row r="1135" spans="1:23">
      <c r="A1135" t="s">
        <v>66</v>
      </c>
      <c r="B1135">
        <v>2007</v>
      </c>
      <c r="C1135" t="s">
        <v>28</v>
      </c>
      <c r="D1135">
        <v>217.5831858</v>
      </c>
      <c r="E1135">
        <v>2.0654544170000002</v>
      </c>
      <c r="F1135">
        <v>0.25140383799999999</v>
      </c>
      <c r="G1135">
        <v>60.497471599999997</v>
      </c>
      <c r="H1135">
        <v>105.3439786</v>
      </c>
      <c r="I1135">
        <v>6.91389195</v>
      </c>
      <c r="J1135">
        <v>15.72031481</v>
      </c>
      <c r="K1135">
        <v>39.908999999999999</v>
      </c>
      <c r="L1135">
        <v>49.915999999999997</v>
      </c>
      <c r="M1135">
        <v>25.975981340000001</v>
      </c>
      <c r="N1135">
        <v>36.213996629999997</v>
      </c>
      <c r="O1135">
        <v>0.121718415</v>
      </c>
      <c r="P1135">
        <v>143.37799999999999</v>
      </c>
      <c r="Q1135">
        <v>133.178</v>
      </c>
      <c r="R1135">
        <v>32.164999999999999</v>
      </c>
      <c r="S1135">
        <v>2.092371E-3</v>
      </c>
      <c r="T1135">
        <v>14.769</v>
      </c>
      <c r="U1135">
        <v>18.239000000000001</v>
      </c>
      <c r="V1135" s="1" t="str">
        <f>IF(Energy_data_1990___2020[[#This Row],[CO2 emissions from fuel combustion (MtCO2)]]&gt;Energy_data_1990___2020[[#Totals],[CO2 emissions from fuel combustion (MtCO2)]],"Above Average","")</f>
        <v/>
      </c>
      <c r="W1135" s="1">
        <f>SUM(Energy_data_1990___2020[[#This Row],[Coal and lignite production (Mt)]]-Energy_data_1990___2020[[#This Row],[Coal and lignite domestic consumption (Mt)]])</f>
        <v>-13.925999999999998</v>
      </c>
    </row>
    <row r="1136" spans="1:23">
      <c r="A1136" t="s">
        <v>66</v>
      </c>
      <c r="B1136">
        <v>2008</v>
      </c>
      <c r="C1136" t="s">
        <v>28</v>
      </c>
      <c r="D1136">
        <v>223.505281</v>
      </c>
      <c r="E1136">
        <v>2.0671279450000002</v>
      </c>
      <c r="F1136">
        <v>0.25386557399999998</v>
      </c>
      <c r="G1136">
        <v>65.512613250000001</v>
      </c>
      <c r="H1136">
        <v>108.1235835</v>
      </c>
      <c r="I1136">
        <v>6.5978863969999999</v>
      </c>
      <c r="J1136">
        <v>15.67695458</v>
      </c>
      <c r="K1136">
        <v>37.661000000000001</v>
      </c>
      <c r="L1136">
        <v>50.451000000000001</v>
      </c>
      <c r="M1136">
        <v>29.439024060000001</v>
      </c>
      <c r="N1136">
        <v>39.58195611</v>
      </c>
      <c r="O1136">
        <v>0.12281077</v>
      </c>
      <c r="P1136">
        <v>147.42599999999999</v>
      </c>
      <c r="Q1136">
        <v>135.44999999999999</v>
      </c>
      <c r="R1136">
        <v>34.427999999999997</v>
      </c>
      <c r="S1136">
        <v>2.713226E-3</v>
      </c>
      <c r="T1136">
        <v>15.824999999999999</v>
      </c>
      <c r="U1136">
        <v>17.981999999999999</v>
      </c>
      <c r="V1136" s="1" t="str">
        <f>IF(Energy_data_1990___2020[[#This Row],[CO2 emissions from fuel combustion (MtCO2)]]&gt;Energy_data_1990___2020[[#Totals],[CO2 emissions from fuel combustion (MtCO2)]],"Above Average","")</f>
        <v/>
      </c>
      <c r="W1136" s="1">
        <f>SUM(Energy_data_1990___2020[[#This Row],[Coal and lignite production (Mt)]]-Energy_data_1990___2020[[#This Row],[Coal and lignite domestic consumption (Mt)]])</f>
        <v>-16.445999999999998</v>
      </c>
    </row>
    <row r="1137" spans="1:23">
      <c r="A1137" t="s">
        <v>66</v>
      </c>
      <c r="B1137">
        <v>2009</v>
      </c>
      <c r="C1137" t="s">
        <v>28</v>
      </c>
      <c r="D1137">
        <v>218.20779279999999</v>
      </c>
      <c r="E1137">
        <v>2.0256381069999998</v>
      </c>
      <c r="F1137">
        <v>0.24957237099999999</v>
      </c>
      <c r="G1137">
        <v>64.633675550000007</v>
      </c>
      <c r="H1137">
        <v>107.72298960000001</v>
      </c>
      <c r="I1137">
        <v>6.8971791309999997</v>
      </c>
      <c r="J1137">
        <v>14.81417334</v>
      </c>
      <c r="K1137">
        <v>39.658999999999999</v>
      </c>
      <c r="L1137">
        <v>52.912999999999997</v>
      </c>
      <c r="M1137">
        <v>27.424979260000001</v>
      </c>
      <c r="N1137">
        <v>36.984044990000001</v>
      </c>
      <c r="O1137">
        <v>0.123206791</v>
      </c>
      <c r="P1137">
        <v>148.39400000000001</v>
      </c>
      <c r="Q1137">
        <v>135.209</v>
      </c>
      <c r="R1137">
        <v>33.354999999999997</v>
      </c>
      <c r="S1137">
        <v>7.412699E-3</v>
      </c>
      <c r="T1137">
        <v>16.137</v>
      </c>
      <c r="U1137">
        <v>17.786000000000001</v>
      </c>
      <c r="V1137" s="1" t="str">
        <f>IF(Energy_data_1990___2020[[#This Row],[CO2 emissions from fuel combustion (MtCO2)]]&gt;Energy_data_1990___2020[[#Totals],[CO2 emissions from fuel combustion (MtCO2)]],"Above Average","")</f>
        <v/>
      </c>
      <c r="W1137" s="1">
        <f>SUM(Energy_data_1990___2020[[#This Row],[Coal and lignite production (Mt)]]-Energy_data_1990___2020[[#This Row],[Coal and lignite domestic consumption (Mt)]])</f>
        <v>-15.568999999999996</v>
      </c>
    </row>
    <row r="1138" spans="1:23">
      <c r="A1138" t="s">
        <v>66</v>
      </c>
      <c r="B1138">
        <v>2010</v>
      </c>
      <c r="C1138" t="s">
        <v>28</v>
      </c>
      <c r="D1138">
        <v>235.42528250000001</v>
      </c>
      <c r="E1138">
        <v>1.997452673</v>
      </c>
      <c r="F1138">
        <v>0.25044708500000001</v>
      </c>
      <c r="G1138">
        <v>70.59220139</v>
      </c>
      <c r="H1138">
        <v>117.8627587</v>
      </c>
      <c r="I1138">
        <v>5.6098845300000004</v>
      </c>
      <c r="J1138">
        <v>15.122553679999999</v>
      </c>
      <c r="K1138">
        <v>42.201000000000001</v>
      </c>
      <c r="L1138">
        <v>54.468000000000004</v>
      </c>
      <c r="M1138">
        <v>31.606962299999999</v>
      </c>
      <c r="N1138">
        <v>42.13494815</v>
      </c>
      <c r="O1138">
        <v>0.12538323900000001</v>
      </c>
      <c r="P1138">
        <v>159.52199999999999</v>
      </c>
      <c r="Q1138">
        <v>149.32</v>
      </c>
      <c r="R1138">
        <v>35.689</v>
      </c>
      <c r="S1138">
        <v>1.3791200999999999E-2</v>
      </c>
      <c r="T1138">
        <v>16.858000000000001</v>
      </c>
      <c r="U1138">
        <v>18.344000000000001</v>
      </c>
      <c r="V1138" s="1" t="str">
        <f>IF(Energy_data_1990___2020[[#This Row],[CO2 emissions from fuel combustion (MtCO2)]]&gt;Energy_data_1990___2020[[#Totals],[CO2 emissions from fuel combustion (MtCO2)]],"Above Average","")</f>
        <v/>
      </c>
      <c r="W1138" s="1">
        <f>SUM(Energy_data_1990___2020[[#This Row],[Coal and lignite production (Mt)]]-Energy_data_1990___2020[[#This Row],[Coal and lignite domestic consumption (Mt)]])</f>
        <v>-17.344999999999999</v>
      </c>
    </row>
    <row r="1139" spans="1:23">
      <c r="A1139" t="s">
        <v>66</v>
      </c>
      <c r="B1139">
        <v>2011</v>
      </c>
      <c r="C1139" t="s">
        <v>28</v>
      </c>
      <c r="D1139">
        <v>235.0371274</v>
      </c>
      <c r="E1139">
        <v>1.9978478</v>
      </c>
      <c r="F1139">
        <v>0.24795147100000001</v>
      </c>
      <c r="G1139">
        <v>68.687252209999997</v>
      </c>
      <c r="H1139">
        <v>117.64516159999999</v>
      </c>
      <c r="I1139">
        <v>8.0479001990000008</v>
      </c>
      <c r="J1139">
        <v>14.92026682</v>
      </c>
      <c r="K1139">
        <v>43.585999999999999</v>
      </c>
      <c r="L1139">
        <v>54.18</v>
      </c>
      <c r="M1139">
        <v>28.12703664</v>
      </c>
      <c r="N1139">
        <v>39.372980550000001</v>
      </c>
      <c r="O1139">
        <v>0.12410929</v>
      </c>
      <c r="P1139">
        <v>155.99100000000001</v>
      </c>
      <c r="Q1139">
        <v>148.69999999999999</v>
      </c>
      <c r="R1139">
        <v>36.883000000000003</v>
      </c>
      <c r="S1139">
        <v>6.4747324999999994E-2</v>
      </c>
      <c r="T1139">
        <v>17.216999999999999</v>
      </c>
      <c r="U1139">
        <v>21.327000000000002</v>
      </c>
      <c r="V1139" s="1" t="str">
        <f>IF(Energy_data_1990___2020[[#This Row],[CO2 emissions from fuel combustion (MtCO2)]]&gt;Energy_data_1990___2020[[#Totals],[CO2 emissions from fuel combustion (MtCO2)]],"Above Average","")</f>
        <v/>
      </c>
      <c r="W1139" s="1">
        <f>SUM(Energy_data_1990___2020[[#This Row],[Coal and lignite production (Mt)]]-Energy_data_1990___2020[[#This Row],[Coal and lignite domestic consumption (Mt)]])</f>
        <v>-15.556000000000001</v>
      </c>
    </row>
    <row r="1140" spans="1:23">
      <c r="A1140" t="s">
        <v>66</v>
      </c>
      <c r="B1140">
        <v>2012</v>
      </c>
      <c r="C1140" t="s">
        <v>28</v>
      </c>
      <c r="D1140">
        <v>252.0441677</v>
      </c>
      <c r="E1140">
        <v>1.9963715689999999</v>
      </c>
      <c r="F1140">
        <v>0.24793553800000001</v>
      </c>
      <c r="G1140">
        <v>75.463383399999998</v>
      </c>
      <c r="H1140">
        <v>126.2511306</v>
      </c>
      <c r="I1140">
        <v>8.2776250890000007</v>
      </c>
      <c r="J1140">
        <v>15.142991159999999</v>
      </c>
      <c r="K1140">
        <v>46.375999999999998</v>
      </c>
      <c r="L1140">
        <v>57.448</v>
      </c>
      <c r="M1140">
        <v>33.497024379999999</v>
      </c>
      <c r="N1140">
        <v>44.986949260000003</v>
      </c>
      <c r="O1140">
        <v>0.124193082</v>
      </c>
      <c r="P1140">
        <v>166.642</v>
      </c>
      <c r="Q1140">
        <v>161.749</v>
      </c>
      <c r="R1140">
        <v>36.216000000000001</v>
      </c>
      <c r="S1140">
        <v>0.38105639600000002</v>
      </c>
      <c r="T1140">
        <v>18.824999999999999</v>
      </c>
      <c r="U1140">
        <v>18.068999999999999</v>
      </c>
      <c r="V1140" s="1" t="str">
        <f>IF(Energy_data_1990___2020[[#This Row],[CO2 emissions from fuel combustion (MtCO2)]]&gt;Energy_data_1990___2020[[#Totals],[CO2 emissions from fuel combustion (MtCO2)]],"Above Average","")</f>
        <v/>
      </c>
      <c r="W1140" s="1">
        <f>SUM(Energy_data_1990___2020[[#This Row],[Coal and lignite production (Mt)]]-Energy_data_1990___2020[[#This Row],[Coal and lignite domestic consumption (Mt)]])</f>
        <v>-18.147000000000002</v>
      </c>
    </row>
    <row r="1141" spans="1:23">
      <c r="A1141" t="s">
        <v>66</v>
      </c>
      <c r="B1141">
        <v>2013</v>
      </c>
      <c r="C1141" t="s">
        <v>28</v>
      </c>
      <c r="D1141">
        <v>263.86947670000001</v>
      </c>
      <c r="E1141">
        <v>1.936538111</v>
      </c>
      <c r="F1141">
        <v>0.252775054</v>
      </c>
      <c r="G1141">
        <v>78.757911960000001</v>
      </c>
      <c r="H1141">
        <v>136.2583443</v>
      </c>
      <c r="I1141">
        <v>8.1329195760000008</v>
      </c>
      <c r="J1141">
        <v>14.73198816</v>
      </c>
      <c r="K1141">
        <v>49.911999999999999</v>
      </c>
      <c r="L1141">
        <v>61.173000000000002</v>
      </c>
      <c r="M1141">
        <v>36.283005180000004</v>
      </c>
      <c r="N1141">
        <v>48.380967030000001</v>
      </c>
      <c r="O1141">
        <v>0.13052934599999999</v>
      </c>
      <c r="P1141">
        <v>170.148</v>
      </c>
      <c r="Q1141">
        <v>164.322</v>
      </c>
      <c r="R1141">
        <v>37.673000000000002</v>
      </c>
      <c r="S1141">
        <v>0.81458494999999997</v>
      </c>
      <c r="T1141">
        <v>19.175999999999998</v>
      </c>
      <c r="U1141">
        <v>17.591000000000001</v>
      </c>
      <c r="V1141" s="1" t="str">
        <f>IF(Energy_data_1990___2020[[#This Row],[CO2 emissions from fuel combustion (MtCO2)]]&gt;Energy_data_1990___2020[[#Totals],[CO2 emissions from fuel combustion (MtCO2)]],"Above Average","")</f>
        <v/>
      </c>
      <c r="W1141" s="1">
        <f>SUM(Energy_data_1990___2020[[#This Row],[Coal and lignite production (Mt)]]-Energy_data_1990___2020[[#This Row],[Coal and lignite domestic consumption (Mt)]])</f>
        <v>-20.082000000000001</v>
      </c>
    </row>
    <row r="1142" spans="1:23">
      <c r="A1142" t="s">
        <v>66</v>
      </c>
      <c r="B1142">
        <v>2014</v>
      </c>
      <c r="C1142" t="s">
        <v>28</v>
      </c>
      <c r="D1142">
        <v>259.61034649999999</v>
      </c>
      <c r="E1142">
        <v>1.914615848</v>
      </c>
      <c r="F1142">
        <v>0.24627067599999999</v>
      </c>
      <c r="G1142">
        <v>79.4183527</v>
      </c>
      <c r="H1142">
        <v>135.59396100000001</v>
      </c>
      <c r="I1142">
        <v>8.3589246429999999</v>
      </c>
      <c r="J1142">
        <v>15.02356644</v>
      </c>
      <c r="K1142">
        <v>49.905000000000001</v>
      </c>
      <c r="L1142">
        <v>58.677999999999997</v>
      </c>
      <c r="M1142">
        <v>37.049030790000003</v>
      </c>
      <c r="N1142">
        <v>48.35399494</v>
      </c>
      <c r="O1142">
        <v>0.12862667799999999</v>
      </c>
      <c r="P1142">
        <v>172.25899999999999</v>
      </c>
      <c r="Q1142">
        <v>168.78800000000001</v>
      </c>
      <c r="R1142">
        <v>36.122</v>
      </c>
      <c r="S1142">
        <v>0.98166133600000005</v>
      </c>
      <c r="T1142">
        <v>18.695</v>
      </c>
      <c r="U1142">
        <v>18.042000000000002</v>
      </c>
      <c r="V1142" s="1" t="str">
        <f>IF(Energy_data_1990___2020[[#This Row],[CO2 emissions from fuel combustion (MtCO2)]]&gt;Energy_data_1990___2020[[#Totals],[CO2 emissions from fuel combustion (MtCO2)]],"Above Average","")</f>
        <v/>
      </c>
      <c r="W1142" s="1">
        <f>SUM(Energy_data_1990___2020[[#This Row],[Coal and lignite production (Mt)]]-Energy_data_1990___2020[[#This Row],[Coal and lignite domestic consumption (Mt)]])</f>
        <v>-18.079999999999998</v>
      </c>
    </row>
    <row r="1143" spans="1:23">
      <c r="A1143" t="s">
        <v>66</v>
      </c>
      <c r="B1143">
        <v>2015</v>
      </c>
      <c r="C1143" t="s">
        <v>28</v>
      </c>
      <c r="D1143">
        <v>263.57665400000002</v>
      </c>
      <c r="E1143">
        <v>1.9347871430000001</v>
      </c>
      <c r="F1143">
        <v>0.242435502</v>
      </c>
      <c r="G1143">
        <v>75.76956835</v>
      </c>
      <c r="H1143">
        <v>136.23031090000001</v>
      </c>
      <c r="I1143">
        <v>7.8792892429999997</v>
      </c>
      <c r="J1143">
        <v>15.26908412</v>
      </c>
      <c r="K1143">
        <v>49.655999999999999</v>
      </c>
      <c r="L1143">
        <v>63.110999999999997</v>
      </c>
      <c r="M1143">
        <v>32.969015740000003</v>
      </c>
      <c r="N1143">
        <v>48.097989599999998</v>
      </c>
      <c r="O1143">
        <v>0.12530344900000001</v>
      </c>
      <c r="P1143">
        <v>176.488</v>
      </c>
      <c r="Q1143">
        <v>174.053</v>
      </c>
      <c r="R1143">
        <v>35.929000000000002</v>
      </c>
      <c r="S1143">
        <v>1.5343819409999999</v>
      </c>
      <c r="T1143">
        <v>19.469000000000001</v>
      </c>
      <c r="U1143">
        <v>15.151</v>
      </c>
      <c r="V1143" s="1" t="str">
        <f>IF(Energy_data_1990___2020[[#This Row],[CO2 emissions from fuel combustion (MtCO2)]]&gt;Energy_data_1990___2020[[#Totals],[CO2 emissions from fuel combustion (MtCO2)]],"Above Average","")</f>
        <v/>
      </c>
      <c r="W1143" s="1">
        <f>SUM(Energy_data_1990___2020[[#This Row],[Coal and lignite production (Mt)]]-Energy_data_1990___2020[[#This Row],[Coal and lignite domestic consumption (Mt)]])</f>
        <v>-20.778000000000002</v>
      </c>
    </row>
    <row r="1144" spans="1:23">
      <c r="A1144" t="s">
        <v>66</v>
      </c>
      <c r="B1144">
        <v>2016</v>
      </c>
      <c r="C1144" t="s">
        <v>28</v>
      </c>
      <c r="D1144">
        <v>259.92288589999998</v>
      </c>
      <c r="E1144">
        <v>1.8651285909999999</v>
      </c>
      <c r="F1144">
        <v>0.231310875</v>
      </c>
      <c r="G1144">
        <v>79.188691669999997</v>
      </c>
      <c r="H1144">
        <v>139.3592309</v>
      </c>
      <c r="I1144">
        <v>13.49158109</v>
      </c>
      <c r="J1144">
        <v>16.376820819999999</v>
      </c>
      <c r="K1144">
        <v>51.137</v>
      </c>
      <c r="L1144">
        <v>62.654000000000003</v>
      </c>
      <c r="M1144">
        <v>32.333032940000002</v>
      </c>
      <c r="N1144">
        <v>47.168986529999998</v>
      </c>
      <c r="O1144">
        <v>0.12401872799999999</v>
      </c>
      <c r="P1144">
        <v>187.554</v>
      </c>
      <c r="Q1144">
        <v>184.96</v>
      </c>
      <c r="R1144">
        <v>34.582000000000001</v>
      </c>
      <c r="S1144">
        <v>1.9850283120000001</v>
      </c>
      <c r="T1144">
        <v>19.946000000000002</v>
      </c>
      <c r="U1144">
        <v>16.978999999999999</v>
      </c>
      <c r="V1144" s="1" t="str">
        <f>IF(Energy_data_1990___2020[[#This Row],[CO2 emissions from fuel combustion (MtCO2)]]&gt;Energy_data_1990___2020[[#Totals],[CO2 emissions from fuel combustion (MtCO2)]],"Above Average","")</f>
        <v/>
      </c>
      <c r="W1144" s="1">
        <f>SUM(Energy_data_1990___2020[[#This Row],[Coal and lignite production (Mt)]]-Energy_data_1990___2020[[#This Row],[Coal and lignite domestic consumption (Mt)]])</f>
        <v>-17.603000000000002</v>
      </c>
    </row>
    <row r="1145" spans="1:23">
      <c r="A1145" t="s">
        <v>66</v>
      </c>
      <c r="B1145">
        <v>2017</v>
      </c>
      <c r="C1145" t="s">
        <v>28</v>
      </c>
      <c r="D1145">
        <v>259.78432240000001</v>
      </c>
      <c r="E1145">
        <v>1.874164173</v>
      </c>
      <c r="F1145">
        <v>0.222244264</v>
      </c>
      <c r="G1145">
        <v>75.234349640000005</v>
      </c>
      <c r="H1145">
        <v>138.6134289</v>
      </c>
      <c r="I1145">
        <v>14.192308110000001</v>
      </c>
      <c r="J1145">
        <v>16.129256550000001</v>
      </c>
      <c r="K1145">
        <v>51.315517</v>
      </c>
      <c r="L1145">
        <v>64.091937999999999</v>
      </c>
      <c r="M1145">
        <v>30.19464996</v>
      </c>
      <c r="N1145">
        <v>44.520560750000001</v>
      </c>
      <c r="O1145">
        <v>0.11858313600000001</v>
      </c>
      <c r="P1145">
        <v>181.71390299999999</v>
      </c>
      <c r="Q1145">
        <v>185.368999</v>
      </c>
      <c r="R1145">
        <v>35.759000999999998</v>
      </c>
      <c r="S1145">
        <v>3.1109342249999998</v>
      </c>
      <c r="T1145">
        <v>19.403894000000001</v>
      </c>
      <c r="U1145">
        <v>16.259</v>
      </c>
      <c r="V1145" s="1" t="str">
        <f>IF(Energy_data_1990___2020[[#This Row],[CO2 emissions from fuel combustion (MtCO2)]]&gt;Energy_data_1990___2020[[#Totals],[CO2 emissions from fuel combustion (MtCO2)]],"Above Average","")</f>
        <v/>
      </c>
      <c r="W1145" s="1">
        <f>SUM(Energy_data_1990___2020[[#This Row],[Coal and lignite production (Mt)]]-Energy_data_1990___2020[[#This Row],[Coal and lignite domestic consumption (Mt)]])</f>
        <v>-19.500000999999997</v>
      </c>
    </row>
    <row r="1146" spans="1:23">
      <c r="A1146" t="s">
        <v>66</v>
      </c>
      <c r="B1146">
        <v>2018</v>
      </c>
      <c r="C1146" t="s">
        <v>28</v>
      </c>
      <c r="D1146">
        <v>258.28063789999999</v>
      </c>
      <c r="E1146">
        <v>1.9017755329999999</v>
      </c>
      <c r="F1146">
        <v>0.21219582400000001</v>
      </c>
      <c r="G1146">
        <v>73.295425050000006</v>
      </c>
      <c r="H1146">
        <v>135.81026439999999</v>
      </c>
      <c r="I1146">
        <v>16.49585218</v>
      </c>
      <c r="J1146">
        <v>16.142075080000001</v>
      </c>
      <c r="K1146">
        <v>52.035584999999998</v>
      </c>
      <c r="L1146">
        <v>65.259439</v>
      </c>
      <c r="M1146">
        <v>29.227856190000001</v>
      </c>
      <c r="N1146">
        <v>45.659496480000001</v>
      </c>
      <c r="O1146">
        <v>0.11157774400000001</v>
      </c>
      <c r="P1146">
        <v>182.29786899999999</v>
      </c>
      <c r="Q1146">
        <v>188.048</v>
      </c>
      <c r="R1146">
        <v>33.854998999999999</v>
      </c>
      <c r="S1146">
        <v>3.3897269529999998</v>
      </c>
      <c r="T1146">
        <v>18.939819</v>
      </c>
      <c r="U1146">
        <v>14.852</v>
      </c>
      <c r="V1146" s="1" t="str">
        <f>IF(Energy_data_1990___2020[[#This Row],[CO2 emissions from fuel combustion (MtCO2)]]&gt;Energy_data_1990___2020[[#Totals],[CO2 emissions from fuel combustion (MtCO2)]],"Above Average","")</f>
        <v/>
      </c>
      <c r="W1146" s="1">
        <f>SUM(Energy_data_1990___2020[[#This Row],[Coal and lignite production (Mt)]]-Energy_data_1990___2020[[#This Row],[Coal and lignite domestic consumption (Mt)]])</f>
        <v>-19.002998999999999</v>
      </c>
    </row>
    <row r="1147" spans="1:23">
      <c r="A1147" t="s">
        <v>66</v>
      </c>
      <c r="B1147">
        <v>2019</v>
      </c>
      <c r="C1147" t="s">
        <v>28</v>
      </c>
      <c r="D1147">
        <v>259.49334649999997</v>
      </c>
      <c r="E1147">
        <v>1.9006462580000001</v>
      </c>
      <c r="F1147">
        <v>0.208286991</v>
      </c>
      <c r="G1147">
        <v>74.175479469999999</v>
      </c>
      <c r="H1147">
        <v>136.5290071</v>
      </c>
      <c r="I1147">
        <v>16.437318680000001</v>
      </c>
      <c r="J1147">
        <v>16.349638410000001</v>
      </c>
      <c r="K1147">
        <v>52.807598779999999</v>
      </c>
      <c r="L1147">
        <v>58.561261889999997</v>
      </c>
      <c r="M1147">
        <v>29.785953339999999</v>
      </c>
      <c r="N1147">
        <v>46.426826869999999</v>
      </c>
      <c r="O1147">
        <v>0.109587458</v>
      </c>
      <c r="P1147">
        <v>191.9310533</v>
      </c>
      <c r="Q1147">
        <v>194.2458967</v>
      </c>
      <c r="R1147">
        <v>33.700778069999998</v>
      </c>
      <c r="S1147">
        <v>4.5942752540000003</v>
      </c>
      <c r="T1147">
        <v>18.683933450000001</v>
      </c>
      <c r="U1147">
        <v>14.077999999999999</v>
      </c>
      <c r="V1147" s="1" t="str">
        <f>IF(Energy_data_1990___2020[[#This Row],[CO2 emissions from fuel combustion (MtCO2)]]&gt;Energy_data_1990___2020[[#Totals],[CO2 emissions from fuel combustion (MtCO2)]],"Above Average","")</f>
        <v/>
      </c>
      <c r="W1147" s="1">
        <f>SUM(Energy_data_1990___2020[[#This Row],[Coal and lignite production (Mt)]]-Energy_data_1990___2020[[#This Row],[Coal and lignite domestic consumption (Mt)]])</f>
        <v>-19.622778069999999</v>
      </c>
    </row>
    <row r="1148" spans="1:23">
      <c r="A1148" t="s">
        <v>66</v>
      </c>
      <c r="B1148">
        <v>2020</v>
      </c>
      <c r="C1148" t="s">
        <v>28</v>
      </c>
      <c r="D1148">
        <v>257.7943411</v>
      </c>
      <c r="E1148">
        <v>2.0559854469999999</v>
      </c>
      <c r="F1148">
        <v>0.22154524</v>
      </c>
      <c r="G1148">
        <v>64.385012369999998</v>
      </c>
      <c r="H1148">
        <v>125.38724019999999</v>
      </c>
      <c r="I1148">
        <v>15.449487789999999</v>
      </c>
      <c r="J1148">
        <v>17.855026850000002</v>
      </c>
      <c r="K1148">
        <v>45.776784139999997</v>
      </c>
      <c r="L1148">
        <v>54.56456712</v>
      </c>
      <c r="M1148">
        <v>25.550205980000001</v>
      </c>
      <c r="N1148">
        <v>42.481254190000001</v>
      </c>
      <c r="O1148">
        <v>0.10775622999999999</v>
      </c>
      <c r="P1148">
        <v>181.14394949999999</v>
      </c>
      <c r="Q1148">
        <v>187.6866149</v>
      </c>
      <c r="R1148">
        <v>34.756172999999997</v>
      </c>
      <c r="S1148">
        <v>4.4226246810000003</v>
      </c>
      <c r="T1148">
        <v>16.776942850000001</v>
      </c>
      <c r="U1148">
        <v>13.01</v>
      </c>
      <c r="V1148" s="1" t="str">
        <f>IF(Energy_data_1990___2020[[#This Row],[CO2 emissions from fuel combustion (MtCO2)]]&gt;Energy_data_1990___2020[[#Totals],[CO2 emissions from fuel combustion (MtCO2)]],"Above Average","")</f>
        <v/>
      </c>
      <c r="W1148" s="1">
        <f>SUM(Energy_data_1990___2020[[#This Row],[Coal and lignite production (Mt)]]-Energy_data_1990___2020[[#This Row],[Coal and lignite domestic consumption (Mt)]])</f>
        <v>-21.746172999999999</v>
      </c>
    </row>
    <row r="1149" spans="1:23">
      <c r="A1149" t="s">
        <v>67</v>
      </c>
      <c r="B1149">
        <v>1990</v>
      </c>
      <c r="C1149" t="s">
        <v>30</v>
      </c>
      <c r="D1149">
        <v>132.52911080000001</v>
      </c>
      <c r="E1149">
        <v>2.5761207100000001</v>
      </c>
      <c r="F1149">
        <v>0.19612622099999999</v>
      </c>
      <c r="G1149">
        <v>24.834297020000001</v>
      </c>
      <c r="H1149">
        <v>51.445225479999998</v>
      </c>
      <c r="I1149">
        <v>40.366334739999999</v>
      </c>
      <c r="J1149">
        <v>9.3000181699999995</v>
      </c>
      <c r="K1149">
        <v>22.431999999999999</v>
      </c>
      <c r="L1149">
        <v>22.884</v>
      </c>
      <c r="M1149">
        <v>0.211999927</v>
      </c>
      <c r="N1149">
        <v>3.467999227</v>
      </c>
      <c r="O1149">
        <v>7.6132387999999995E-2</v>
      </c>
      <c r="P1149">
        <v>57.542999999999999</v>
      </c>
      <c r="Q1149">
        <v>46.82</v>
      </c>
      <c r="R1149">
        <v>54.451000000000001</v>
      </c>
      <c r="S1149">
        <v>0.13902646699999999</v>
      </c>
      <c r="T1149">
        <v>3.7120000000000002</v>
      </c>
      <c r="U1149">
        <v>47.427999999999997</v>
      </c>
      <c r="V1149" s="1" t="str">
        <f>IF(Energy_data_1990___2020[[#This Row],[CO2 emissions from fuel combustion (MtCO2)]]&gt;Energy_data_1990___2020[[#Totals],[CO2 emissions from fuel combustion (MtCO2)]],"Above Average","")</f>
        <v/>
      </c>
      <c r="W1149" s="1">
        <f>SUM(Energy_data_1990___2020[[#This Row],[Coal and lignite production (Mt)]]-Energy_data_1990___2020[[#This Row],[Coal and lignite domestic consumption (Mt)]])</f>
        <v>-7.0230000000000032</v>
      </c>
    </row>
    <row r="1150" spans="1:23">
      <c r="A1150" t="s">
        <v>67</v>
      </c>
      <c r="B1150">
        <v>1991</v>
      </c>
      <c r="C1150" t="s">
        <v>30</v>
      </c>
      <c r="D1150">
        <v>134.16698790000001</v>
      </c>
      <c r="E1150">
        <v>2.6526677859999999</v>
      </c>
      <c r="F1150">
        <v>0.19713018299999999</v>
      </c>
      <c r="G1150">
        <v>24.623791709999999</v>
      </c>
      <c r="H1150">
        <v>50.57813445</v>
      </c>
      <c r="I1150">
        <v>37.848155890000001</v>
      </c>
      <c r="J1150">
        <v>9.5700046959999998</v>
      </c>
      <c r="K1150">
        <v>21.806999999999999</v>
      </c>
      <c r="L1150">
        <v>22.49</v>
      </c>
      <c r="M1150">
        <v>0.20299996100000001</v>
      </c>
      <c r="N1150">
        <v>4.237001373</v>
      </c>
      <c r="O1150">
        <v>7.4313935999999997E-2</v>
      </c>
      <c r="P1150">
        <v>60.246000000000002</v>
      </c>
      <c r="Q1150">
        <v>49.283000000000001</v>
      </c>
      <c r="R1150">
        <v>57.877000000000002</v>
      </c>
      <c r="S1150">
        <v>0.13444876</v>
      </c>
      <c r="T1150">
        <v>4.3639999999999999</v>
      </c>
      <c r="U1150">
        <v>46.107999999999997</v>
      </c>
      <c r="V1150" s="1" t="str">
        <f>IF(Energy_data_1990___2020[[#This Row],[CO2 emissions from fuel combustion (MtCO2)]]&gt;Energy_data_1990___2020[[#Totals],[CO2 emissions from fuel combustion (MtCO2)]],"Above Average","")</f>
        <v/>
      </c>
      <c r="W1150" s="1">
        <f>SUM(Energy_data_1990___2020[[#This Row],[Coal and lignite production (Mt)]]-Energy_data_1990___2020[[#This Row],[Coal and lignite domestic consumption (Mt)]])</f>
        <v>-11.769000000000005</v>
      </c>
    </row>
    <row r="1151" spans="1:23">
      <c r="A1151" t="s">
        <v>67</v>
      </c>
      <c r="B1151">
        <v>1992</v>
      </c>
      <c r="C1151" t="s">
        <v>30</v>
      </c>
      <c r="D1151">
        <v>140.0982759</v>
      </c>
      <c r="E1151">
        <v>2.6510196179999999</v>
      </c>
      <c r="F1151">
        <v>0.19597631200000001</v>
      </c>
      <c r="G1151">
        <v>25.722898900000001</v>
      </c>
      <c r="H1151">
        <v>52.846940459999999</v>
      </c>
      <c r="I1151">
        <v>39.626087730000002</v>
      </c>
      <c r="J1151">
        <v>10.22393565</v>
      </c>
      <c r="K1151">
        <v>23.09</v>
      </c>
      <c r="L1151">
        <v>23.117999999999999</v>
      </c>
      <c r="M1151">
        <v>0.19799989600000001</v>
      </c>
      <c r="N1151">
        <v>4.6339947779999999</v>
      </c>
      <c r="O1151">
        <v>7.3924881999999997E-2</v>
      </c>
      <c r="P1151">
        <v>67.341999999999999</v>
      </c>
      <c r="Q1151">
        <v>53.984999999999999</v>
      </c>
      <c r="R1151">
        <v>59.828000000000003</v>
      </c>
      <c r="S1151">
        <v>0.103947017</v>
      </c>
      <c r="T1151">
        <v>4.2759999999999998</v>
      </c>
      <c r="U1151">
        <v>51.430999999999997</v>
      </c>
      <c r="V1151" s="1" t="str">
        <f>IF(Energy_data_1990___2020[[#This Row],[CO2 emissions from fuel combustion (MtCO2)]]&gt;Energy_data_1990___2020[[#Totals],[CO2 emissions from fuel combustion (MtCO2)]],"Above Average","")</f>
        <v/>
      </c>
      <c r="W1151" s="1">
        <f>SUM(Energy_data_1990___2020[[#This Row],[Coal and lignite production (Mt)]]-Energy_data_1990___2020[[#This Row],[Coal and lignite domestic consumption (Mt)]])</f>
        <v>-8.3970000000000056</v>
      </c>
    </row>
    <row r="1152" spans="1:23">
      <c r="A1152" t="s">
        <v>67</v>
      </c>
      <c r="B1152">
        <v>1993</v>
      </c>
      <c r="C1152" t="s">
        <v>30</v>
      </c>
      <c r="D1152">
        <v>145.61677560000001</v>
      </c>
      <c r="E1152">
        <v>2.5841489640000002</v>
      </c>
      <c r="F1152">
        <v>0.189218268</v>
      </c>
      <c r="G1152">
        <v>25.711967609999999</v>
      </c>
      <c r="H1152">
        <v>56.349992829999998</v>
      </c>
      <c r="I1152">
        <v>46.180630829999998</v>
      </c>
      <c r="J1152">
        <v>10.436973589999999</v>
      </c>
      <c r="K1152">
        <v>26.49</v>
      </c>
      <c r="L1152">
        <v>25.568000000000001</v>
      </c>
      <c r="M1152">
        <v>0.2</v>
      </c>
      <c r="N1152">
        <v>5.15</v>
      </c>
      <c r="O1152">
        <v>7.3222662999999993E-2</v>
      </c>
      <c r="P1152">
        <v>73.808000000000007</v>
      </c>
      <c r="Q1152">
        <v>59.237000000000002</v>
      </c>
      <c r="R1152">
        <v>54.862000000000002</v>
      </c>
      <c r="S1152">
        <v>0.105679601</v>
      </c>
      <c r="T1152">
        <v>3.8919999999999999</v>
      </c>
      <c r="U1152">
        <v>48.56</v>
      </c>
      <c r="V1152" s="1" t="str">
        <f>IF(Energy_data_1990___2020[[#This Row],[CO2 emissions from fuel combustion (MtCO2)]]&gt;Energy_data_1990___2020[[#Totals],[CO2 emissions from fuel combustion (MtCO2)]],"Above Average","")</f>
        <v/>
      </c>
      <c r="W1152" s="1">
        <f>SUM(Energy_data_1990___2020[[#This Row],[Coal and lignite production (Mt)]]-Energy_data_1990___2020[[#This Row],[Coal and lignite domestic consumption (Mt)]])</f>
        <v>-6.3019999999999996</v>
      </c>
    </row>
    <row r="1153" spans="1:23">
      <c r="A1153" t="s">
        <v>67</v>
      </c>
      <c r="B1153">
        <v>1994</v>
      </c>
      <c r="C1153" t="s">
        <v>30</v>
      </c>
      <c r="D1153">
        <v>143.99962830000001</v>
      </c>
      <c r="E1153">
        <v>2.5870141900000001</v>
      </c>
      <c r="F1153">
        <v>0.19627952100000001</v>
      </c>
      <c r="G1153">
        <v>25.851578920000001</v>
      </c>
      <c r="H1153">
        <v>55.662481020000001</v>
      </c>
      <c r="I1153">
        <v>39.218089659999997</v>
      </c>
      <c r="J1153">
        <v>11.41706303</v>
      </c>
      <c r="K1153">
        <v>25.256</v>
      </c>
      <c r="L1153">
        <v>24.849</v>
      </c>
      <c r="M1153">
        <v>0.19900003899999999</v>
      </c>
      <c r="N1153">
        <v>5.4929974770000003</v>
      </c>
      <c r="O1153">
        <v>7.5871065000000001E-2</v>
      </c>
      <c r="P1153">
        <v>78.320999999999998</v>
      </c>
      <c r="Q1153">
        <v>61.401000000000003</v>
      </c>
      <c r="R1153">
        <v>59.493000000000002</v>
      </c>
      <c r="S1153">
        <v>0.100866945</v>
      </c>
      <c r="T1153">
        <v>3.6960000000000002</v>
      </c>
      <c r="U1153">
        <v>54.371000000000002</v>
      </c>
      <c r="V1153" s="1" t="str">
        <f>IF(Energy_data_1990___2020[[#This Row],[CO2 emissions from fuel combustion (MtCO2)]]&gt;Energy_data_1990___2020[[#Totals],[CO2 emissions from fuel combustion (MtCO2)]],"Above Average","")</f>
        <v/>
      </c>
      <c r="W1153" s="1">
        <f>SUM(Energy_data_1990___2020[[#This Row],[Coal and lignite production (Mt)]]-Energy_data_1990___2020[[#This Row],[Coal and lignite domestic consumption (Mt)]])</f>
        <v>-5.1219999999999999</v>
      </c>
    </row>
    <row r="1154" spans="1:23">
      <c r="A1154" t="s">
        <v>67</v>
      </c>
      <c r="B1154">
        <v>1995</v>
      </c>
      <c r="C1154" t="s">
        <v>30</v>
      </c>
      <c r="D1154">
        <v>157.8635511</v>
      </c>
      <c r="E1154">
        <v>2.5921451580000001</v>
      </c>
      <c r="F1154">
        <v>0.19946262300000001</v>
      </c>
      <c r="G1154">
        <v>26.066249169999999</v>
      </c>
      <c r="H1154">
        <v>60.900737210000003</v>
      </c>
      <c r="I1154">
        <v>41.565503730000003</v>
      </c>
      <c r="J1154">
        <v>11.40795612</v>
      </c>
      <c r="K1154">
        <v>28.289000000000001</v>
      </c>
      <c r="L1154">
        <v>27.14</v>
      </c>
      <c r="M1154">
        <v>0.18199999</v>
      </c>
      <c r="N1154">
        <v>7.0290078329999996</v>
      </c>
      <c r="O1154">
        <v>7.6948863000000006E-2</v>
      </c>
      <c r="P1154">
        <v>86.247</v>
      </c>
      <c r="Q1154">
        <v>67.394000000000005</v>
      </c>
      <c r="R1154">
        <v>61.088999999999999</v>
      </c>
      <c r="S1154">
        <v>9.9713613000000006E-2</v>
      </c>
      <c r="T1154">
        <v>3.516</v>
      </c>
      <c r="U1154">
        <v>55.073</v>
      </c>
      <c r="V1154" s="1" t="str">
        <f>IF(Energy_data_1990___2020[[#This Row],[CO2 emissions from fuel combustion (MtCO2)]]&gt;Energy_data_1990___2020[[#Totals],[CO2 emissions from fuel combustion (MtCO2)]],"Above Average","")</f>
        <v/>
      </c>
      <c r="W1154" s="1">
        <f>SUM(Energy_data_1990___2020[[#This Row],[Coal and lignite production (Mt)]]-Energy_data_1990___2020[[#This Row],[Coal and lignite domestic consumption (Mt)]])</f>
        <v>-6.0159999999999982</v>
      </c>
    </row>
    <row r="1155" spans="1:23">
      <c r="A1155" t="s">
        <v>67</v>
      </c>
      <c r="B1155">
        <v>1996</v>
      </c>
      <c r="C1155" t="s">
        <v>30</v>
      </c>
      <c r="D1155">
        <v>173.63929569999999</v>
      </c>
      <c r="E1155">
        <v>2.6117854999999999</v>
      </c>
      <c r="F1155">
        <v>0.204317531</v>
      </c>
      <c r="G1155">
        <v>26.930275259999998</v>
      </c>
      <c r="H1155">
        <v>66.482984799999997</v>
      </c>
      <c r="I1155">
        <v>42.941325290000002</v>
      </c>
      <c r="J1155">
        <v>11.531390249999999</v>
      </c>
      <c r="K1155">
        <v>29.597999999999999</v>
      </c>
      <c r="L1155">
        <v>26.248999999999999</v>
      </c>
      <c r="M1155">
        <v>0.20599984299999999</v>
      </c>
      <c r="N1155">
        <v>8.2140022950000002</v>
      </c>
      <c r="O1155">
        <v>7.8229062000000002E-2</v>
      </c>
      <c r="P1155">
        <v>94.861999999999995</v>
      </c>
      <c r="Q1155">
        <v>74.156999999999996</v>
      </c>
      <c r="R1155">
        <v>66.478999999999999</v>
      </c>
      <c r="S1155">
        <v>8.8549683000000004E-2</v>
      </c>
      <c r="T1155">
        <v>3.5</v>
      </c>
      <c r="U1155">
        <v>56.363</v>
      </c>
      <c r="V1155" s="1" t="str">
        <f>IF(Energy_data_1990___2020[[#This Row],[CO2 emissions from fuel combustion (MtCO2)]]&gt;Energy_data_1990___2020[[#Totals],[CO2 emissions from fuel combustion (MtCO2)]],"Above Average","")</f>
        <v/>
      </c>
      <c r="W1155" s="1">
        <f>SUM(Energy_data_1990___2020[[#This Row],[Coal and lignite production (Mt)]]-Energy_data_1990___2020[[#This Row],[Coal and lignite domestic consumption (Mt)]])</f>
        <v>-10.116</v>
      </c>
    </row>
    <row r="1156" spans="1:23">
      <c r="A1156" t="s">
        <v>67</v>
      </c>
      <c r="B1156">
        <v>1997</v>
      </c>
      <c r="C1156" t="s">
        <v>30</v>
      </c>
      <c r="D1156">
        <v>182.61252239999999</v>
      </c>
      <c r="E1156">
        <v>2.6178421310000002</v>
      </c>
      <c r="F1156">
        <v>0.199740468</v>
      </c>
      <c r="G1156">
        <v>27.668026690000001</v>
      </c>
      <c r="H1156">
        <v>69.756888779999997</v>
      </c>
      <c r="I1156">
        <v>38.910509599999997</v>
      </c>
      <c r="J1156">
        <v>12.453023</v>
      </c>
      <c r="K1156">
        <v>29.02</v>
      </c>
      <c r="L1156">
        <v>26.501999999999999</v>
      </c>
      <c r="M1156">
        <v>0.25299975699999999</v>
      </c>
      <c r="N1156">
        <v>9.7999969690000004</v>
      </c>
      <c r="O1156">
        <v>7.6299661000000005E-2</v>
      </c>
      <c r="P1156">
        <v>103.29600000000001</v>
      </c>
      <c r="Q1156">
        <v>81.885000000000005</v>
      </c>
      <c r="R1156">
        <v>72.661000000000001</v>
      </c>
      <c r="S1156">
        <v>8.0351611000000003E-2</v>
      </c>
      <c r="T1156">
        <v>3.4489999999999998</v>
      </c>
      <c r="U1156">
        <v>59.929000000000002</v>
      </c>
      <c r="V1156" s="1" t="str">
        <f>IF(Energy_data_1990___2020[[#This Row],[CO2 emissions from fuel combustion (MtCO2)]]&gt;Energy_data_1990___2020[[#Totals],[CO2 emissions from fuel combustion (MtCO2)]],"Above Average","")</f>
        <v/>
      </c>
      <c r="W1156" s="1">
        <f>SUM(Energy_data_1990___2020[[#This Row],[Coal and lignite production (Mt)]]-Energy_data_1990___2020[[#This Row],[Coal and lignite domestic consumption (Mt)]])</f>
        <v>-12.731999999999999</v>
      </c>
    </row>
    <row r="1157" spans="1:23">
      <c r="A1157" t="s">
        <v>67</v>
      </c>
      <c r="B1157">
        <v>1998</v>
      </c>
      <c r="C1157" t="s">
        <v>30</v>
      </c>
      <c r="D1157">
        <v>183.540041</v>
      </c>
      <c r="E1157">
        <v>2.5918670609999999</v>
      </c>
      <c r="F1157">
        <v>0.19622567499999999</v>
      </c>
      <c r="G1157">
        <v>28.570283620000001</v>
      </c>
      <c r="H1157">
        <v>70.813832910000002</v>
      </c>
      <c r="I1157">
        <v>38.334744469999997</v>
      </c>
      <c r="J1157">
        <v>13.45011412</v>
      </c>
      <c r="K1157">
        <v>28.687000000000001</v>
      </c>
      <c r="L1157">
        <v>27.346</v>
      </c>
      <c r="M1157">
        <v>0.56500066599999998</v>
      </c>
      <c r="N1157">
        <v>10.351007559999999</v>
      </c>
      <c r="O1157">
        <v>7.5708233E-2</v>
      </c>
      <c r="P1157">
        <v>111.02200000000001</v>
      </c>
      <c r="Q1157">
        <v>87.703999999999994</v>
      </c>
      <c r="R1157">
        <v>78.256</v>
      </c>
      <c r="S1157">
        <v>8.1065014000000005E-2</v>
      </c>
      <c r="T1157">
        <v>3.2229999999999999</v>
      </c>
      <c r="U1157">
        <v>67.382999999999996</v>
      </c>
      <c r="V1157" s="1" t="str">
        <f>IF(Energy_data_1990___2020[[#This Row],[CO2 emissions from fuel combustion (MtCO2)]]&gt;Energy_data_1990___2020[[#Totals],[CO2 emissions from fuel combustion (MtCO2)]],"Above Average","")</f>
        <v/>
      </c>
      <c r="W1157" s="1">
        <f>SUM(Energy_data_1990___2020[[#This Row],[Coal and lignite production (Mt)]]-Energy_data_1990___2020[[#This Row],[Coal and lignite domestic consumption (Mt)]])</f>
        <v>-10.873000000000005</v>
      </c>
    </row>
    <row r="1158" spans="1:23">
      <c r="A1158" t="s">
        <v>67</v>
      </c>
      <c r="B1158">
        <v>1999</v>
      </c>
      <c r="C1158" t="s">
        <v>30</v>
      </c>
      <c r="D1158">
        <v>181.96281010000001</v>
      </c>
      <c r="E1158">
        <v>2.608583823</v>
      </c>
      <c r="F1158">
        <v>0.20136428100000001</v>
      </c>
      <c r="G1158">
        <v>27.144288299999999</v>
      </c>
      <c r="H1158">
        <v>69.755400809999998</v>
      </c>
      <c r="I1158">
        <v>29.98282377</v>
      </c>
      <c r="J1158">
        <v>14.4491937</v>
      </c>
      <c r="K1158">
        <v>28.353999999999999</v>
      </c>
      <c r="L1158">
        <v>25.652999999999999</v>
      </c>
      <c r="M1158">
        <v>0.73099980200000003</v>
      </c>
      <c r="N1158">
        <v>12.527984569999999</v>
      </c>
      <c r="O1158">
        <v>7.7192949999999996E-2</v>
      </c>
      <c r="P1158">
        <v>116.44</v>
      </c>
      <c r="Q1158">
        <v>91.201999999999998</v>
      </c>
      <c r="R1158">
        <v>75.897999999999996</v>
      </c>
      <c r="S1158">
        <v>8.7598762999999996E-2</v>
      </c>
      <c r="T1158">
        <v>2.9409999999999998</v>
      </c>
      <c r="U1158">
        <v>67.037999999999997</v>
      </c>
      <c r="V1158" s="1" t="str">
        <f>IF(Energy_data_1990___2020[[#This Row],[CO2 emissions from fuel combustion (MtCO2)]]&gt;Energy_data_1990___2020[[#Totals],[CO2 emissions from fuel combustion (MtCO2)]],"Above Average","")</f>
        <v/>
      </c>
      <c r="W1158" s="1">
        <f>SUM(Energy_data_1990___2020[[#This Row],[Coal and lignite production (Mt)]]-Energy_data_1990___2020[[#This Row],[Coal and lignite domestic consumption (Mt)]])</f>
        <v>-8.86</v>
      </c>
    </row>
    <row r="1159" spans="1:23">
      <c r="A1159" t="s">
        <v>67</v>
      </c>
      <c r="B1159">
        <v>2000</v>
      </c>
      <c r="C1159" t="s">
        <v>30</v>
      </c>
      <c r="D1159">
        <v>202.84717910000001</v>
      </c>
      <c r="E1159">
        <v>2.659462869</v>
      </c>
      <c r="F1159">
        <v>0.2104982</v>
      </c>
      <c r="G1159">
        <v>26.387771919999999</v>
      </c>
      <c r="H1159">
        <v>76.273739879999994</v>
      </c>
      <c r="I1159">
        <v>24.938761790000001</v>
      </c>
      <c r="J1159">
        <v>13.956461190000001</v>
      </c>
      <c r="K1159">
        <v>29.736999999999998</v>
      </c>
      <c r="L1159">
        <v>23.745000000000001</v>
      </c>
      <c r="M1159">
        <v>0.63899949099999998</v>
      </c>
      <c r="N1159">
        <v>14.83499926</v>
      </c>
      <c r="O1159">
        <v>7.9150645000000006E-2</v>
      </c>
      <c r="P1159">
        <v>124.922</v>
      </c>
      <c r="Q1159">
        <v>98.296000000000006</v>
      </c>
      <c r="R1159">
        <v>80.555000000000007</v>
      </c>
      <c r="S1159">
        <v>0.12407742400000001</v>
      </c>
      <c r="T1159">
        <v>2.762</v>
      </c>
      <c r="U1159">
        <v>63.268000000000001</v>
      </c>
      <c r="V1159" s="1" t="str">
        <f>IF(Energy_data_1990___2020[[#This Row],[CO2 emissions from fuel combustion (MtCO2)]]&gt;Energy_data_1990___2020[[#Totals],[CO2 emissions from fuel combustion (MtCO2)]],"Above Average","")</f>
        <v/>
      </c>
      <c r="W1159" s="1">
        <f>SUM(Energy_data_1990___2020[[#This Row],[Coal and lignite production (Mt)]]-Energy_data_1990___2020[[#This Row],[Coal and lignite domestic consumption (Mt)]])</f>
        <v>-17.287000000000006</v>
      </c>
    </row>
    <row r="1160" spans="1:23">
      <c r="A1160" t="s">
        <v>67</v>
      </c>
      <c r="B1160">
        <v>2001</v>
      </c>
      <c r="C1160" t="s">
        <v>30</v>
      </c>
      <c r="D1160">
        <v>183.58298360000001</v>
      </c>
      <c r="E1160">
        <v>2.6134682059999998</v>
      </c>
      <c r="F1160">
        <v>0.20258621499999999</v>
      </c>
      <c r="G1160">
        <v>24.54725487</v>
      </c>
      <c r="H1160">
        <v>70.244965329999999</v>
      </c>
      <c r="I1160">
        <v>19.83784885</v>
      </c>
      <c r="J1160">
        <v>15.37798096</v>
      </c>
      <c r="K1160">
        <v>27.84</v>
      </c>
      <c r="L1160">
        <v>25.373999999999999</v>
      </c>
      <c r="M1160">
        <v>0.31199985400000002</v>
      </c>
      <c r="N1160">
        <v>15.94400701</v>
      </c>
      <c r="O1160">
        <v>7.7516235000000003E-2</v>
      </c>
      <c r="P1160">
        <v>122.72499999999999</v>
      </c>
      <c r="Q1160">
        <v>97.067999999999998</v>
      </c>
      <c r="R1160">
        <v>72.808999999999997</v>
      </c>
      <c r="S1160">
        <v>0.15807700099999999</v>
      </c>
      <c r="T1160">
        <v>2.52</v>
      </c>
      <c r="U1160">
        <v>62.097000000000001</v>
      </c>
      <c r="V1160" s="1" t="str">
        <f>IF(Energy_data_1990___2020[[#This Row],[CO2 emissions from fuel combustion (MtCO2)]]&gt;Energy_data_1990___2020[[#Totals],[CO2 emissions from fuel combustion (MtCO2)]],"Above Average","")</f>
        <v/>
      </c>
      <c r="W1160" s="1">
        <f>SUM(Energy_data_1990___2020[[#This Row],[Coal and lignite production (Mt)]]-Energy_data_1990___2020[[#This Row],[Coal and lignite domestic consumption (Mt)]])</f>
        <v>-10.711999999999996</v>
      </c>
    </row>
    <row r="1161" spans="1:23">
      <c r="A1161" t="s">
        <v>67</v>
      </c>
      <c r="B1161">
        <v>2002</v>
      </c>
      <c r="C1161" t="s">
        <v>30</v>
      </c>
      <c r="D1161">
        <v>193.67641320000001</v>
      </c>
      <c r="E1161">
        <v>2.6090936880000002</v>
      </c>
      <c r="F1161">
        <v>0.20081169400000001</v>
      </c>
      <c r="G1161">
        <v>24.287722030000001</v>
      </c>
      <c r="H1161">
        <v>74.231298800000005</v>
      </c>
      <c r="I1161">
        <v>26.2488408</v>
      </c>
      <c r="J1161">
        <v>14.982120419999999</v>
      </c>
      <c r="K1161">
        <v>29.268000000000001</v>
      </c>
      <c r="L1161">
        <v>26.036999999999999</v>
      </c>
      <c r="M1161">
        <v>0.37800041299999998</v>
      </c>
      <c r="N1161">
        <v>17.5879923</v>
      </c>
      <c r="O1161">
        <v>7.6966072999999996E-2</v>
      </c>
      <c r="P1161">
        <v>129.4</v>
      </c>
      <c r="Q1161">
        <v>102.94799999999999</v>
      </c>
      <c r="R1161">
        <v>66.426000000000002</v>
      </c>
      <c r="S1161">
        <v>0.14914992299999999</v>
      </c>
      <c r="T1161">
        <v>2.42</v>
      </c>
      <c r="U1161">
        <v>53.984000000000002</v>
      </c>
      <c r="V1161" s="1" t="str">
        <f>IF(Energy_data_1990___2020[[#This Row],[CO2 emissions from fuel combustion (MtCO2)]]&gt;Energy_data_1990___2020[[#Totals],[CO2 emissions from fuel combustion (MtCO2)]],"Above Average","")</f>
        <v/>
      </c>
      <c r="W1161" s="1">
        <f>SUM(Energy_data_1990___2020[[#This Row],[Coal and lignite production (Mt)]]-Energy_data_1990___2020[[#This Row],[Coal and lignite domestic consumption (Mt)]])</f>
        <v>-12.442</v>
      </c>
    </row>
    <row r="1162" spans="1:23">
      <c r="A1162" t="s">
        <v>67</v>
      </c>
      <c r="B1162">
        <v>2003</v>
      </c>
      <c r="C1162" t="s">
        <v>30</v>
      </c>
      <c r="D1162">
        <v>205.111073</v>
      </c>
      <c r="E1162">
        <v>2.6070198549999999</v>
      </c>
      <c r="F1162">
        <v>0.201374051</v>
      </c>
      <c r="G1162">
        <v>24.375639110000002</v>
      </c>
      <c r="H1162">
        <v>78.6764522</v>
      </c>
      <c r="I1162">
        <v>25.294314310000001</v>
      </c>
      <c r="J1162">
        <v>15.327733609999999</v>
      </c>
      <c r="K1162">
        <v>28.649000000000001</v>
      </c>
      <c r="L1162">
        <v>26.460999999999999</v>
      </c>
      <c r="M1162">
        <v>0.56000000000000005</v>
      </c>
      <c r="N1162">
        <v>21.180980569999999</v>
      </c>
      <c r="O1162">
        <v>7.7243006000000003E-2</v>
      </c>
      <c r="P1162">
        <v>140.58099999999999</v>
      </c>
      <c r="Q1162">
        <v>111.76600000000001</v>
      </c>
      <c r="R1162">
        <v>64.450999999999993</v>
      </c>
      <c r="S1162">
        <v>0.12875139599999999</v>
      </c>
      <c r="T1162">
        <v>2.351</v>
      </c>
      <c r="U1162">
        <v>48.563000000000002</v>
      </c>
      <c r="V1162" s="1" t="str">
        <f>IF(Energy_data_1990___2020[[#This Row],[CO2 emissions from fuel combustion (MtCO2)]]&gt;Energy_data_1990___2020[[#Totals],[CO2 emissions from fuel combustion (MtCO2)]],"Above Average","")</f>
        <v/>
      </c>
      <c r="W1162" s="1">
        <f>SUM(Energy_data_1990___2020[[#This Row],[Coal and lignite production (Mt)]]-Energy_data_1990___2020[[#This Row],[Coal and lignite domestic consumption (Mt)]])</f>
        <v>-15.887999999999991</v>
      </c>
    </row>
    <row r="1163" spans="1:23">
      <c r="A1163" t="s">
        <v>67</v>
      </c>
      <c r="B1163">
        <v>2004</v>
      </c>
      <c r="C1163" t="s">
        <v>30</v>
      </c>
      <c r="D1163">
        <v>211.56192050000001</v>
      </c>
      <c r="E1163">
        <v>2.6212012979999999</v>
      </c>
      <c r="F1163">
        <v>0.189437412</v>
      </c>
      <c r="G1163">
        <v>24.085807339999999</v>
      </c>
      <c r="H1163">
        <v>80.711817409999995</v>
      </c>
      <c r="I1163">
        <v>30.730998419999999</v>
      </c>
      <c r="J1163">
        <v>15.93956017</v>
      </c>
      <c r="K1163">
        <v>28.832000000000001</v>
      </c>
      <c r="L1163">
        <v>26.001999999999999</v>
      </c>
      <c r="M1163">
        <v>0.68800033400000005</v>
      </c>
      <c r="N1163">
        <v>22.443000439999999</v>
      </c>
      <c r="O1163">
        <v>7.2271218999999998E-2</v>
      </c>
      <c r="P1163">
        <v>150.69800000000001</v>
      </c>
      <c r="Q1163">
        <v>121.142</v>
      </c>
      <c r="R1163">
        <v>64.787000000000006</v>
      </c>
      <c r="S1163">
        <v>0.114135556</v>
      </c>
      <c r="T1163">
        <v>2.2509999999999999</v>
      </c>
      <c r="U1163">
        <v>46.377000000000002</v>
      </c>
      <c r="V1163" s="1" t="str">
        <f>IF(Energy_data_1990___2020[[#This Row],[CO2 emissions from fuel combustion (MtCO2)]]&gt;Energy_data_1990___2020[[#Totals],[CO2 emissions from fuel combustion (MtCO2)]],"Above Average","")</f>
        <v/>
      </c>
      <c r="W1163" s="1">
        <f>SUM(Energy_data_1990___2020[[#This Row],[Coal and lignite production (Mt)]]-Energy_data_1990___2020[[#This Row],[Coal and lignite domestic consumption (Mt)]])</f>
        <v>-18.410000000000004</v>
      </c>
    </row>
    <row r="1164" spans="1:23">
      <c r="A1164" t="s">
        <v>67</v>
      </c>
      <c r="B1164">
        <v>2005</v>
      </c>
      <c r="C1164" t="s">
        <v>30</v>
      </c>
      <c r="D1164">
        <v>219.44085949999999</v>
      </c>
      <c r="E1164">
        <v>2.6134019780000002</v>
      </c>
      <c r="F1164">
        <v>0.18025195799999999</v>
      </c>
      <c r="G1164">
        <v>23.68560072</v>
      </c>
      <c r="H1164">
        <v>83.967511060000007</v>
      </c>
      <c r="I1164">
        <v>24.542468320000001</v>
      </c>
      <c r="J1164">
        <v>16.596633570000002</v>
      </c>
      <c r="K1164">
        <v>28.379000000000001</v>
      </c>
      <c r="L1164">
        <v>25.638000000000002</v>
      </c>
      <c r="M1164">
        <v>0.89699973099999997</v>
      </c>
      <c r="N1164">
        <v>27.374979020000001</v>
      </c>
      <c r="O1164">
        <v>6.8972151999999995E-2</v>
      </c>
      <c r="P1164">
        <v>161.95599999999999</v>
      </c>
      <c r="Q1164">
        <v>130.26300000000001</v>
      </c>
      <c r="R1164">
        <v>77.259</v>
      </c>
      <c r="S1164">
        <v>0.142631332</v>
      </c>
      <c r="T1164">
        <v>2.258</v>
      </c>
      <c r="U1164">
        <v>58.34</v>
      </c>
      <c r="V1164" s="1" t="str">
        <f>IF(Energy_data_1990___2020[[#This Row],[CO2 emissions from fuel combustion (MtCO2)]]&gt;Energy_data_1990___2020[[#Totals],[CO2 emissions from fuel combustion (MtCO2)]],"Above Average","")</f>
        <v/>
      </c>
      <c r="W1164" s="1">
        <f>SUM(Energy_data_1990___2020[[#This Row],[Coal and lignite production (Mt)]]-Energy_data_1990___2020[[#This Row],[Coal and lignite domestic consumption (Mt)]])</f>
        <v>-18.918999999999997</v>
      </c>
    </row>
    <row r="1165" spans="1:23">
      <c r="A1165" t="s">
        <v>67</v>
      </c>
      <c r="B1165">
        <v>2006</v>
      </c>
      <c r="C1165" t="s">
        <v>30</v>
      </c>
      <c r="D1165">
        <v>244.90196570000001</v>
      </c>
      <c r="E1165">
        <v>2.6321005149999999</v>
      </c>
      <c r="F1165">
        <v>0.18781312999999999</v>
      </c>
      <c r="G1165">
        <v>26.19889349</v>
      </c>
      <c r="H1165">
        <v>93.044306000000006</v>
      </c>
      <c r="I1165">
        <v>25.25368834</v>
      </c>
      <c r="J1165">
        <v>16.436184000000001</v>
      </c>
      <c r="K1165">
        <v>29.777000000000001</v>
      </c>
      <c r="L1165">
        <v>26.234999999999999</v>
      </c>
      <c r="M1165">
        <v>0.90499887700000003</v>
      </c>
      <c r="N1165">
        <v>31.183030469999999</v>
      </c>
      <c r="O1165">
        <v>7.1354846999999999E-2</v>
      </c>
      <c r="P1165">
        <v>176.29900000000001</v>
      </c>
      <c r="Q1165">
        <v>143.07</v>
      </c>
      <c r="R1165">
        <v>84.161000000000001</v>
      </c>
      <c r="S1165">
        <v>0.17129989400000001</v>
      </c>
      <c r="T1165">
        <v>2.16</v>
      </c>
      <c r="U1165">
        <v>64.254999999999995</v>
      </c>
      <c r="V1165" s="1" t="str">
        <f>IF(Energy_data_1990___2020[[#This Row],[CO2 emissions from fuel combustion (MtCO2)]]&gt;Energy_data_1990___2020[[#Totals],[CO2 emissions from fuel combustion (MtCO2)]],"Above Average","")</f>
        <v/>
      </c>
      <c r="W1165" s="1">
        <f>SUM(Energy_data_1990___2020[[#This Row],[Coal and lignite production (Mt)]]-Energy_data_1990___2020[[#This Row],[Coal and lignite domestic consumption (Mt)]])</f>
        <v>-19.906000000000006</v>
      </c>
    </row>
    <row r="1166" spans="1:23">
      <c r="A1166" t="s">
        <v>67</v>
      </c>
      <c r="B1166">
        <v>2007</v>
      </c>
      <c r="C1166" t="s">
        <v>30</v>
      </c>
      <c r="D1166">
        <v>268.39449999999999</v>
      </c>
      <c r="E1166">
        <v>2.6761721839999999</v>
      </c>
      <c r="F1166">
        <v>0.19597110100000001</v>
      </c>
      <c r="G1166">
        <v>27.473241699999999</v>
      </c>
      <c r="H1166">
        <v>100.2904453</v>
      </c>
      <c r="I1166">
        <v>19.0318337</v>
      </c>
      <c r="J1166">
        <v>16.851166490000001</v>
      </c>
      <c r="K1166">
        <v>30.268999999999998</v>
      </c>
      <c r="L1166">
        <v>25.553999999999998</v>
      </c>
      <c r="M1166">
        <v>0.89300027900000001</v>
      </c>
      <c r="N1166">
        <v>36.598984250000001</v>
      </c>
      <c r="O1166">
        <v>7.3228135999999999E-2</v>
      </c>
      <c r="P1166">
        <v>191.55799999999999</v>
      </c>
      <c r="Q1166">
        <v>155.13499999999999</v>
      </c>
      <c r="R1166">
        <v>98.933000000000007</v>
      </c>
      <c r="S1166">
        <v>0.32157362299999998</v>
      </c>
      <c r="T1166">
        <v>2.1339999999999999</v>
      </c>
      <c r="U1166">
        <v>75.364000000000004</v>
      </c>
      <c r="V1166" s="1" t="str">
        <f>IF(Energy_data_1990___2020[[#This Row],[CO2 emissions from fuel combustion (MtCO2)]]&gt;Energy_data_1990___2020[[#Totals],[CO2 emissions from fuel combustion (MtCO2)]],"Above Average","")</f>
        <v/>
      </c>
      <c r="W1166" s="1">
        <f>SUM(Energy_data_1990___2020[[#This Row],[Coal and lignite production (Mt)]]-Energy_data_1990___2020[[#This Row],[Coal and lignite domestic consumption (Mt)]])</f>
        <v>-23.569000000000003</v>
      </c>
    </row>
    <row r="1167" spans="1:23">
      <c r="A1167" t="s">
        <v>67</v>
      </c>
      <c r="B1167">
        <v>2008</v>
      </c>
      <c r="C1167" t="s">
        <v>30</v>
      </c>
      <c r="D1167">
        <v>267.15467580000001</v>
      </c>
      <c r="E1167">
        <v>2.714990029</v>
      </c>
      <c r="F1167">
        <v>0.19343085300000001</v>
      </c>
      <c r="G1167">
        <v>28.66682364</v>
      </c>
      <c r="H1167">
        <v>98.399873619999994</v>
      </c>
      <c r="I1167">
        <v>17.347720469999999</v>
      </c>
      <c r="J1167">
        <v>18.275679409999999</v>
      </c>
      <c r="K1167">
        <v>29.818000000000001</v>
      </c>
      <c r="L1167">
        <v>24.39</v>
      </c>
      <c r="M1167">
        <v>1.0169991410000001</v>
      </c>
      <c r="N1167">
        <v>36.645011820000001</v>
      </c>
      <c r="O1167">
        <v>7.1245511999999997E-2</v>
      </c>
      <c r="P1167">
        <v>198.41800000000001</v>
      </c>
      <c r="Q1167">
        <v>161.94900000000001</v>
      </c>
      <c r="R1167">
        <v>98.794937689999998</v>
      </c>
      <c r="S1167">
        <v>0.54128153700000003</v>
      </c>
      <c r="T1167">
        <v>2.16</v>
      </c>
      <c r="U1167">
        <v>79.402000000000001</v>
      </c>
      <c r="V1167" s="1" t="str">
        <f>IF(Energy_data_1990___2020[[#This Row],[CO2 emissions from fuel combustion (MtCO2)]]&gt;Energy_data_1990___2020[[#Totals],[CO2 emissions from fuel combustion (MtCO2)]],"Above Average","")</f>
        <v/>
      </c>
      <c r="W1167" s="1">
        <f>SUM(Energy_data_1990___2020[[#This Row],[Coal and lignite production (Mt)]]-Energy_data_1990___2020[[#This Row],[Coal and lignite domestic consumption (Mt)]])</f>
        <v>-19.392937689999997</v>
      </c>
    </row>
    <row r="1168" spans="1:23">
      <c r="A1168" t="s">
        <v>67</v>
      </c>
      <c r="B1168">
        <v>2009</v>
      </c>
      <c r="C1168" t="s">
        <v>30</v>
      </c>
      <c r="D1168">
        <v>266.78396739999999</v>
      </c>
      <c r="E1168">
        <v>2.7154487879999998</v>
      </c>
      <c r="F1168">
        <v>0.20269831899999999</v>
      </c>
      <c r="G1168">
        <v>29.602407079999999</v>
      </c>
      <c r="H1168">
        <v>98.246731299999993</v>
      </c>
      <c r="I1168">
        <v>19.578362729999998</v>
      </c>
      <c r="J1168">
        <v>17.603052000000002</v>
      </c>
      <c r="K1168">
        <v>30.664999999999999</v>
      </c>
      <c r="L1168">
        <v>18.637</v>
      </c>
      <c r="M1168">
        <v>0.68399966599999995</v>
      </c>
      <c r="N1168">
        <v>35.114988439999998</v>
      </c>
      <c r="O1168">
        <v>7.4646342000000004E-2</v>
      </c>
      <c r="P1168">
        <v>194.81200000000001</v>
      </c>
      <c r="Q1168">
        <v>156.89400000000001</v>
      </c>
      <c r="R1168">
        <v>100.4789377</v>
      </c>
      <c r="S1168">
        <v>1.0302240110000001</v>
      </c>
      <c r="T1168">
        <v>2.4020000000000001</v>
      </c>
      <c r="U1168">
        <v>79.498999999999995</v>
      </c>
      <c r="V1168" s="1" t="str">
        <f>IF(Energy_data_1990___2020[[#This Row],[CO2 emissions from fuel combustion (MtCO2)]]&gt;Energy_data_1990___2020[[#Totals],[CO2 emissions from fuel combustion (MtCO2)]],"Above Average","")</f>
        <v/>
      </c>
      <c r="W1168" s="1">
        <f>SUM(Energy_data_1990___2020[[#This Row],[Coal and lignite production (Mt)]]-Energy_data_1990___2020[[#This Row],[Coal and lignite domestic consumption (Mt)]])</f>
        <v>-20.979937700000008</v>
      </c>
    </row>
    <row r="1169" spans="1:23">
      <c r="A1169" t="s">
        <v>67</v>
      </c>
      <c r="B1169">
        <v>2010</v>
      </c>
      <c r="C1169" t="s">
        <v>30</v>
      </c>
      <c r="D1169">
        <v>273.54121429999998</v>
      </c>
      <c r="E1169">
        <v>2.5882601740000002</v>
      </c>
      <c r="F1169">
        <v>0.19157286800000001</v>
      </c>
      <c r="G1169">
        <v>31.593716260000001</v>
      </c>
      <c r="H1169">
        <v>105.6853624</v>
      </c>
      <c r="I1169">
        <v>26.377788720000002</v>
      </c>
      <c r="J1169">
        <v>18.292032410000001</v>
      </c>
      <c r="K1169">
        <v>29.465</v>
      </c>
      <c r="L1169">
        <v>19.907</v>
      </c>
      <c r="M1169">
        <v>0.68200085600000004</v>
      </c>
      <c r="N1169">
        <v>38.126956280000002</v>
      </c>
      <c r="O1169">
        <v>7.4016077999999999E-2</v>
      </c>
      <c r="P1169">
        <v>211.208</v>
      </c>
      <c r="Q1169">
        <v>172.05</v>
      </c>
      <c r="R1169">
        <v>94.936000000000007</v>
      </c>
      <c r="S1169">
        <v>1.7494602480000001</v>
      </c>
      <c r="T1169">
        <v>2.508</v>
      </c>
      <c r="U1169">
        <v>73.399000000000001</v>
      </c>
      <c r="V1169" s="1" t="str">
        <f>IF(Energy_data_1990___2020[[#This Row],[CO2 emissions from fuel combustion (MtCO2)]]&gt;Energy_data_1990___2020[[#Totals],[CO2 emissions from fuel combustion (MtCO2)]],"Above Average","")</f>
        <v/>
      </c>
      <c r="W1169" s="1">
        <f>SUM(Energy_data_1990___2020[[#This Row],[Coal and lignite production (Mt)]]-Energy_data_1990___2020[[#This Row],[Coal and lignite domestic consumption (Mt)]])</f>
        <v>-21.537000000000006</v>
      </c>
    </row>
    <row r="1170" spans="1:23">
      <c r="A1170" t="s">
        <v>67</v>
      </c>
      <c r="B1170">
        <v>2011</v>
      </c>
      <c r="C1170" t="s">
        <v>30</v>
      </c>
      <c r="D1170">
        <v>294.30938020000002</v>
      </c>
      <c r="E1170">
        <v>2.6165305089999999</v>
      </c>
      <c r="F1170">
        <v>0.18550196899999999</v>
      </c>
      <c r="G1170">
        <v>30.988190150000001</v>
      </c>
      <c r="H1170">
        <v>112.4807753</v>
      </c>
      <c r="I1170">
        <v>25.326840839999999</v>
      </c>
      <c r="J1170">
        <v>18.904359060000001</v>
      </c>
      <c r="K1170">
        <v>28.850999999999999</v>
      </c>
      <c r="L1170">
        <v>22.17</v>
      </c>
      <c r="M1170">
        <v>0.76100005500000001</v>
      </c>
      <c r="N1170">
        <v>44.68601821</v>
      </c>
      <c r="O1170">
        <v>7.0896160999999999E-2</v>
      </c>
      <c r="P1170">
        <v>229.393</v>
      </c>
      <c r="Q1170">
        <v>186.1</v>
      </c>
      <c r="R1170">
        <v>100.89100000000001</v>
      </c>
      <c r="S1170">
        <v>2.4076584730000001</v>
      </c>
      <c r="T1170">
        <v>2.37</v>
      </c>
      <c r="U1170">
        <v>75.191999999999993</v>
      </c>
      <c r="V1170" s="1" t="str">
        <f>IF(Energy_data_1990___2020[[#This Row],[CO2 emissions from fuel combustion (MtCO2)]]&gt;Energy_data_1990___2020[[#Totals],[CO2 emissions from fuel combustion (MtCO2)]],"Above Average","")</f>
        <v/>
      </c>
      <c r="W1170" s="1">
        <f>SUM(Energy_data_1990___2020[[#This Row],[Coal and lignite production (Mt)]]-Energy_data_1990___2020[[#This Row],[Coal and lignite domestic consumption (Mt)]])</f>
        <v>-25.699000000000012</v>
      </c>
    </row>
    <row r="1171" spans="1:23">
      <c r="A1171" t="s">
        <v>67</v>
      </c>
      <c r="B1171">
        <v>2012</v>
      </c>
      <c r="C1171" t="s">
        <v>30</v>
      </c>
      <c r="D1171">
        <v>305.95555669999999</v>
      </c>
      <c r="E1171">
        <v>2.59752239</v>
      </c>
      <c r="F1171">
        <v>0.18402768899999999</v>
      </c>
      <c r="G1171">
        <v>30.661174899999999</v>
      </c>
      <c r="H1171">
        <v>117.787457</v>
      </c>
      <c r="I1171">
        <v>27.230517420000002</v>
      </c>
      <c r="J1171">
        <v>18.88190174</v>
      </c>
      <c r="K1171">
        <v>30.963000000000001</v>
      </c>
      <c r="L1171">
        <v>23.138999999999999</v>
      </c>
      <c r="M1171">
        <v>0.63200052200000001</v>
      </c>
      <c r="N1171">
        <v>45.254005419999999</v>
      </c>
      <c r="O1171">
        <v>7.0847392999999995E-2</v>
      </c>
      <c r="P1171">
        <v>239.49600000000001</v>
      </c>
      <c r="Q1171">
        <v>194.923</v>
      </c>
      <c r="R1171">
        <v>99.119</v>
      </c>
      <c r="S1171">
        <v>2.8689414439999998</v>
      </c>
      <c r="T1171">
        <v>2.3380000000000001</v>
      </c>
      <c r="U1171">
        <v>70.269000000000005</v>
      </c>
      <c r="V1171" s="1" t="str">
        <f>IF(Energy_data_1990___2020[[#This Row],[CO2 emissions from fuel combustion (MtCO2)]]&gt;Energy_data_1990___2020[[#Totals],[CO2 emissions from fuel combustion (MtCO2)]],"Above Average","")</f>
        <v/>
      </c>
      <c r="W1171" s="1">
        <f>SUM(Energy_data_1990___2020[[#This Row],[Coal and lignite production (Mt)]]-Energy_data_1990___2020[[#This Row],[Coal and lignite domestic consumption (Mt)]])</f>
        <v>-28.849999999999994</v>
      </c>
    </row>
    <row r="1172" spans="1:23">
      <c r="A1172" t="s">
        <v>67</v>
      </c>
      <c r="B1172">
        <v>2013</v>
      </c>
      <c r="C1172" t="s">
        <v>30</v>
      </c>
      <c r="D1172">
        <v>294.93728470000002</v>
      </c>
      <c r="E1172">
        <v>2.5615267930000001</v>
      </c>
      <c r="F1172">
        <v>0.16351573599999999</v>
      </c>
      <c r="G1172">
        <v>29.47261172</v>
      </c>
      <c r="H1172">
        <v>115.1412062</v>
      </c>
      <c r="I1172">
        <v>28.823171800000001</v>
      </c>
      <c r="J1172">
        <v>19.318852870000001</v>
      </c>
      <c r="K1172">
        <v>32.524000000000001</v>
      </c>
      <c r="L1172">
        <v>23.995000000000001</v>
      </c>
      <c r="M1172">
        <v>0.53699956199999999</v>
      </c>
      <c r="N1172">
        <v>45.917989560000002</v>
      </c>
      <c r="O1172">
        <v>6.3835263000000003E-2</v>
      </c>
      <c r="P1172">
        <v>240.154</v>
      </c>
      <c r="Q1172">
        <v>198.04499999999999</v>
      </c>
      <c r="R1172">
        <v>84.415000000000006</v>
      </c>
      <c r="S1172">
        <v>3.8304587890000001</v>
      </c>
      <c r="T1172">
        <v>2.577</v>
      </c>
      <c r="U1172">
        <v>60.393000000000001</v>
      </c>
      <c r="V1172" s="1" t="str">
        <f>IF(Energy_data_1990___2020[[#This Row],[CO2 emissions from fuel combustion (MtCO2)]]&gt;Energy_data_1990___2020[[#Totals],[CO2 emissions from fuel combustion (MtCO2)]],"Above Average","")</f>
        <v/>
      </c>
      <c r="W1172" s="1">
        <f>SUM(Energy_data_1990___2020[[#This Row],[Coal and lignite production (Mt)]]-Energy_data_1990___2020[[#This Row],[Coal and lignite domestic consumption (Mt)]])</f>
        <v>-24.022000000000006</v>
      </c>
    </row>
    <row r="1173" spans="1:23">
      <c r="A1173" t="s">
        <v>67</v>
      </c>
      <c r="B1173">
        <v>2014</v>
      </c>
      <c r="C1173" t="s">
        <v>30</v>
      </c>
      <c r="D1173">
        <v>316.31850209999999</v>
      </c>
      <c r="E1173">
        <v>2.6534613509999998</v>
      </c>
      <c r="F1173">
        <v>0.16675400100000001</v>
      </c>
      <c r="G1173">
        <v>29.049594819999999</v>
      </c>
      <c r="H1173">
        <v>119.2097642</v>
      </c>
      <c r="I1173">
        <v>20.887590639999999</v>
      </c>
      <c r="J1173">
        <v>20.130432299999999</v>
      </c>
      <c r="K1173">
        <v>32.006</v>
      </c>
      <c r="L1173">
        <v>21.876000000000001</v>
      </c>
      <c r="M1173">
        <v>0.47899988500000001</v>
      </c>
      <c r="N1173">
        <v>48.725979109999997</v>
      </c>
      <c r="O1173">
        <v>6.2843952999999994E-2</v>
      </c>
      <c r="P1173">
        <v>251.96299999999999</v>
      </c>
      <c r="Q1173">
        <v>207.375</v>
      </c>
      <c r="R1173">
        <v>96.828999999999994</v>
      </c>
      <c r="S1173">
        <v>4.4605755609999997</v>
      </c>
      <c r="T1173">
        <v>2.6669999999999998</v>
      </c>
      <c r="U1173">
        <v>65.236999999999995</v>
      </c>
      <c r="V1173" s="1" t="str">
        <f>IF(Energy_data_1990___2020[[#This Row],[CO2 emissions from fuel combustion (MtCO2)]]&gt;Energy_data_1990___2020[[#Totals],[CO2 emissions from fuel combustion (MtCO2)]],"Above Average","")</f>
        <v/>
      </c>
      <c r="W1173" s="1">
        <f>SUM(Energy_data_1990___2020[[#This Row],[Coal and lignite production (Mt)]]-Energy_data_1990___2020[[#This Row],[Coal and lignite domestic consumption (Mt)]])</f>
        <v>-31.591999999999999</v>
      </c>
    </row>
    <row r="1174" spans="1:23">
      <c r="A1174" t="s">
        <v>67</v>
      </c>
      <c r="B1174">
        <v>2015</v>
      </c>
      <c r="C1174" t="s">
        <v>30</v>
      </c>
      <c r="D1174">
        <v>329.01663960000002</v>
      </c>
      <c r="E1174">
        <v>2.548620063</v>
      </c>
      <c r="F1174">
        <v>0.163497803</v>
      </c>
      <c r="G1174">
        <v>31.94342786</v>
      </c>
      <c r="H1174">
        <v>129.09599370000001</v>
      </c>
      <c r="I1174">
        <v>31.957002559999999</v>
      </c>
      <c r="J1174">
        <v>19.294203</v>
      </c>
      <c r="K1174">
        <v>37.274000000000001</v>
      </c>
      <c r="L1174">
        <v>29.234000000000002</v>
      </c>
      <c r="M1174">
        <v>0.38100015199999998</v>
      </c>
      <c r="N1174">
        <v>48.062010440000002</v>
      </c>
      <c r="O1174">
        <v>6.4151501E-2</v>
      </c>
      <c r="P1174">
        <v>261.78300000000002</v>
      </c>
      <c r="Q1174">
        <v>217.31299999999999</v>
      </c>
      <c r="R1174">
        <v>92.605000000000004</v>
      </c>
      <c r="S1174">
        <v>6.0225453910000004</v>
      </c>
      <c r="T1174">
        <v>2.9329999999999998</v>
      </c>
      <c r="U1174">
        <v>58.414000000000001</v>
      </c>
      <c r="V1174" s="1" t="str">
        <f>IF(Energy_data_1990___2020[[#This Row],[CO2 emissions from fuel combustion (MtCO2)]]&gt;Energy_data_1990___2020[[#Totals],[CO2 emissions from fuel combustion (MtCO2)]],"Above Average","")</f>
        <v/>
      </c>
      <c r="W1174" s="1">
        <f>SUM(Energy_data_1990___2020[[#This Row],[Coal and lignite production (Mt)]]-Energy_data_1990___2020[[#This Row],[Coal and lignite domestic consumption (Mt)]])</f>
        <v>-34.191000000000003</v>
      </c>
    </row>
    <row r="1175" spans="1:23">
      <c r="A1175" t="s">
        <v>67</v>
      </c>
      <c r="B1175">
        <v>2016</v>
      </c>
      <c r="C1175" t="s">
        <v>30</v>
      </c>
      <c r="D1175">
        <v>349.28371090000002</v>
      </c>
      <c r="E1175">
        <v>2.5518965489999998</v>
      </c>
      <c r="F1175">
        <v>0.16821345800000001</v>
      </c>
      <c r="G1175">
        <v>36.255534689999998</v>
      </c>
      <c r="H1175">
        <v>136.87220629999999</v>
      </c>
      <c r="I1175">
        <v>32.887160719999997</v>
      </c>
      <c r="J1175">
        <v>19.6732601</v>
      </c>
      <c r="K1175">
        <v>40.679000000000002</v>
      </c>
      <c r="L1175">
        <v>29.605</v>
      </c>
      <c r="M1175">
        <v>0.36700023999999998</v>
      </c>
      <c r="N1175">
        <v>46.452974830000002</v>
      </c>
      <c r="O1175">
        <v>6.5917036999999998E-2</v>
      </c>
      <c r="P1175">
        <v>274.40800000000002</v>
      </c>
      <c r="Q1175">
        <v>231.20400000000001</v>
      </c>
      <c r="R1175">
        <v>106.83199999999999</v>
      </c>
      <c r="S1175">
        <v>8.0507856909999997</v>
      </c>
      <c r="T1175">
        <v>3.0350000000000001</v>
      </c>
      <c r="U1175">
        <v>73.004000000000005</v>
      </c>
      <c r="V1175" s="1" t="str">
        <f>IF(Energy_data_1990___2020[[#This Row],[CO2 emissions from fuel combustion (MtCO2)]]&gt;Energy_data_1990___2020[[#Totals],[CO2 emissions from fuel combustion (MtCO2)]],"Above Average","")</f>
        <v/>
      </c>
      <c r="W1175" s="1">
        <f>SUM(Energy_data_1990___2020[[#This Row],[Coal and lignite production (Mt)]]-Energy_data_1990___2020[[#This Row],[Coal and lignite domestic consumption (Mt)]])</f>
        <v>-33.827999999999989</v>
      </c>
    </row>
    <row r="1176" spans="1:23">
      <c r="A1176" t="s">
        <v>67</v>
      </c>
      <c r="B1176">
        <v>2017</v>
      </c>
      <c r="C1176" t="s">
        <v>30</v>
      </c>
      <c r="D1176">
        <v>386.61088899999999</v>
      </c>
      <c r="E1176">
        <v>2.630132342</v>
      </c>
      <c r="F1176">
        <v>0.17324700600000001</v>
      </c>
      <c r="G1176">
        <v>37.05946144</v>
      </c>
      <c r="H1176">
        <v>146.99294130000001</v>
      </c>
      <c r="I1176">
        <v>29.34477953</v>
      </c>
      <c r="J1176">
        <v>19.773998980000002</v>
      </c>
      <c r="K1176">
        <v>43.052999999999997</v>
      </c>
      <c r="L1176">
        <v>31.94</v>
      </c>
      <c r="M1176">
        <v>0.353999854</v>
      </c>
      <c r="N1176">
        <v>53.986813419999997</v>
      </c>
      <c r="O1176">
        <v>6.5870072000000002E-2</v>
      </c>
      <c r="P1176">
        <v>297.27752400000003</v>
      </c>
      <c r="Q1176">
        <v>249.02264600000001</v>
      </c>
      <c r="R1176">
        <v>112.416797</v>
      </c>
      <c r="S1176">
        <v>9.3410778679999993</v>
      </c>
      <c r="T1176">
        <v>3.0449999999999999</v>
      </c>
      <c r="U1176">
        <v>74.098170999999994</v>
      </c>
      <c r="V1176" s="1" t="str">
        <f>IF(Energy_data_1990___2020[[#This Row],[CO2 emissions from fuel combustion (MtCO2)]]&gt;Energy_data_1990___2020[[#Totals],[CO2 emissions from fuel combustion (MtCO2)]],"Above Average","")</f>
        <v/>
      </c>
      <c r="W1176" s="1">
        <f>SUM(Energy_data_1990___2020[[#This Row],[Coal and lignite production (Mt)]]-Energy_data_1990___2020[[#This Row],[Coal and lignite domestic consumption (Mt)]])</f>
        <v>-38.318626000000009</v>
      </c>
    </row>
    <row r="1177" spans="1:23">
      <c r="A1177" t="s">
        <v>67</v>
      </c>
      <c r="B1177">
        <v>2018</v>
      </c>
      <c r="C1177" t="s">
        <v>30</v>
      </c>
      <c r="D1177">
        <v>383.40231829999999</v>
      </c>
      <c r="E1177">
        <v>2.6558353889999999</v>
      </c>
      <c r="F1177">
        <v>0.16708604199999999</v>
      </c>
      <c r="G1177">
        <v>40.536125640000002</v>
      </c>
      <c r="H1177">
        <v>144.36222960000001</v>
      </c>
      <c r="I1177">
        <v>32.075890970000003</v>
      </c>
      <c r="J1177">
        <v>20.925217480000001</v>
      </c>
      <c r="K1177">
        <v>40.965736999999997</v>
      </c>
      <c r="L1177">
        <v>28.227</v>
      </c>
      <c r="M1177">
        <v>0.42799977</v>
      </c>
      <c r="N1177">
        <v>49.714262980000001</v>
      </c>
      <c r="O1177">
        <v>6.2912800000000005E-2</v>
      </c>
      <c r="P1177">
        <v>304.80188399999997</v>
      </c>
      <c r="Q1177">
        <v>258.23217699999998</v>
      </c>
      <c r="R1177">
        <v>122.27344600000001</v>
      </c>
      <c r="S1177">
        <v>11.85366164</v>
      </c>
      <c r="T1177">
        <v>3.3679999999999999</v>
      </c>
      <c r="U1177">
        <v>83.936653000000007</v>
      </c>
      <c r="V1177" s="1" t="str">
        <f>IF(Energy_data_1990___2020[[#This Row],[CO2 emissions from fuel combustion (MtCO2)]]&gt;Energy_data_1990___2020[[#Totals],[CO2 emissions from fuel combustion (MtCO2)]],"Above Average","")</f>
        <v/>
      </c>
      <c r="W1177" s="1">
        <f>SUM(Energy_data_1990___2020[[#This Row],[Coal and lignite production (Mt)]]-Energy_data_1990___2020[[#This Row],[Coal and lignite domestic consumption (Mt)]])</f>
        <v>-38.336793</v>
      </c>
    </row>
    <row r="1178" spans="1:23">
      <c r="A1178" t="s">
        <v>67</v>
      </c>
      <c r="B1178">
        <v>2019</v>
      </c>
      <c r="C1178" t="s">
        <v>30</v>
      </c>
      <c r="D1178">
        <v>373.71795029999998</v>
      </c>
      <c r="E1178">
        <v>2.5834791539999999</v>
      </c>
      <c r="F1178">
        <v>0.16138570399999999</v>
      </c>
      <c r="G1178">
        <v>45.755024290000001</v>
      </c>
      <c r="H1178">
        <v>144.65684759999999</v>
      </c>
      <c r="I1178">
        <v>43.480715140000001</v>
      </c>
      <c r="J1178">
        <v>20.631830829999998</v>
      </c>
      <c r="K1178">
        <v>39.74308465</v>
      </c>
      <c r="L1178">
        <v>37.070019899999998</v>
      </c>
      <c r="M1178">
        <v>0.474662101</v>
      </c>
      <c r="N1178">
        <v>44.832512299999998</v>
      </c>
      <c r="O1178">
        <v>6.2468359000000001E-2</v>
      </c>
      <c r="P1178">
        <v>303.89799959999999</v>
      </c>
      <c r="Q1178">
        <v>257.3513519</v>
      </c>
      <c r="R1178">
        <v>124.692514</v>
      </c>
      <c r="S1178">
        <v>13.520868460000001</v>
      </c>
      <c r="T1178">
        <v>3.7161673359999998</v>
      </c>
      <c r="U1178">
        <v>87.089538610000005</v>
      </c>
      <c r="V1178" s="1" t="str">
        <f>IF(Energy_data_1990___2020[[#This Row],[CO2 emissions from fuel combustion (MtCO2)]]&gt;Energy_data_1990___2020[[#Totals],[CO2 emissions from fuel combustion (MtCO2)]],"Above Average","")</f>
        <v/>
      </c>
      <c r="W1178" s="1">
        <f>SUM(Energy_data_1990___2020[[#This Row],[Coal and lignite production (Mt)]]-Energy_data_1990___2020[[#This Row],[Coal and lignite domestic consumption (Mt)]])</f>
        <v>-37.602975389999997</v>
      </c>
    </row>
    <row r="1179" spans="1:23">
      <c r="A1179" t="s">
        <v>67</v>
      </c>
      <c r="B1179">
        <v>2020</v>
      </c>
      <c r="C1179" t="s">
        <v>30</v>
      </c>
      <c r="D1179">
        <v>354.06612159999997</v>
      </c>
      <c r="E1179">
        <v>2.516209989</v>
      </c>
      <c r="F1179">
        <v>0.15019576900000001</v>
      </c>
      <c r="G1179">
        <v>42.181822840000002</v>
      </c>
      <c r="H1179">
        <v>140.7140593</v>
      </c>
      <c r="I1179">
        <v>41.598508950000003</v>
      </c>
      <c r="J1179">
        <v>20.38216426</v>
      </c>
      <c r="K1179">
        <v>39.552244549999998</v>
      </c>
      <c r="L1179">
        <v>35.232855489999999</v>
      </c>
      <c r="M1179">
        <v>0.44184982</v>
      </c>
      <c r="N1179">
        <v>47.892039400000002</v>
      </c>
      <c r="O1179">
        <v>5.9691269999999998E-2</v>
      </c>
      <c r="P1179">
        <v>305.43182710000002</v>
      </c>
      <c r="Q1179">
        <v>258.63630230000001</v>
      </c>
      <c r="R1179">
        <v>108.96709989999999</v>
      </c>
      <c r="S1179">
        <v>15.1177773</v>
      </c>
      <c r="T1179">
        <v>4.0006881090000004</v>
      </c>
      <c r="U1179">
        <v>70.376621929999999</v>
      </c>
      <c r="V1179" s="1" t="str">
        <f>IF(Energy_data_1990___2020[[#This Row],[CO2 emissions from fuel combustion (MtCO2)]]&gt;Energy_data_1990___2020[[#Totals],[CO2 emissions from fuel combustion (MtCO2)]],"Above Average","")</f>
        <v/>
      </c>
      <c r="W1179" s="1">
        <f>SUM(Energy_data_1990___2020[[#This Row],[Coal and lignite production (Mt)]]-Energy_data_1990___2020[[#This Row],[Coal and lignite domestic consumption (Mt)]])</f>
        <v>-38.590477969999995</v>
      </c>
    </row>
    <row r="1180" spans="1:23">
      <c r="A1180" t="s">
        <v>68</v>
      </c>
      <c r="B1180">
        <v>1990</v>
      </c>
      <c r="C1180" t="s">
        <v>30</v>
      </c>
      <c r="D1180">
        <v>690.217491</v>
      </c>
      <c r="E1180">
        <v>2.7384661590000001</v>
      </c>
      <c r="F1180">
        <v>0.94374689599999995</v>
      </c>
      <c r="G1180">
        <v>135.79803889999999</v>
      </c>
      <c r="H1180">
        <v>252.04528769999999</v>
      </c>
      <c r="I1180">
        <v>3.5882677730000001</v>
      </c>
      <c r="J1180">
        <v>11.01745837</v>
      </c>
      <c r="K1180">
        <v>66.852000000000004</v>
      </c>
      <c r="L1180">
        <v>61.648000000000003</v>
      </c>
      <c r="M1180">
        <v>27.8859906</v>
      </c>
      <c r="N1180">
        <v>113.3430415</v>
      </c>
      <c r="O1180">
        <v>0.34462609399999999</v>
      </c>
      <c r="P1180">
        <v>298.83499999999998</v>
      </c>
      <c r="Q1180">
        <v>229.73699999999999</v>
      </c>
      <c r="R1180">
        <v>149.85300000000001</v>
      </c>
      <c r="S1180">
        <v>0</v>
      </c>
      <c r="T1180">
        <v>5.2519999999999998</v>
      </c>
      <c r="U1180">
        <v>159.21299999999999</v>
      </c>
      <c r="V1180" s="1" t="str">
        <f>IF(Energy_data_1990___2020[[#This Row],[CO2 emissions from fuel combustion (MtCO2)]]&gt;Energy_data_1990___2020[[#Totals],[CO2 emissions from fuel combustion (MtCO2)]],"Above Average","")</f>
        <v>Above Average</v>
      </c>
      <c r="W1180" s="1">
        <f>SUM(Energy_data_1990___2020[[#This Row],[Coal and lignite production (Mt)]]-Energy_data_1990___2020[[#This Row],[Coal and lignite domestic consumption (Mt)]])</f>
        <v>9.3599999999999852</v>
      </c>
    </row>
    <row r="1181" spans="1:23">
      <c r="A1181" t="s">
        <v>68</v>
      </c>
      <c r="B1181">
        <v>1991</v>
      </c>
      <c r="C1181" t="s">
        <v>30</v>
      </c>
      <c r="D1181">
        <v>654.85000179999997</v>
      </c>
      <c r="E1181">
        <v>2.5949015800000002</v>
      </c>
      <c r="F1181">
        <v>0.97761172799999996</v>
      </c>
      <c r="G1181">
        <v>118.6186632</v>
      </c>
      <c r="H1181">
        <v>252.36024620000001</v>
      </c>
      <c r="I1181">
        <v>4.2794142449999999</v>
      </c>
      <c r="J1181">
        <v>10.94524938</v>
      </c>
      <c r="K1181">
        <v>64.320999999999998</v>
      </c>
      <c r="L1181">
        <v>53.996000000000002</v>
      </c>
      <c r="M1181">
        <v>23.35198939</v>
      </c>
      <c r="N1181">
        <v>115.0519894</v>
      </c>
      <c r="O1181">
        <v>0.37674327800000001</v>
      </c>
      <c r="P1181">
        <v>278.68299999999999</v>
      </c>
      <c r="Q1181">
        <v>223.89400000000001</v>
      </c>
      <c r="R1181">
        <v>132.57400000000001</v>
      </c>
      <c r="S1181">
        <v>0</v>
      </c>
      <c r="T1181">
        <v>4.9329999999999998</v>
      </c>
      <c r="U1181">
        <v>135.22999999999999</v>
      </c>
      <c r="V1181" s="1" t="str">
        <f>IF(Energy_data_1990___2020[[#This Row],[CO2 emissions from fuel combustion (MtCO2)]]&gt;Energy_data_1990___2020[[#Totals],[CO2 emissions from fuel combustion (MtCO2)]],"Above Average","")</f>
        <v>Above Average</v>
      </c>
      <c r="W1181" s="1">
        <f>SUM(Energy_data_1990___2020[[#This Row],[Coal and lignite production (Mt)]]-Energy_data_1990___2020[[#This Row],[Coal and lignite domestic consumption (Mt)]])</f>
        <v>2.6559999999999775</v>
      </c>
    </row>
    <row r="1182" spans="1:23">
      <c r="A1182" t="s">
        <v>68</v>
      </c>
      <c r="B1182">
        <v>1992</v>
      </c>
      <c r="C1182" t="s">
        <v>30</v>
      </c>
      <c r="D1182">
        <v>564.64073489999998</v>
      </c>
      <c r="E1182">
        <v>2.5717114080000001</v>
      </c>
      <c r="F1182">
        <v>0.93347826300000003</v>
      </c>
      <c r="G1182">
        <v>111.6919747</v>
      </c>
      <c r="H1182">
        <v>219.55835830000001</v>
      </c>
      <c r="I1182">
        <v>3.2036558899999998</v>
      </c>
      <c r="J1182">
        <v>11.874017569999999</v>
      </c>
      <c r="K1182">
        <v>39.268999999999998</v>
      </c>
      <c r="L1182">
        <v>37.201000000000001</v>
      </c>
      <c r="M1182">
        <v>20.881989390000001</v>
      </c>
      <c r="N1182">
        <v>106.29400529999999</v>
      </c>
      <c r="O1182">
        <v>0.36297940000000001</v>
      </c>
      <c r="P1182">
        <v>252.524</v>
      </c>
      <c r="Q1182">
        <v>207.964</v>
      </c>
      <c r="R1182">
        <v>129.10499999999999</v>
      </c>
      <c r="S1182">
        <v>0</v>
      </c>
      <c r="T1182">
        <v>4.4740000000000002</v>
      </c>
      <c r="U1182">
        <v>126.375</v>
      </c>
      <c r="V1182" s="1" t="str">
        <f>IF(Energy_data_1990___2020[[#This Row],[CO2 emissions from fuel combustion (MtCO2)]]&gt;Energy_data_1990___2020[[#Totals],[CO2 emissions from fuel combustion (MtCO2)]],"Above Average","")</f>
        <v>Above Average</v>
      </c>
      <c r="W1182" s="1">
        <f>SUM(Energy_data_1990___2020[[#This Row],[Coal and lignite production (Mt)]]-Energy_data_1990___2020[[#This Row],[Coal and lignite domestic consumption (Mt)]])</f>
        <v>-2.7299999999999898</v>
      </c>
    </row>
    <row r="1183" spans="1:23">
      <c r="A1183" t="s">
        <v>68</v>
      </c>
      <c r="B1183">
        <v>1993</v>
      </c>
      <c r="C1183" t="s">
        <v>30</v>
      </c>
      <c r="D1183">
        <v>502.62257770000002</v>
      </c>
      <c r="E1183">
        <v>2.5831398110000001</v>
      </c>
      <c r="F1183">
        <v>0.96876596800000003</v>
      </c>
      <c r="G1183">
        <v>100.3562613</v>
      </c>
      <c r="H1183">
        <v>194.5781547</v>
      </c>
      <c r="I1183">
        <v>4.8876497350000001</v>
      </c>
      <c r="J1183">
        <v>12.586935759999999</v>
      </c>
      <c r="K1183">
        <v>28.436</v>
      </c>
      <c r="L1183">
        <v>23.033999999999999</v>
      </c>
      <c r="M1183">
        <v>19.2</v>
      </c>
      <c r="N1183">
        <v>99.251989390000006</v>
      </c>
      <c r="O1183">
        <v>0.375034276</v>
      </c>
      <c r="P1183">
        <v>229.90600000000001</v>
      </c>
      <c r="Q1183">
        <v>182.298</v>
      </c>
      <c r="R1183">
        <v>116.648</v>
      </c>
      <c r="S1183">
        <v>0</v>
      </c>
      <c r="T1183">
        <v>4.2480000000000002</v>
      </c>
      <c r="U1183">
        <v>108.717</v>
      </c>
      <c r="V1183" s="1" t="str">
        <f>IF(Energy_data_1990___2020[[#This Row],[CO2 emissions from fuel combustion (MtCO2)]]&gt;Energy_data_1990___2020[[#Totals],[CO2 emissions from fuel combustion (MtCO2)]],"Above Average","")</f>
        <v/>
      </c>
      <c r="W1183" s="1">
        <f>SUM(Energy_data_1990___2020[[#This Row],[Coal and lignite production (Mt)]]-Energy_data_1990___2020[[#This Row],[Coal and lignite domestic consumption (Mt)]])</f>
        <v>-7.9309999999999974</v>
      </c>
    </row>
    <row r="1184" spans="1:23">
      <c r="A1184" t="s">
        <v>68</v>
      </c>
      <c r="B1184">
        <v>1994</v>
      </c>
      <c r="C1184" t="s">
        <v>30</v>
      </c>
      <c r="D1184">
        <v>416.14710480000002</v>
      </c>
      <c r="E1184">
        <v>2.5100676740000001</v>
      </c>
      <c r="F1184">
        <v>1.040785413</v>
      </c>
      <c r="G1184">
        <v>87.423394819999999</v>
      </c>
      <c r="H1184">
        <v>165.79118930000001</v>
      </c>
      <c r="I1184">
        <v>6.0747479330000003</v>
      </c>
      <c r="J1184">
        <v>12.696396650000001</v>
      </c>
      <c r="K1184">
        <v>24.623999999999999</v>
      </c>
      <c r="L1184">
        <v>20.04</v>
      </c>
      <c r="M1184">
        <v>18.3</v>
      </c>
      <c r="N1184">
        <v>88.255013259999998</v>
      </c>
      <c r="O1184">
        <v>0.41464436399999999</v>
      </c>
      <c r="P1184">
        <v>202.922</v>
      </c>
      <c r="Q1184">
        <v>158.029</v>
      </c>
      <c r="R1184">
        <v>91.992000000000004</v>
      </c>
      <c r="S1184">
        <v>0</v>
      </c>
      <c r="T1184">
        <v>4.1980000000000004</v>
      </c>
      <c r="U1184">
        <v>88.597999999999999</v>
      </c>
      <c r="V1184" s="1" t="str">
        <f>IF(Energy_data_1990___2020[[#This Row],[CO2 emissions from fuel combustion (MtCO2)]]&gt;Energy_data_1990___2020[[#Totals],[CO2 emissions from fuel combustion (MtCO2)]],"Above Average","")</f>
        <v/>
      </c>
      <c r="W1184" s="1">
        <f>SUM(Energy_data_1990___2020[[#This Row],[Coal and lignite production (Mt)]]-Energy_data_1990___2020[[#This Row],[Coal and lignite domestic consumption (Mt)]])</f>
        <v>-3.3940000000000055</v>
      </c>
    </row>
    <row r="1185" spans="1:23">
      <c r="A1185" t="s">
        <v>68</v>
      </c>
      <c r="B1185">
        <v>1995</v>
      </c>
      <c r="C1185" t="s">
        <v>30</v>
      </c>
      <c r="D1185">
        <v>415.0638088</v>
      </c>
      <c r="E1185">
        <v>2.5352572929999999</v>
      </c>
      <c r="F1185">
        <v>1.1823190050000001</v>
      </c>
      <c r="G1185">
        <v>81.61512372</v>
      </c>
      <c r="H1185">
        <v>163.71664129999999</v>
      </c>
      <c r="I1185">
        <v>5.2314733679999996</v>
      </c>
      <c r="J1185">
        <v>12.304417709999999</v>
      </c>
      <c r="K1185">
        <v>25.475999999999999</v>
      </c>
      <c r="L1185">
        <v>17.155000000000001</v>
      </c>
      <c r="M1185">
        <v>18.16099436</v>
      </c>
      <c r="N1185">
        <v>81.647001540000005</v>
      </c>
      <c r="O1185">
        <v>0.46635069699999998</v>
      </c>
      <c r="P1185">
        <v>194.018</v>
      </c>
      <c r="Q1185">
        <v>148.87799999999999</v>
      </c>
      <c r="R1185">
        <v>91.474999999999994</v>
      </c>
      <c r="S1185">
        <v>0</v>
      </c>
      <c r="T1185">
        <v>4.09</v>
      </c>
      <c r="U1185">
        <v>77.875</v>
      </c>
      <c r="V1185" s="1" t="str">
        <f>IF(Energy_data_1990___2020[[#This Row],[CO2 emissions from fuel combustion (MtCO2)]]&gt;Energy_data_1990___2020[[#Totals],[CO2 emissions from fuel combustion (MtCO2)]],"Above Average","")</f>
        <v/>
      </c>
      <c r="W1185" s="1">
        <f>SUM(Energy_data_1990___2020[[#This Row],[Coal and lignite production (Mt)]]-Energy_data_1990___2020[[#This Row],[Coal and lignite domestic consumption (Mt)]])</f>
        <v>-13.599999999999994</v>
      </c>
    </row>
    <row r="1186" spans="1:23">
      <c r="A1186" t="s">
        <v>68</v>
      </c>
      <c r="B1186">
        <v>1996</v>
      </c>
      <c r="C1186" t="s">
        <v>30</v>
      </c>
      <c r="D1186">
        <v>350.26494650000001</v>
      </c>
      <c r="E1186">
        <v>2.335247807</v>
      </c>
      <c r="F1186">
        <v>1.1085976930000001</v>
      </c>
      <c r="G1186">
        <v>73.659989879999998</v>
      </c>
      <c r="H1186">
        <v>149.99048300000001</v>
      </c>
      <c r="I1186">
        <v>4.8271452459999997</v>
      </c>
      <c r="J1186">
        <v>11.61540902</v>
      </c>
      <c r="K1186">
        <v>15.593</v>
      </c>
      <c r="L1186">
        <v>13.680999999999999</v>
      </c>
      <c r="M1186">
        <v>18.4079959</v>
      </c>
      <c r="N1186">
        <v>88.810994359999995</v>
      </c>
      <c r="O1186">
        <v>0.47472379199999998</v>
      </c>
      <c r="P1186">
        <v>182.98599999999999</v>
      </c>
      <c r="Q1186">
        <v>134.03899999999999</v>
      </c>
      <c r="R1186">
        <v>68.418000000000006</v>
      </c>
      <c r="S1186">
        <v>0</v>
      </c>
      <c r="T1186">
        <v>4.0979999999999999</v>
      </c>
      <c r="U1186">
        <v>57.988999999999997</v>
      </c>
      <c r="V1186" s="1" t="str">
        <f>IF(Energy_data_1990___2020[[#This Row],[CO2 emissions from fuel combustion (MtCO2)]]&gt;Energy_data_1990___2020[[#Totals],[CO2 emissions from fuel combustion (MtCO2)]],"Above Average","")</f>
        <v/>
      </c>
      <c r="W1186" s="1">
        <f>SUM(Energy_data_1990___2020[[#This Row],[Coal and lignite production (Mt)]]-Energy_data_1990___2020[[#This Row],[Coal and lignite domestic consumption (Mt)]])</f>
        <v>-10.429000000000009</v>
      </c>
    </row>
    <row r="1187" spans="1:23">
      <c r="A1187" t="s">
        <v>68</v>
      </c>
      <c r="B1187">
        <v>1997</v>
      </c>
      <c r="C1187" t="s">
        <v>30</v>
      </c>
      <c r="D1187">
        <v>334.74607900000001</v>
      </c>
      <c r="E1187">
        <v>2.3324860599999999</v>
      </c>
      <c r="F1187">
        <v>1.0922474980000001</v>
      </c>
      <c r="G1187">
        <v>74.744789859999997</v>
      </c>
      <c r="H1187">
        <v>143.51471789999999</v>
      </c>
      <c r="I1187">
        <v>5.6358917320000002</v>
      </c>
      <c r="J1187">
        <v>11.705238250000001</v>
      </c>
      <c r="K1187">
        <v>18.027999999999999</v>
      </c>
      <c r="L1187">
        <v>13.467000000000001</v>
      </c>
      <c r="M1187">
        <v>18.13100974</v>
      </c>
      <c r="N1187">
        <v>79.082906199999996</v>
      </c>
      <c r="O1187">
        <v>0.46827611000000002</v>
      </c>
      <c r="P1187">
        <v>178.00200000000001</v>
      </c>
      <c r="Q1187">
        <v>128.952</v>
      </c>
      <c r="R1187">
        <v>65.643000000000001</v>
      </c>
      <c r="S1187">
        <v>0</v>
      </c>
      <c r="T1187">
        <v>4.133</v>
      </c>
      <c r="U1187">
        <v>59.344999999999999</v>
      </c>
      <c r="V1187" s="1" t="str">
        <f>IF(Energy_data_1990___2020[[#This Row],[CO2 emissions from fuel combustion (MtCO2)]]&gt;Energy_data_1990___2020[[#Totals],[CO2 emissions from fuel combustion (MtCO2)]],"Above Average","")</f>
        <v/>
      </c>
      <c r="W1187" s="1">
        <f>SUM(Energy_data_1990___2020[[#This Row],[Coal and lignite production (Mt)]]-Energy_data_1990___2020[[#This Row],[Coal and lignite domestic consumption (Mt)]])</f>
        <v>-6.2980000000000018</v>
      </c>
    </row>
    <row r="1188" spans="1:23">
      <c r="A1188" t="s">
        <v>68</v>
      </c>
      <c r="B1188">
        <v>1998</v>
      </c>
      <c r="C1188" t="s">
        <v>30</v>
      </c>
      <c r="D1188">
        <v>317.66324320000001</v>
      </c>
      <c r="E1188">
        <v>2.3406872839999999</v>
      </c>
      <c r="F1188">
        <v>1.056582755</v>
      </c>
      <c r="G1188">
        <v>74.580999590000005</v>
      </c>
      <c r="H1188">
        <v>135.71366219999999</v>
      </c>
      <c r="I1188">
        <v>9.2106329060000007</v>
      </c>
      <c r="J1188">
        <v>12.193789239999999</v>
      </c>
      <c r="K1188">
        <v>16.542000000000002</v>
      </c>
      <c r="L1188">
        <v>13.797000000000001</v>
      </c>
      <c r="M1188">
        <v>17.966991289999999</v>
      </c>
      <c r="N1188">
        <v>70.927009409999997</v>
      </c>
      <c r="O1188">
        <v>0.451398511</v>
      </c>
      <c r="P1188">
        <v>172.822</v>
      </c>
      <c r="Q1188">
        <v>122.33499999999999</v>
      </c>
      <c r="R1188">
        <v>66.489999999999995</v>
      </c>
      <c r="S1188">
        <v>1.7358899999999999E-3</v>
      </c>
      <c r="T1188">
        <v>3.903</v>
      </c>
      <c r="U1188">
        <v>60.215000000000003</v>
      </c>
      <c r="V1188" s="1" t="str">
        <f>IF(Energy_data_1990___2020[[#This Row],[CO2 emissions from fuel combustion (MtCO2)]]&gt;Energy_data_1990___2020[[#Totals],[CO2 emissions from fuel combustion (MtCO2)]],"Above Average","")</f>
        <v/>
      </c>
      <c r="W1188" s="1">
        <f>SUM(Energy_data_1990___2020[[#This Row],[Coal and lignite production (Mt)]]-Energy_data_1990___2020[[#This Row],[Coal and lignite domestic consumption (Mt)]])</f>
        <v>-6.2749999999999915</v>
      </c>
    </row>
    <row r="1189" spans="1:23">
      <c r="A1189" t="s">
        <v>68</v>
      </c>
      <c r="B1189">
        <v>1999</v>
      </c>
      <c r="C1189" t="s">
        <v>30</v>
      </c>
      <c r="D1189">
        <v>314.89175210000002</v>
      </c>
      <c r="E1189">
        <v>2.3311471450000001</v>
      </c>
      <c r="F1189">
        <v>1.049463399</v>
      </c>
      <c r="G1189">
        <v>75.548615679999997</v>
      </c>
      <c r="H1189">
        <v>135.08016979999999</v>
      </c>
      <c r="I1189">
        <v>8.4260980710000002</v>
      </c>
      <c r="J1189">
        <v>11.88653609</v>
      </c>
      <c r="K1189">
        <v>12.298999999999999</v>
      </c>
      <c r="L1189">
        <v>11.651999999999999</v>
      </c>
      <c r="M1189">
        <v>18.0920041</v>
      </c>
      <c r="N1189">
        <v>76.941020289999997</v>
      </c>
      <c r="O1189">
        <v>0.45019183000000002</v>
      </c>
      <c r="P1189">
        <v>172.12</v>
      </c>
      <c r="Q1189">
        <v>117.819</v>
      </c>
      <c r="R1189">
        <v>65.858000000000004</v>
      </c>
      <c r="S1189">
        <v>1.7429699999999999E-3</v>
      </c>
      <c r="T1189">
        <v>3.798</v>
      </c>
      <c r="U1189">
        <v>63.463999999999999</v>
      </c>
      <c r="V1189" s="1" t="str">
        <f>IF(Energy_data_1990___2020[[#This Row],[CO2 emissions from fuel combustion (MtCO2)]]&gt;Energy_data_1990___2020[[#Totals],[CO2 emissions from fuel combustion (MtCO2)]],"Above Average","")</f>
        <v/>
      </c>
      <c r="W1189" s="1">
        <f>SUM(Energy_data_1990___2020[[#This Row],[Coal and lignite production (Mt)]]-Energy_data_1990___2020[[#This Row],[Coal and lignite domestic consumption (Mt)]])</f>
        <v>-2.3940000000000055</v>
      </c>
    </row>
    <row r="1190" spans="1:23">
      <c r="A1190" t="s">
        <v>68</v>
      </c>
      <c r="B1190">
        <v>2000</v>
      </c>
      <c r="C1190" t="s">
        <v>30</v>
      </c>
      <c r="D1190">
        <v>308.81148230000002</v>
      </c>
      <c r="E1190">
        <v>2.3077999880000002</v>
      </c>
      <c r="F1190">
        <v>0.97185951500000001</v>
      </c>
      <c r="G1190">
        <v>76.440662930000002</v>
      </c>
      <c r="H1190">
        <v>133.81206510000001</v>
      </c>
      <c r="I1190">
        <v>6.682026306</v>
      </c>
      <c r="J1190">
        <v>12.18925359</v>
      </c>
      <c r="K1190">
        <v>11.565</v>
      </c>
      <c r="L1190">
        <v>9.2840000000000007</v>
      </c>
      <c r="M1190">
        <v>17.8840082</v>
      </c>
      <c r="N1190">
        <v>74.238079130000003</v>
      </c>
      <c r="O1190">
        <v>0.42111947300000002</v>
      </c>
      <c r="P1190">
        <v>171.44499999999999</v>
      </c>
      <c r="Q1190">
        <v>115.759</v>
      </c>
      <c r="R1190">
        <v>66.102999999999994</v>
      </c>
      <c r="S1190">
        <v>3.4996649999999999E-3</v>
      </c>
      <c r="T1190">
        <v>3.6930000000000001</v>
      </c>
      <c r="U1190">
        <v>62.89</v>
      </c>
      <c r="V1190" s="1" t="str">
        <f>IF(Energy_data_1990___2020[[#This Row],[CO2 emissions from fuel combustion (MtCO2)]]&gt;Energy_data_1990___2020[[#Totals],[CO2 emissions from fuel combustion (MtCO2)]],"Above Average","")</f>
        <v/>
      </c>
      <c r="W1190" s="1">
        <f>SUM(Energy_data_1990___2020[[#This Row],[Coal and lignite production (Mt)]]-Energy_data_1990___2020[[#This Row],[Coal and lignite domestic consumption (Mt)]])</f>
        <v>-3.2129999999999939</v>
      </c>
    </row>
    <row r="1191" spans="1:23">
      <c r="A1191" t="s">
        <v>68</v>
      </c>
      <c r="B1191">
        <v>2001</v>
      </c>
      <c r="C1191" t="s">
        <v>30</v>
      </c>
      <c r="D1191">
        <v>302.45740699999999</v>
      </c>
      <c r="E1191">
        <v>2.2552237879999999</v>
      </c>
      <c r="F1191">
        <v>0.87163958100000005</v>
      </c>
      <c r="G1191">
        <v>76.318705739999999</v>
      </c>
      <c r="H1191">
        <v>134.11414360000001</v>
      </c>
      <c r="I1191">
        <v>7.062992854</v>
      </c>
      <c r="J1191">
        <v>12.052910109999999</v>
      </c>
      <c r="K1191">
        <v>12.805999999999999</v>
      </c>
      <c r="L1191">
        <v>16.809000000000001</v>
      </c>
      <c r="M1191">
        <v>18.336976660000001</v>
      </c>
      <c r="N1191">
        <v>74.257995899999997</v>
      </c>
      <c r="O1191">
        <v>0.38649804300000001</v>
      </c>
      <c r="P1191">
        <v>172.97200000000001</v>
      </c>
      <c r="Q1191">
        <v>122.166</v>
      </c>
      <c r="R1191">
        <v>63.893999999999998</v>
      </c>
      <c r="S1191">
        <v>9.2500519999999999E-3</v>
      </c>
      <c r="T1191">
        <v>3.7029999999999998</v>
      </c>
      <c r="U1191">
        <v>62.097000000000001</v>
      </c>
      <c r="V1191" s="1" t="str">
        <f>IF(Energy_data_1990___2020[[#This Row],[CO2 emissions from fuel combustion (MtCO2)]]&gt;Energy_data_1990___2020[[#Totals],[CO2 emissions from fuel combustion (MtCO2)]],"Above Average","")</f>
        <v/>
      </c>
      <c r="W1191" s="1">
        <f>SUM(Energy_data_1990___2020[[#This Row],[Coal and lignite production (Mt)]]-Energy_data_1990___2020[[#This Row],[Coal and lignite domestic consumption (Mt)]])</f>
        <v>-1.796999999999997</v>
      </c>
    </row>
    <row r="1192" spans="1:23">
      <c r="A1192" t="s">
        <v>68</v>
      </c>
      <c r="B1192">
        <v>2002</v>
      </c>
      <c r="C1192" t="s">
        <v>30</v>
      </c>
      <c r="D1192">
        <v>301.50192479999998</v>
      </c>
      <c r="E1192">
        <v>2.2231500560000002</v>
      </c>
      <c r="F1192">
        <v>0.82555040300000004</v>
      </c>
      <c r="G1192">
        <v>76.750040389999995</v>
      </c>
      <c r="H1192">
        <v>135.6192417</v>
      </c>
      <c r="I1192">
        <v>5.6471387289999999</v>
      </c>
      <c r="J1192">
        <v>11.99293969</v>
      </c>
      <c r="K1192">
        <v>12.907</v>
      </c>
      <c r="L1192">
        <v>20.629000000000001</v>
      </c>
      <c r="M1192">
        <v>18.67998995</v>
      </c>
      <c r="N1192">
        <v>73.320083650000001</v>
      </c>
      <c r="O1192">
        <v>0.371342636</v>
      </c>
      <c r="P1192">
        <v>173.73400000000001</v>
      </c>
      <c r="Q1192">
        <v>123.384</v>
      </c>
      <c r="R1192">
        <v>64.778000000000006</v>
      </c>
      <c r="S1192">
        <v>1.2663037E-2</v>
      </c>
      <c r="T1192">
        <v>3.7320000000000002</v>
      </c>
      <c r="U1192">
        <v>62.241999999999997</v>
      </c>
      <c r="V1192" s="1" t="str">
        <f>IF(Energy_data_1990___2020[[#This Row],[CO2 emissions from fuel combustion (MtCO2)]]&gt;Energy_data_1990___2020[[#Totals],[CO2 emissions from fuel combustion (MtCO2)]],"Above Average","")</f>
        <v/>
      </c>
      <c r="W1192" s="1">
        <f>SUM(Energy_data_1990___2020[[#This Row],[Coal and lignite production (Mt)]]-Energy_data_1990___2020[[#This Row],[Coal and lignite domestic consumption (Mt)]])</f>
        <v>-2.5360000000000085</v>
      </c>
    </row>
    <row r="1193" spans="1:23">
      <c r="A1193" t="s">
        <v>68</v>
      </c>
      <c r="B1193">
        <v>2003</v>
      </c>
      <c r="C1193" t="s">
        <v>30</v>
      </c>
      <c r="D1193">
        <v>312.69046780000002</v>
      </c>
      <c r="E1193">
        <v>2.2208474950000001</v>
      </c>
      <c r="F1193">
        <v>0.78179115499999996</v>
      </c>
      <c r="G1193">
        <v>75.625136240000003</v>
      </c>
      <c r="H1193">
        <v>140.7978119</v>
      </c>
      <c r="I1193">
        <v>5.2234420049999999</v>
      </c>
      <c r="J1193">
        <v>12.699170179999999</v>
      </c>
      <c r="K1193">
        <v>13.301</v>
      </c>
      <c r="L1193">
        <v>22.414000000000001</v>
      </c>
      <c r="M1193">
        <v>19.004018429999999</v>
      </c>
      <c r="N1193">
        <v>77.620015379999998</v>
      </c>
      <c r="O1193">
        <v>0.35202379099999997</v>
      </c>
      <c r="P1193">
        <v>180.36</v>
      </c>
      <c r="Q1193">
        <v>129.11699999999999</v>
      </c>
      <c r="R1193">
        <v>70.581000000000003</v>
      </c>
      <c r="S1193">
        <v>1.7187846999999999E-2</v>
      </c>
      <c r="T1193">
        <v>3.944</v>
      </c>
      <c r="U1193">
        <v>60.31</v>
      </c>
      <c r="V1193" s="1" t="str">
        <f>IF(Energy_data_1990___2020[[#This Row],[CO2 emissions from fuel combustion (MtCO2)]]&gt;Energy_data_1990___2020[[#Totals],[CO2 emissions from fuel combustion (MtCO2)]],"Above Average","")</f>
        <v/>
      </c>
      <c r="W1193" s="1">
        <f>SUM(Energy_data_1990___2020[[#This Row],[Coal and lignite production (Mt)]]-Energy_data_1990___2020[[#This Row],[Coal and lignite domestic consumption (Mt)]])</f>
        <v>-10.271000000000001</v>
      </c>
    </row>
    <row r="1194" spans="1:23">
      <c r="A1194" t="s">
        <v>68</v>
      </c>
      <c r="B1194">
        <v>2004</v>
      </c>
      <c r="C1194" t="s">
        <v>30</v>
      </c>
      <c r="D1194">
        <v>302.06294329999997</v>
      </c>
      <c r="E1194">
        <v>2.1283097240000002</v>
      </c>
      <c r="F1194">
        <v>0.67364955900000001</v>
      </c>
      <c r="G1194">
        <v>78.266815379999997</v>
      </c>
      <c r="H1194">
        <v>141.92621500000001</v>
      </c>
      <c r="I1194">
        <v>6.544067192</v>
      </c>
      <c r="J1194">
        <v>12.312605209999999</v>
      </c>
      <c r="K1194">
        <v>13.331</v>
      </c>
      <c r="L1194">
        <v>22.03</v>
      </c>
      <c r="M1194">
        <v>20.11602323</v>
      </c>
      <c r="N1194">
        <v>78.566943699999996</v>
      </c>
      <c r="O1194">
        <v>0.316518574</v>
      </c>
      <c r="P1194">
        <v>182.16499999999999</v>
      </c>
      <c r="Q1194">
        <v>135.09800000000001</v>
      </c>
      <c r="R1194">
        <v>64.588999999999999</v>
      </c>
      <c r="S1194">
        <v>1.8115445000000001E-2</v>
      </c>
      <c r="T1194">
        <v>4.274</v>
      </c>
      <c r="U1194">
        <v>59.904000000000003</v>
      </c>
      <c r="V1194" s="1" t="str">
        <f>IF(Energy_data_1990___2020[[#This Row],[CO2 emissions from fuel combustion (MtCO2)]]&gt;Energy_data_1990___2020[[#Totals],[CO2 emissions from fuel combustion (MtCO2)]],"Above Average","")</f>
        <v/>
      </c>
      <c r="W1194" s="1">
        <f>SUM(Energy_data_1990___2020[[#This Row],[Coal and lignite production (Mt)]]-Energy_data_1990___2020[[#This Row],[Coal and lignite domestic consumption (Mt)]])</f>
        <v>-4.6849999999999952</v>
      </c>
    </row>
    <row r="1195" spans="1:23">
      <c r="A1195" t="s">
        <v>68</v>
      </c>
      <c r="B1195">
        <v>2005</v>
      </c>
      <c r="C1195" t="s">
        <v>30</v>
      </c>
      <c r="D1195">
        <v>311.3361769</v>
      </c>
      <c r="E1195">
        <v>2.2073399149999999</v>
      </c>
      <c r="F1195">
        <v>0.67412444999999999</v>
      </c>
      <c r="G1195">
        <v>79.165232180000004</v>
      </c>
      <c r="H1195">
        <v>141.0458692</v>
      </c>
      <c r="I1195">
        <v>6.7415549170000002</v>
      </c>
      <c r="J1195">
        <v>12.76492242</v>
      </c>
      <c r="K1195">
        <v>13.622</v>
      </c>
      <c r="L1195">
        <v>19.225999999999999</v>
      </c>
      <c r="M1195">
        <v>20.442019070000001</v>
      </c>
      <c r="N1195">
        <v>77.613929339999999</v>
      </c>
      <c r="O1195">
        <v>0.30540128700000002</v>
      </c>
      <c r="P1195">
        <v>186.05500000000001</v>
      </c>
      <c r="Q1195">
        <v>137.89699999999999</v>
      </c>
      <c r="R1195">
        <v>64.144999999999996</v>
      </c>
      <c r="S1195">
        <v>2.0424068E-2</v>
      </c>
      <c r="T1195">
        <v>4.375</v>
      </c>
      <c r="U1195">
        <v>61.033000000000001</v>
      </c>
      <c r="V1195" s="1" t="str">
        <f>IF(Energy_data_1990___2020[[#This Row],[CO2 emissions from fuel combustion (MtCO2)]]&gt;Energy_data_1990___2020[[#Totals],[CO2 emissions from fuel combustion (MtCO2)]],"Above Average","")</f>
        <v/>
      </c>
      <c r="W1195" s="1">
        <f>SUM(Energy_data_1990___2020[[#This Row],[Coal and lignite production (Mt)]]-Energy_data_1990___2020[[#This Row],[Coal and lignite domestic consumption (Mt)]])</f>
        <v>-3.1119999999999948</v>
      </c>
    </row>
    <row r="1196" spans="1:23">
      <c r="A1196" t="s">
        <v>68</v>
      </c>
      <c r="B1196">
        <v>2006</v>
      </c>
      <c r="C1196" t="s">
        <v>30</v>
      </c>
      <c r="D1196">
        <v>305.68309140000002</v>
      </c>
      <c r="E1196">
        <v>2.2346875270000002</v>
      </c>
      <c r="F1196">
        <v>0.61605048299999998</v>
      </c>
      <c r="G1196">
        <v>82.366339969999999</v>
      </c>
      <c r="H1196">
        <v>136.79008260000001</v>
      </c>
      <c r="I1196">
        <v>6.75816135</v>
      </c>
      <c r="J1196">
        <v>13.37434358</v>
      </c>
      <c r="K1196">
        <v>13.967000000000001</v>
      </c>
      <c r="L1196">
        <v>15.177</v>
      </c>
      <c r="M1196">
        <v>20.739991400000001</v>
      </c>
      <c r="N1196">
        <v>69.484032510000006</v>
      </c>
      <c r="O1196">
        <v>0.27567634200000002</v>
      </c>
      <c r="P1196">
        <v>193.381</v>
      </c>
      <c r="Q1196">
        <v>143.60300000000001</v>
      </c>
      <c r="R1196">
        <v>69.638999999999996</v>
      </c>
      <c r="S1196">
        <v>1.8098986000000001E-2</v>
      </c>
      <c r="T1196">
        <v>4.5220000000000002</v>
      </c>
      <c r="U1196">
        <v>64.537000000000006</v>
      </c>
      <c r="V1196" s="1" t="str">
        <f>IF(Energy_data_1990___2020[[#This Row],[CO2 emissions from fuel combustion (MtCO2)]]&gt;Energy_data_1990___2020[[#Totals],[CO2 emissions from fuel combustion (MtCO2)]],"Above Average","")</f>
        <v/>
      </c>
      <c r="W1196" s="1">
        <f>SUM(Energy_data_1990___2020[[#This Row],[Coal and lignite production (Mt)]]-Energy_data_1990___2020[[#This Row],[Coal and lignite domestic consumption (Mt)]])</f>
        <v>-5.1019999999999897</v>
      </c>
    </row>
    <row r="1197" spans="1:23">
      <c r="A1197" t="s">
        <v>68</v>
      </c>
      <c r="B1197">
        <v>2007</v>
      </c>
      <c r="C1197" t="s">
        <v>30</v>
      </c>
      <c r="D1197">
        <v>315.1430398</v>
      </c>
      <c r="E1197">
        <v>2.2634199750000001</v>
      </c>
      <c r="F1197">
        <v>0.59029172200000002</v>
      </c>
      <c r="G1197">
        <v>84.813074529999994</v>
      </c>
      <c r="H1197">
        <v>139.2331265</v>
      </c>
      <c r="I1197">
        <v>5.39360309</v>
      </c>
      <c r="J1197">
        <v>13.267333730000001</v>
      </c>
      <c r="K1197">
        <v>14.305999999999999</v>
      </c>
      <c r="L1197">
        <v>14.704000000000001</v>
      </c>
      <c r="M1197">
        <v>20.744975610000001</v>
      </c>
      <c r="N1197">
        <v>68.746026569999998</v>
      </c>
      <c r="O1197">
        <v>0.260796374</v>
      </c>
      <c r="P1197">
        <v>196.251</v>
      </c>
      <c r="Q1197">
        <v>148.71899999999999</v>
      </c>
      <c r="R1197">
        <v>72.769000000000005</v>
      </c>
      <c r="S1197">
        <v>2.2929819000000001E-2</v>
      </c>
      <c r="T1197">
        <v>4.46</v>
      </c>
      <c r="U1197">
        <v>64.620999999999995</v>
      </c>
      <c r="V1197" s="1" t="str">
        <f>IF(Energy_data_1990___2020[[#This Row],[CO2 emissions from fuel combustion (MtCO2)]]&gt;Energy_data_1990___2020[[#Totals],[CO2 emissions from fuel combustion (MtCO2)]],"Above Average","")</f>
        <v/>
      </c>
      <c r="W1197" s="1">
        <f>SUM(Energy_data_1990___2020[[#This Row],[Coal and lignite production (Mt)]]-Energy_data_1990___2020[[#This Row],[Coal and lignite domestic consumption (Mt)]])</f>
        <v>-8.1480000000000103</v>
      </c>
    </row>
    <row r="1198" spans="1:23">
      <c r="A1198" t="s">
        <v>68</v>
      </c>
      <c r="B1198">
        <v>2008</v>
      </c>
      <c r="C1198" t="s">
        <v>30</v>
      </c>
      <c r="D1198">
        <v>303.95640609999998</v>
      </c>
      <c r="E1198">
        <v>2.2576769809999999</v>
      </c>
      <c r="F1198">
        <v>0.55651584899999995</v>
      </c>
      <c r="G1198">
        <v>84.292612599999998</v>
      </c>
      <c r="H1198">
        <v>134.6323715</v>
      </c>
      <c r="I1198">
        <v>6.1380370329999998</v>
      </c>
      <c r="J1198">
        <v>13.96524986</v>
      </c>
      <c r="K1198">
        <v>14.154999999999999</v>
      </c>
      <c r="L1198">
        <v>11.747</v>
      </c>
      <c r="M1198">
        <v>21.079010740000001</v>
      </c>
      <c r="N1198">
        <v>64.862070059999994</v>
      </c>
      <c r="O1198">
        <v>0.24649932399999999</v>
      </c>
      <c r="P1198">
        <v>192.58600000000001</v>
      </c>
      <c r="Q1198">
        <v>148.315</v>
      </c>
      <c r="R1198">
        <v>70.938999999999993</v>
      </c>
      <c r="S1198">
        <v>2.3366184000000002E-2</v>
      </c>
      <c r="T1198">
        <v>4.3979999999999997</v>
      </c>
      <c r="U1198">
        <v>64.796999999999997</v>
      </c>
      <c r="V1198" s="1" t="str">
        <f>IF(Energy_data_1990___2020[[#This Row],[CO2 emissions from fuel combustion (MtCO2)]]&gt;Energy_data_1990___2020[[#Totals],[CO2 emissions from fuel combustion (MtCO2)]],"Above Average","")</f>
        <v/>
      </c>
      <c r="W1198" s="1">
        <f>SUM(Energy_data_1990___2020[[#This Row],[Coal and lignite production (Mt)]]-Energy_data_1990___2020[[#This Row],[Coal and lignite domestic consumption (Mt)]])</f>
        <v>-6.1419999999999959</v>
      </c>
    </row>
    <row r="1199" spans="1:23">
      <c r="A1199" t="s">
        <v>68</v>
      </c>
      <c r="B1199">
        <v>2009</v>
      </c>
      <c r="C1199" t="s">
        <v>30</v>
      </c>
      <c r="D1199">
        <v>257.48696200000001</v>
      </c>
      <c r="E1199">
        <v>2.2508095410000002</v>
      </c>
      <c r="F1199">
        <v>0.55305793400000003</v>
      </c>
      <c r="G1199">
        <v>79.388854679999994</v>
      </c>
      <c r="H1199">
        <v>114.39749</v>
      </c>
      <c r="I1199">
        <v>6.9796508450000001</v>
      </c>
      <c r="J1199">
        <v>14.82590467</v>
      </c>
      <c r="K1199">
        <v>13.507</v>
      </c>
      <c r="L1199">
        <v>11.89</v>
      </c>
      <c r="M1199">
        <v>21.139026730000001</v>
      </c>
      <c r="N1199">
        <v>50.622004420000003</v>
      </c>
      <c r="O1199">
        <v>0.24571511900000001</v>
      </c>
      <c r="P1199">
        <v>173.619</v>
      </c>
      <c r="Q1199">
        <v>134.21</v>
      </c>
      <c r="R1199">
        <v>60.947000000000003</v>
      </c>
      <c r="S1199">
        <v>2.4766875000000001E-2</v>
      </c>
      <c r="T1199">
        <v>4.0039999999999996</v>
      </c>
      <c r="U1199">
        <v>60.082999999999998</v>
      </c>
      <c r="V1199" s="1" t="str">
        <f>IF(Energy_data_1990___2020[[#This Row],[CO2 emissions from fuel combustion (MtCO2)]]&gt;Energy_data_1990___2020[[#Totals],[CO2 emissions from fuel combustion (MtCO2)]],"Above Average","")</f>
        <v/>
      </c>
      <c r="W1199" s="1">
        <f>SUM(Energy_data_1990___2020[[#This Row],[Coal and lignite production (Mt)]]-Energy_data_1990___2020[[#This Row],[Coal and lignite domestic consumption (Mt)]])</f>
        <v>-0.86400000000000432</v>
      </c>
    </row>
    <row r="1200" spans="1:23">
      <c r="A1200" t="s">
        <v>68</v>
      </c>
      <c r="B1200">
        <v>2010</v>
      </c>
      <c r="C1200" t="s">
        <v>30</v>
      </c>
      <c r="D1200">
        <v>276.57682620000003</v>
      </c>
      <c r="E1200">
        <v>2.0906895219999999</v>
      </c>
      <c r="F1200">
        <v>0.57212373599999999</v>
      </c>
      <c r="G1200">
        <v>78.816726130000006</v>
      </c>
      <c r="H1200">
        <v>132.28976539999999</v>
      </c>
      <c r="I1200">
        <v>7.0916389520000003</v>
      </c>
      <c r="J1200">
        <v>15.176916350000001</v>
      </c>
      <c r="K1200">
        <v>13.115</v>
      </c>
      <c r="L1200">
        <v>11.923999999999999</v>
      </c>
      <c r="M1200">
        <v>20.17798384</v>
      </c>
      <c r="N1200">
        <v>56.724000750000002</v>
      </c>
      <c r="O1200">
        <v>0.27365313200000002</v>
      </c>
      <c r="P1200">
        <v>188.828</v>
      </c>
      <c r="Q1200">
        <v>148.18799999999999</v>
      </c>
      <c r="R1200">
        <v>65.081000000000003</v>
      </c>
      <c r="S1200">
        <v>2.7008706E-2</v>
      </c>
      <c r="T1200">
        <v>3.617</v>
      </c>
      <c r="U1200">
        <v>58.088999999999999</v>
      </c>
      <c r="V1200" s="1" t="str">
        <f>IF(Energy_data_1990___2020[[#This Row],[CO2 emissions from fuel combustion (MtCO2)]]&gt;Energy_data_1990___2020[[#Totals],[CO2 emissions from fuel combustion (MtCO2)]],"Above Average","")</f>
        <v/>
      </c>
      <c r="W1200" s="1">
        <f>SUM(Energy_data_1990___2020[[#This Row],[Coal and lignite production (Mt)]]-Energy_data_1990___2020[[#This Row],[Coal and lignite domestic consumption (Mt)]])</f>
        <v>-6.9920000000000044</v>
      </c>
    </row>
    <row r="1201" spans="1:23">
      <c r="A1201" t="s">
        <v>68</v>
      </c>
      <c r="B1201">
        <v>2011</v>
      </c>
      <c r="C1201" t="s">
        <v>30</v>
      </c>
      <c r="D1201">
        <v>290.81447229999998</v>
      </c>
      <c r="E1201">
        <v>2.2999308420000002</v>
      </c>
      <c r="F1201">
        <v>0.57040016900000001</v>
      </c>
      <c r="G1201">
        <v>85.571862400000001</v>
      </c>
      <c r="H1201">
        <v>126.4448769</v>
      </c>
      <c r="I1201">
        <v>5.7451217760000004</v>
      </c>
      <c r="J1201">
        <v>15.371848330000001</v>
      </c>
      <c r="K1201">
        <v>12.968</v>
      </c>
      <c r="L1201">
        <v>9.6340000000000003</v>
      </c>
      <c r="M1201">
        <v>20.30199824</v>
      </c>
      <c r="N1201">
        <v>58.401075079999998</v>
      </c>
      <c r="O1201">
        <v>0.248007531</v>
      </c>
      <c r="P1201">
        <v>194.94800000000001</v>
      </c>
      <c r="Q1201">
        <v>152.084</v>
      </c>
      <c r="R1201">
        <v>71.09</v>
      </c>
      <c r="S1201">
        <v>6.1554876000000001E-2</v>
      </c>
      <c r="T1201">
        <v>3.4359999999999999</v>
      </c>
      <c r="U1201">
        <v>70.179000000000002</v>
      </c>
      <c r="V1201" s="1" t="str">
        <f>IF(Energy_data_1990___2020[[#This Row],[CO2 emissions from fuel combustion (MtCO2)]]&gt;Energy_data_1990___2020[[#Totals],[CO2 emissions from fuel combustion (MtCO2)]],"Above Average","")</f>
        <v/>
      </c>
      <c r="W1201" s="1">
        <f>SUM(Energy_data_1990___2020[[#This Row],[Coal and lignite production (Mt)]]-Energy_data_1990___2020[[#This Row],[Coal and lignite domestic consumption (Mt)]])</f>
        <v>-0.91100000000000136</v>
      </c>
    </row>
    <row r="1202" spans="1:23">
      <c r="A1202" t="s">
        <v>68</v>
      </c>
      <c r="B1202">
        <v>2012</v>
      </c>
      <c r="C1202" t="s">
        <v>30</v>
      </c>
      <c r="D1202">
        <v>285.1153746</v>
      </c>
      <c r="E1202">
        <v>2.3293512870000002</v>
      </c>
      <c r="F1202">
        <v>0.55789044399999999</v>
      </c>
      <c r="G1202">
        <v>85.277586040000003</v>
      </c>
      <c r="H1202">
        <v>122.4011922</v>
      </c>
      <c r="I1202">
        <v>5.907641871</v>
      </c>
      <c r="J1202">
        <v>15.62468715</v>
      </c>
      <c r="K1202">
        <v>12.734999999999999</v>
      </c>
      <c r="L1202">
        <v>5.1340000000000003</v>
      </c>
      <c r="M1202">
        <v>20.14800224</v>
      </c>
      <c r="N1202">
        <v>53.451937229999999</v>
      </c>
      <c r="O1202">
        <v>0.23950464099999999</v>
      </c>
      <c r="P1202">
        <v>198.87799999999999</v>
      </c>
      <c r="Q1202">
        <v>149.81700000000001</v>
      </c>
      <c r="R1202">
        <v>71.52</v>
      </c>
      <c r="S1202">
        <v>0.312251732</v>
      </c>
      <c r="T1202">
        <v>3.4609999999999999</v>
      </c>
      <c r="U1202">
        <v>68.12</v>
      </c>
      <c r="V1202" s="1" t="str">
        <f>IF(Energy_data_1990___2020[[#This Row],[CO2 emissions from fuel combustion (MtCO2)]]&gt;Energy_data_1990___2020[[#Totals],[CO2 emissions from fuel combustion (MtCO2)]],"Above Average","")</f>
        <v/>
      </c>
      <c r="W1202" s="1">
        <f>SUM(Energy_data_1990___2020[[#This Row],[Coal and lignite production (Mt)]]-Energy_data_1990___2020[[#This Row],[Coal and lignite domestic consumption (Mt)]])</f>
        <v>-3.3999999999999915</v>
      </c>
    </row>
    <row r="1203" spans="1:23">
      <c r="A1203" t="s">
        <v>68</v>
      </c>
      <c r="B1203">
        <v>2013</v>
      </c>
      <c r="C1203" t="s">
        <v>30</v>
      </c>
      <c r="D1203">
        <v>273.98627570000002</v>
      </c>
      <c r="E1203">
        <v>2.3607599779999999</v>
      </c>
      <c r="F1203">
        <v>0.53625727300000003</v>
      </c>
      <c r="G1203">
        <v>86.239986020000003</v>
      </c>
      <c r="H1203">
        <v>116.05850580000001</v>
      </c>
      <c r="I1203">
        <v>8.1192733710000002</v>
      </c>
      <c r="J1203">
        <v>16.186026600000002</v>
      </c>
      <c r="K1203">
        <v>12.193</v>
      </c>
      <c r="L1203">
        <v>4.1829999999999998</v>
      </c>
      <c r="M1203">
        <v>20.956970599999998</v>
      </c>
      <c r="N1203">
        <v>49.488019659999999</v>
      </c>
      <c r="O1203">
        <v>0.227154509</v>
      </c>
      <c r="P1203">
        <v>194.37700000000001</v>
      </c>
      <c r="Q1203">
        <v>147.505</v>
      </c>
      <c r="R1203">
        <v>70.489000000000004</v>
      </c>
      <c r="S1203">
        <v>0.62198716899999995</v>
      </c>
      <c r="T1203">
        <v>3.2189999999999999</v>
      </c>
      <c r="U1203">
        <v>69.477000000000004</v>
      </c>
      <c r="V1203" s="1" t="str">
        <f>IF(Energy_data_1990___2020[[#This Row],[CO2 emissions from fuel combustion (MtCO2)]]&gt;Energy_data_1990___2020[[#Totals],[CO2 emissions from fuel combustion (MtCO2)]],"Above Average","")</f>
        <v/>
      </c>
      <c r="W1203" s="1">
        <f>SUM(Energy_data_1990___2020[[#This Row],[Coal and lignite production (Mt)]]-Energy_data_1990___2020[[#This Row],[Coal and lignite domestic consumption (Mt)]])</f>
        <v>-1.0120000000000005</v>
      </c>
    </row>
    <row r="1204" spans="1:23">
      <c r="A1204" t="s">
        <v>68</v>
      </c>
      <c r="B1204">
        <v>2014</v>
      </c>
      <c r="C1204" t="s">
        <v>30</v>
      </c>
      <c r="D1204">
        <v>231.1547109</v>
      </c>
      <c r="E1204">
        <v>2.1883473329999998</v>
      </c>
      <c r="F1204">
        <v>0.48415007199999999</v>
      </c>
      <c r="G1204">
        <v>77.270187379999996</v>
      </c>
      <c r="H1204">
        <v>105.6298091</v>
      </c>
      <c r="I1204">
        <v>6.0223829159999998</v>
      </c>
      <c r="J1204">
        <v>17.40812167</v>
      </c>
      <c r="K1204">
        <v>10.500999999999999</v>
      </c>
      <c r="L1204">
        <v>3.3959999999999999</v>
      </c>
      <c r="M1204">
        <v>19.735978899999999</v>
      </c>
      <c r="N1204">
        <v>41.026963510000002</v>
      </c>
      <c r="O1204">
        <v>0.22124004899999999</v>
      </c>
      <c r="P1204">
        <v>182.81800000000001</v>
      </c>
      <c r="Q1204">
        <v>133.857</v>
      </c>
      <c r="R1204">
        <v>61.398000000000003</v>
      </c>
      <c r="S1204">
        <v>0.85276066900000003</v>
      </c>
      <c r="T1204">
        <v>2.8759999999999999</v>
      </c>
      <c r="U1204">
        <v>56.465000000000003</v>
      </c>
      <c r="V1204" s="1" t="str">
        <f>IF(Energy_data_1990___2020[[#This Row],[CO2 emissions from fuel combustion (MtCO2)]]&gt;Energy_data_1990___2020[[#Totals],[CO2 emissions from fuel combustion (MtCO2)]],"Above Average","")</f>
        <v/>
      </c>
      <c r="W1204" s="1">
        <f>SUM(Energy_data_1990___2020[[#This Row],[Coal and lignite production (Mt)]]-Energy_data_1990___2020[[#This Row],[Coal and lignite domestic consumption (Mt)]])</f>
        <v>-4.9329999999999998</v>
      </c>
    </row>
    <row r="1205" spans="1:23">
      <c r="A1205" t="s">
        <v>68</v>
      </c>
      <c r="B1205">
        <v>2015</v>
      </c>
      <c r="C1205" t="s">
        <v>30</v>
      </c>
      <c r="D1205">
        <v>191.6828342</v>
      </c>
      <c r="E1205">
        <v>2.0658051980000001</v>
      </c>
      <c r="F1205">
        <v>0.44496292999999998</v>
      </c>
      <c r="G1205">
        <v>64.414744959999993</v>
      </c>
      <c r="H1205">
        <v>92.788436379999993</v>
      </c>
      <c r="I1205">
        <v>5.3011326839999997</v>
      </c>
      <c r="J1205">
        <v>19.117088249999998</v>
      </c>
      <c r="K1205">
        <v>9.859</v>
      </c>
      <c r="L1205">
        <v>2.9140000000000001</v>
      </c>
      <c r="M1205">
        <v>19.516980879999998</v>
      </c>
      <c r="N1205">
        <v>33.120018610000002</v>
      </c>
      <c r="O1205">
        <v>0.215394428</v>
      </c>
      <c r="P1205">
        <v>163.68199999999999</v>
      </c>
      <c r="Q1205">
        <v>124.45</v>
      </c>
      <c r="R1205">
        <v>52.082999999999998</v>
      </c>
      <c r="S1205">
        <v>0.95367847400000005</v>
      </c>
      <c r="T1205">
        <v>2.6640000000000001</v>
      </c>
      <c r="U1205">
        <v>35.448999999999998</v>
      </c>
      <c r="V1205" s="1" t="str">
        <f>IF(Energy_data_1990___2020[[#This Row],[CO2 emissions from fuel combustion (MtCO2)]]&gt;Energy_data_1990___2020[[#Totals],[CO2 emissions from fuel combustion (MtCO2)]],"Above Average","")</f>
        <v/>
      </c>
      <c r="W1205" s="1">
        <f>SUM(Energy_data_1990___2020[[#This Row],[Coal and lignite production (Mt)]]-Energy_data_1990___2020[[#This Row],[Coal and lignite domestic consumption (Mt)]])</f>
        <v>-16.634</v>
      </c>
    </row>
    <row r="1206" spans="1:23">
      <c r="A1206" t="s">
        <v>68</v>
      </c>
      <c r="B1206">
        <v>2016</v>
      </c>
      <c r="C1206" t="s">
        <v>30</v>
      </c>
      <c r="D1206">
        <v>192.2639715</v>
      </c>
      <c r="E1206">
        <v>2.1010907959999998</v>
      </c>
      <c r="F1206">
        <v>0.43567709799999998</v>
      </c>
      <c r="G1206">
        <v>63.450694749999997</v>
      </c>
      <c r="H1206">
        <v>91.506741120000001</v>
      </c>
      <c r="I1206">
        <v>6.6140861500000003</v>
      </c>
      <c r="J1206">
        <v>18.410597840000001</v>
      </c>
      <c r="K1206">
        <v>10.805999999999999</v>
      </c>
      <c r="L1206">
        <v>3.153</v>
      </c>
      <c r="M1206">
        <v>19.704974150000002</v>
      </c>
      <c r="N1206">
        <v>32.171002340000001</v>
      </c>
      <c r="O1206">
        <v>0.20735757799999999</v>
      </c>
      <c r="P1206">
        <v>164.57300000000001</v>
      </c>
      <c r="Q1206">
        <v>123.624</v>
      </c>
      <c r="R1206">
        <v>51.884</v>
      </c>
      <c r="S1206">
        <v>0.87802981000000002</v>
      </c>
      <c r="T1206">
        <v>2.2949999999999999</v>
      </c>
      <c r="U1206">
        <v>36.414999999999999</v>
      </c>
      <c r="V1206" s="1" t="str">
        <f>IF(Energy_data_1990___2020[[#This Row],[CO2 emissions from fuel combustion (MtCO2)]]&gt;Energy_data_1990___2020[[#Totals],[CO2 emissions from fuel combustion (MtCO2)]],"Above Average","")</f>
        <v/>
      </c>
      <c r="W1206" s="1">
        <f>SUM(Energy_data_1990___2020[[#This Row],[Coal and lignite production (Mt)]]-Energy_data_1990___2020[[#This Row],[Coal and lignite domestic consumption (Mt)]])</f>
        <v>-15.469000000000001</v>
      </c>
    </row>
    <row r="1207" spans="1:23">
      <c r="A1207" t="s">
        <v>68</v>
      </c>
      <c r="B1207">
        <v>2017</v>
      </c>
      <c r="C1207" t="s">
        <v>30</v>
      </c>
      <c r="D1207">
        <v>176.68342250000001</v>
      </c>
      <c r="E1207">
        <v>1.9761643419999999</v>
      </c>
      <c r="F1207">
        <v>0.390735271</v>
      </c>
      <c r="G1207">
        <v>58.814945520000002</v>
      </c>
      <c r="H1207">
        <v>89.40725157</v>
      </c>
      <c r="I1207">
        <v>7.9797174489999998</v>
      </c>
      <c r="J1207">
        <v>19.364231650000001</v>
      </c>
      <c r="K1207">
        <v>10.241</v>
      </c>
      <c r="L1207">
        <v>2.9569999999999999</v>
      </c>
      <c r="M1207">
        <v>20.16002263</v>
      </c>
      <c r="N1207">
        <v>30.96397558</v>
      </c>
      <c r="O1207">
        <v>0.197724077</v>
      </c>
      <c r="P1207">
        <v>156.03559999999999</v>
      </c>
      <c r="Q1207">
        <v>121.3686</v>
      </c>
      <c r="R1207">
        <v>44.5809</v>
      </c>
      <c r="S1207">
        <v>1.1035302199999999</v>
      </c>
      <c r="T1207">
        <v>2.2930000000000001</v>
      </c>
      <c r="U1207">
        <v>24.8188</v>
      </c>
      <c r="V1207" s="1" t="str">
        <f>IF(Energy_data_1990___2020[[#This Row],[CO2 emissions from fuel combustion (MtCO2)]]&gt;Energy_data_1990___2020[[#Totals],[CO2 emissions from fuel combustion (MtCO2)]],"Above Average","")</f>
        <v/>
      </c>
      <c r="W1207" s="1">
        <f>SUM(Energy_data_1990___2020[[#This Row],[Coal and lignite production (Mt)]]-Energy_data_1990___2020[[#This Row],[Coal and lignite domestic consumption (Mt)]])</f>
        <v>-19.7621</v>
      </c>
    </row>
    <row r="1208" spans="1:23">
      <c r="A1208" t="s">
        <v>68</v>
      </c>
      <c r="B1208">
        <v>2018</v>
      </c>
      <c r="C1208" t="s">
        <v>30</v>
      </c>
      <c r="D1208">
        <v>187.70378819999999</v>
      </c>
      <c r="E1208">
        <v>2.0080938310000001</v>
      </c>
      <c r="F1208">
        <v>0.40170787899999999</v>
      </c>
      <c r="G1208">
        <v>60.864260539999997</v>
      </c>
      <c r="H1208">
        <v>93.473614249999997</v>
      </c>
      <c r="I1208">
        <v>9.1353420150000009</v>
      </c>
      <c r="J1208">
        <v>18.97919757</v>
      </c>
      <c r="K1208">
        <v>10.543900000000001</v>
      </c>
      <c r="L1208">
        <v>2.4588000000000001</v>
      </c>
      <c r="M1208">
        <v>20.451314329999999</v>
      </c>
      <c r="N1208">
        <v>31.084395099999998</v>
      </c>
      <c r="O1208">
        <v>0.200044377</v>
      </c>
      <c r="P1208">
        <v>159.8528</v>
      </c>
      <c r="Q1208">
        <v>122.455</v>
      </c>
      <c r="R1208">
        <v>49.4315</v>
      </c>
      <c r="S1208">
        <v>1.436258858</v>
      </c>
      <c r="T1208">
        <v>2.4626579999999998</v>
      </c>
      <c r="U1208">
        <v>26.970700000000001</v>
      </c>
      <c r="V1208" s="1" t="str">
        <f>IF(Energy_data_1990___2020[[#This Row],[CO2 emissions from fuel combustion (MtCO2)]]&gt;Energy_data_1990___2020[[#Totals],[CO2 emissions from fuel combustion (MtCO2)]],"Above Average","")</f>
        <v/>
      </c>
      <c r="W1208" s="1">
        <f>SUM(Energy_data_1990___2020[[#This Row],[Coal and lignite production (Mt)]]-Energy_data_1990___2020[[#This Row],[Coal and lignite domestic consumption (Mt)]])</f>
        <v>-22.460799999999999</v>
      </c>
    </row>
    <row r="1209" spans="1:23">
      <c r="A1209" t="s">
        <v>68</v>
      </c>
      <c r="B1209">
        <v>2019</v>
      </c>
      <c r="C1209" t="s">
        <v>30</v>
      </c>
      <c r="D1209">
        <v>174.41399079999999</v>
      </c>
      <c r="E1209">
        <v>1.951738601</v>
      </c>
      <c r="F1209">
        <v>0.36157640600000002</v>
      </c>
      <c r="G1209">
        <v>61.357769419999997</v>
      </c>
      <c r="H1209">
        <v>89.363396690000002</v>
      </c>
      <c r="I1209">
        <v>7.1233086989999999</v>
      </c>
      <c r="J1209">
        <v>19.595629559999999</v>
      </c>
      <c r="K1209">
        <v>10.587386260000001</v>
      </c>
      <c r="L1209">
        <v>1.2726051650000001</v>
      </c>
      <c r="M1209">
        <v>20.241415549999999</v>
      </c>
      <c r="N1209">
        <v>27.535574990000001</v>
      </c>
      <c r="O1209">
        <v>0.18525862300000001</v>
      </c>
      <c r="P1209">
        <v>152.0653868</v>
      </c>
      <c r="Q1209">
        <v>119.516768</v>
      </c>
      <c r="R1209">
        <v>45.507460309999999</v>
      </c>
      <c r="S1209">
        <v>1.9881979869999999</v>
      </c>
      <c r="T1209">
        <v>2.6063996669999998</v>
      </c>
      <c r="U1209">
        <v>26.328683340000001</v>
      </c>
      <c r="V1209" s="1" t="str">
        <f>IF(Energy_data_1990___2020[[#This Row],[CO2 emissions from fuel combustion (MtCO2)]]&gt;Energy_data_1990___2020[[#Totals],[CO2 emissions from fuel combustion (MtCO2)]],"Above Average","")</f>
        <v/>
      </c>
      <c r="W1209" s="1">
        <f>SUM(Energy_data_1990___2020[[#This Row],[Coal and lignite production (Mt)]]-Energy_data_1990___2020[[#This Row],[Coal and lignite domestic consumption (Mt)]])</f>
        <v>-19.178776969999998</v>
      </c>
    </row>
    <row r="1210" spans="1:23">
      <c r="A1210" t="s">
        <v>68</v>
      </c>
      <c r="B1210">
        <v>2020</v>
      </c>
      <c r="C1210" t="s">
        <v>30</v>
      </c>
      <c r="D1210">
        <v>169.71988959999999</v>
      </c>
      <c r="E1210">
        <v>1.9642359730000001</v>
      </c>
      <c r="F1210">
        <v>0.37914342400000001</v>
      </c>
      <c r="G1210">
        <v>57.264391699999997</v>
      </c>
      <c r="H1210">
        <v>86.405040889999995</v>
      </c>
      <c r="I1210">
        <v>8.3595361570000009</v>
      </c>
      <c r="J1210">
        <v>19.36362325</v>
      </c>
      <c r="K1210">
        <v>10.41475805</v>
      </c>
      <c r="L1210">
        <v>1.1832332889999999</v>
      </c>
      <c r="M1210">
        <v>19.813987359999999</v>
      </c>
      <c r="N1210">
        <v>28.974824659999999</v>
      </c>
      <c r="O1210">
        <v>0.19302335800000001</v>
      </c>
      <c r="P1210">
        <v>142.8899984</v>
      </c>
      <c r="Q1210">
        <v>116.4970036</v>
      </c>
      <c r="R1210">
        <v>42.358519049999998</v>
      </c>
      <c r="S1210">
        <v>3.0741460350000001</v>
      </c>
      <c r="T1210">
        <v>2.5732039439999999</v>
      </c>
      <c r="U1210">
        <v>24.303095110000001</v>
      </c>
      <c r="V1210" s="1" t="str">
        <f>IF(Energy_data_1990___2020[[#This Row],[CO2 emissions from fuel combustion (MtCO2)]]&gt;Energy_data_1990___2020[[#Totals],[CO2 emissions from fuel combustion (MtCO2)]],"Above Average","")</f>
        <v/>
      </c>
      <c r="W1210" s="1">
        <f>SUM(Energy_data_1990___2020[[#This Row],[Coal and lignite production (Mt)]]-Energy_data_1990___2020[[#This Row],[Coal and lignite domestic consumption (Mt)]])</f>
        <v>-18.055423939999997</v>
      </c>
    </row>
    <row r="1211" spans="1:23">
      <c r="A1211" t="s">
        <v>69</v>
      </c>
      <c r="B1211">
        <v>1990</v>
      </c>
      <c r="C1211" t="s">
        <v>39</v>
      </c>
      <c r="D1211">
        <v>52.123659410000002</v>
      </c>
      <c r="E1211">
        <v>2.5565319209999999</v>
      </c>
      <c r="F1211">
        <v>0.25932364000000002</v>
      </c>
      <c r="G1211">
        <v>110.2026743</v>
      </c>
      <c r="H1211">
        <v>20.388425030000001</v>
      </c>
      <c r="I1211">
        <v>0</v>
      </c>
      <c r="J1211">
        <v>7.6200284519999997</v>
      </c>
      <c r="K1211">
        <v>6.3259999999999996</v>
      </c>
      <c r="L1211">
        <v>10.316000000000001</v>
      </c>
      <c r="M1211">
        <v>20.11</v>
      </c>
      <c r="N1211">
        <v>16.91</v>
      </c>
      <c r="O1211">
        <v>0.101435714</v>
      </c>
      <c r="P1211">
        <v>17.079999999999998</v>
      </c>
      <c r="Q1211">
        <v>14.347</v>
      </c>
      <c r="R1211">
        <v>0</v>
      </c>
      <c r="S1211">
        <v>0</v>
      </c>
      <c r="T1211">
        <v>91.692999999999998</v>
      </c>
      <c r="V1211" s="1" t="str">
        <f>IF(Energy_data_1990___2020[[#This Row],[CO2 emissions from fuel combustion (MtCO2)]]&gt;Energy_data_1990___2020[[#Totals],[CO2 emissions from fuel combustion (MtCO2)]],"Above Average","")</f>
        <v/>
      </c>
      <c r="W1211" s="1">
        <f>SUM(Energy_data_1990___2020[[#This Row],[Coal and lignite production (Mt)]]-Energy_data_1990___2020[[#This Row],[Coal and lignite domestic consumption (Mt)]])</f>
        <v>0</v>
      </c>
    </row>
    <row r="1212" spans="1:23">
      <c r="A1212" t="s">
        <v>69</v>
      </c>
      <c r="B1212">
        <v>1991</v>
      </c>
      <c r="C1212" t="s">
        <v>39</v>
      </c>
      <c r="D1212">
        <v>59.443098790000001</v>
      </c>
      <c r="E1212">
        <v>2.5340643360000001</v>
      </c>
      <c r="F1212">
        <v>0.29321712799999999</v>
      </c>
      <c r="G1212">
        <v>127.29188600000001</v>
      </c>
      <c r="H1212">
        <v>23.457612319999999</v>
      </c>
      <c r="I1212">
        <v>0</v>
      </c>
      <c r="J1212">
        <v>6.5230972390000002</v>
      </c>
      <c r="K1212">
        <v>6.5369999999999999</v>
      </c>
      <c r="L1212">
        <v>11.151999999999999</v>
      </c>
      <c r="M1212">
        <v>23.81</v>
      </c>
      <c r="N1212">
        <v>20.36</v>
      </c>
      <c r="O1212">
        <v>0.11571021500000001</v>
      </c>
      <c r="P1212">
        <v>17.350999999999999</v>
      </c>
      <c r="Q1212">
        <v>14.574999999999999</v>
      </c>
      <c r="R1212">
        <v>0</v>
      </c>
      <c r="S1212">
        <v>0</v>
      </c>
      <c r="T1212">
        <v>105.43300000000001</v>
      </c>
      <c r="V1212" s="1" t="str">
        <f>IF(Energy_data_1990___2020[[#This Row],[CO2 emissions from fuel combustion (MtCO2)]]&gt;Energy_data_1990___2020[[#Totals],[CO2 emissions from fuel combustion (MtCO2)]],"Above Average","")</f>
        <v/>
      </c>
      <c r="W1212" s="1">
        <f>SUM(Energy_data_1990___2020[[#This Row],[Coal and lignite production (Mt)]]-Energy_data_1990___2020[[#This Row],[Coal and lignite domestic consumption (Mt)]])</f>
        <v>0</v>
      </c>
    </row>
    <row r="1213" spans="1:23">
      <c r="A1213" t="s">
        <v>69</v>
      </c>
      <c r="B1213">
        <v>1992</v>
      </c>
      <c r="C1213" t="s">
        <v>39</v>
      </c>
      <c r="D1213">
        <v>56.898601960000001</v>
      </c>
      <c r="E1213">
        <v>2.5472078730000001</v>
      </c>
      <c r="F1213">
        <v>0.27158154299999998</v>
      </c>
      <c r="G1213">
        <v>133.9663195</v>
      </c>
      <c r="H1213">
        <v>22.33763587</v>
      </c>
      <c r="I1213">
        <v>0</v>
      </c>
      <c r="J1213">
        <v>7.5656399920000004</v>
      </c>
      <c r="K1213">
        <v>6.8</v>
      </c>
      <c r="L1213">
        <v>12.113</v>
      </c>
      <c r="M1213">
        <v>22.17</v>
      </c>
      <c r="N1213">
        <v>18.75</v>
      </c>
      <c r="O1213">
        <v>0.106619309</v>
      </c>
      <c r="P1213">
        <v>18.689</v>
      </c>
      <c r="Q1213">
        <v>15.699</v>
      </c>
      <c r="R1213">
        <v>0</v>
      </c>
      <c r="S1213">
        <v>0</v>
      </c>
      <c r="T1213">
        <v>113.34</v>
      </c>
      <c r="V1213" s="1" t="str">
        <f>IF(Energy_data_1990___2020[[#This Row],[CO2 emissions from fuel combustion (MtCO2)]]&gt;Energy_data_1990___2020[[#Totals],[CO2 emissions from fuel combustion (MtCO2)]],"Above Average","")</f>
        <v/>
      </c>
      <c r="W1213" s="1">
        <f>SUM(Energy_data_1990___2020[[#This Row],[Coal and lignite production (Mt)]]-Energy_data_1990___2020[[#This Row],[Coal and lignite domestic consumption (Mt)]])</f>
        <v>0</v>
      </c>
    </row>
    <row r="1214" spans="1:23">
      <c r="A1214" t="s">
        <v>69</v>
      </c>
      <c r="B1214">
        <v>1993</v>
      </c>
      <c r="C1214" t="s">
        <v>39</v>
      </c>
      <c r="D1214">
        <v>60.356952</v>
      </c>
      <c r="E1214">
        <v>2.5691010639999998</v>
      </c>
      <c r="F1214">
        <v>0.284500429</v>
      </c>
      <c r="G1214">
        <v>131.29131169999999</v>
      </c>
      <c r="H1214">
        <v>23.49341287</v>
      </c>
      <c r="I1214">
        <v>0</v>
      </c>
      <c r="J1214">
        <v>8.514961478</v>
      </c>
      <c r="K1214">
        <v>7.2679999999999998</v>
      </c>
      <c r="L1214">
        <v>12.23</v>
      </c>
      <c r="M1214">
        <v>22.99</v>
      </c>
      <c r="N1214">
        <v>19.64</v>
      </c>
      <c r="O1214">
        <v>0.11073929</v>
      </c>
      <c r="P1214">
        <v>21.73</v>
      </c>
      <c r="Q1214">
        <v>18.253</v>
      </c>
      <c r="R1214">
        <v>0</v>
      </c>
      <c r="S1214">
        <v>0</v>
      </c>
      <c r="T1214">
        <v>110.03700000000001</v>
      </c>
      <c r="V1214" s="1" t="str">
        <f>IF(Energy_data_1990___2020[[#This Row],[CO2 emissions from fuel combustion (MtCO2)]]&gt;Energy_data_1990___2020[[#Totals],[CO2 emissions from fuel combustion (MtCO2)]],"Above Average","")</f>
        <v/>
      </c>
      <c r="W1214" s="1">
        <f>SUM(Energy_data_1990___2020[[#This Row],[Coal and lignite production (Mt)]]-Energy_data_1990___2020[[#This Row],[Coal and lignite domestic consumption (Mt)]])</f>
        <v>0</v>
      </c>
    </row>
    <row r="1215" spans="1:23">
      <c r="A1215" t="s">
        <v>69</v>
      </c>
      <c r="B1215">
        <v>1994</v>
      </c>
      <c r="C1215" t="s">
        <v>39</v>
      </c>
      <c r="D1215">
        <v>66.340529029999999</v>
      </c>
      <c r="E1215">
        <v>2.5490727980000001</v>
      </c>
      <c r="F1215">
        <v>0.29253140599999999</v>
      </c>
      <c r="G1215">
        <v>133.5706587</v>
      </c>
      <c r="H1215">
        <v>26.025356779999999</v>
      </c>
      <c r="I1215">
        <v>0</v>
      </c>
      <c r="J1215">
        <v>8.4503769070000008</v>
      </c>
      <c r="K1215">
        <v>7.1139999999999999</v>
      </c>
      <c r="L1215">
        <v>12.026</v>
      </c>
      <c r="M1215">
        <v>26.86</v>
      </c>
      <c r="N1215">
        <v>22.707028340000001</v>
      </c>
      <c r="O1215">
        <v>0.114759926</v>
      </c>
      <c r="P1215">
        <v>23.736000000000001</v>
      </c>
      <c r="Q1215">
        <v>19.937999999999999</v>
      </c>
      <c r="R1215">
        <v>0</v>
      </c>
      <c r="S1215">
        <v>0</v>
      </c>
      <c r="T1215">
        <v>109.089</v>
      </c>
      <c r="V1215" s="1" t="str">
        <f>IF(Energy_data_1990___2020[[#This Row],[CO2 emissions from fuel combustion (MtCO2)]]&gt;Energy_data_1990___2020[[#Totals],[CO2 emissions from fuel combustion (MtCO2)]],"Above Average","")</f>
        <v/>
      </c>
      <c r="W1215" s="1">
        <f>SUM(Energy_data_1990___2020[[#This Row],[Coal and lignite production (Mt)]]-Energy_data_1990___2020[[#This Row],[Coal and lignite domestic consumption (Mt)]])</f>
        <v>0</v>
      </c>
    </row>
    <row r="1216" spans="1:23">
      <c r="A1216" t="s">
        <v>69</v>
      </c>
      <c r="B1216">
        <v>1995</v>
      </c>
      <c r="C1216" t="s">
        <v>39</v>
      </c>
      <c r="D1216">
        <v>70.543074759999996</v>
      </c>
      <c r="E1216">
        <v>2.5503737740000001</v>
      </c>
      <c r="F1216">
        <v>0.291563289</v>
      </c>
      <c r="G1216">
        <v>137.03687170000001</v>
      </c>
      <c r="H1216">
        <v>27.659896549999999</v>
      </c>
      <c r="I1216">
        <v>0</v>
      </c>
      <c r="J1216">
        <v>8.5126133460000002</v>
      </c>
      <c r="K1216">
        <v>7.17</v>
      </c>
      <c r="L1216">
        <v>11.882</v>
      </c>
      <c r="M1216">
        <v>31.32</v>
      </c>
      <c r="N1216">
        <v>24.776988889999998</v>
      </c>
      <c r="O1216">
        <v>0.11432178799999999</v>
      </c>
      <c r="P1216">
        <v>24.981999999999999</v>
      </c>
      <c r="Q1216">
        <v>21.484999999999999</v>
      </c>
      <c r="R1216">
        <v>0</v>
      </c>
      <c r="S1216">
        <v>0</v>
      </c>
      <c r="T1216">
        <v>108.821</v>
      </c>
      <c r="V1216" s="1" t="str">
        <f>IF(Energy_data_1990___2020[[#This Row],[CO2 emissions from fuel combustion (MtCO2)]]&gt;Energy_data_1990___2020[[#Totals],[CO2 emissions from fuel combustion (MtCO2)]],"Above Average","")</f>
        <v/>
      </c>
      <c r="W1216" s="1">
        <f>SUM(Energy_data_1990___2020[[#This Row],[Coal and lignite production (Mt)]]-Energy_data_1990___2020[[#This Row],[Coal and lignite domestic consumption (Mt)]])</f>
        <v>0</v>
      </c>
    </row>
    <row r="1217" spans="1:23">
      <c r="A1217" t="s">
        <v>69</v>
      </c>
      <c r="B1217">
        <v>1996</v>
      </c>
      <c r="C1217" t="s">
        <v>39</v>
      </c>
      <c r="D1217">
        <v>73.664012209999996</v>
      </c>
      <c r="E1217">
        <v>2.5207637250000001</v>
      </c>
      <c r="F1217">
        <v>0.28777609100000001</v>
      </c>
      <c r="G1217">
        <v>140.02301550000001</v>
      </c>
      <c r="H1217">
        <v>29.222894419999999</v>
      </c>
      <c r="I1217">
        <v>0</v>
      </c>
      <c r="J1217">
        <v>8.6120130600000007</v>
      </c>
      <c r="K1217">
        <v>6.7089999999999996</v>
      </c>
      <c r="L1217">
        <v>13.911</v>
      </c>
      <c r="M1217">
        <v>33.799999999999997</v>
      </c>
      <c r="N1217">
        <v>27.136970739999999</v>
      </c>
      <c r="O1217">
        <v>0.114162263</v>
      </c>
      <c r="P1217">
        <v>26.571999999999999</v>
      </c>
      <c r="Q1217">
        <v>22.852</v>
      </c>
      <c r="R1217">
        <v>0</v>
      </c>
      <c r="S1217">
        <v>0</v>
      </c>
      <c r="T1217">
        <v>109.712</v>
      </c>
      <c r="V1217" s="1" t="str">
        <f>IF(Energy_data_1990___2020[[#This Row],[CO2 emissions from fuel combustion (MtCO2)]]&gt;Energy_data_1990___2020[[#Totals],[CO2 emissions from fuel combustion (MtCO2)]],"Above Average","")</f>
        <v/>
      </c>
      <c r="W1217" s="1">
        <f>SUM(Energy_data_1990___2020[[#This Row],[Coal and lignite production (Mt)]]-Energy_data_1990___2020[[#This Row],[Coal and lignite domestic consumption (Mt)]])</f>
        <v>0</v>
      </c>
    </row>
    <row r="1218" spans="1:23">
      <c r="A1218" t="s">
        <v>69</v>
      </c>
      <c r="B1218">
        <v>1997</v>
      </c>
      <c r="C1218" t="s">
        <v>39</v>
      </c>
      <c r="D1218">
        <v>77.589669639999997</v>
      </c>
      <c r="E1218">
        <v>2.516915397</v>
      </c>
      <c r="F1218">
        <v>0.280165414</v>
      </c>
      <c r="G1218">
        <v>147.25188370000001</v>
      </c>
      <c r="H1218">
        <v>30.827285549999999</v>
      </c>
      <c r="I1218">
        <v>0</v>
      </c>
      <c r="J1218">
        <v>9.1382299049999993</v>
      </c>
      <c r="K1218">
        <v>6.806</v>
      </c>
      <c r="L1218">
        <v>13.285</v>
      </c>
      <c r="M1218">
        <v>36.31</v>
      </c>
      <c r="N1218">
        <v>28.987030839999999</v>
      </c>
      <c r="O1218">
        <v>0.11131300399999999</v>
      </c>
      <c r="P1218">
        <v>28.4</v>
      </c>
      <c r="Q1218">
        <v>25.5</v>
      </c>
      <c r="R1218">
        <v>0</v>
      </c>
      <c r="S1218">
        <v>0</v>
      </c>
      <c r="T1218">
        <v>114.746</v>
      </c>
      <c r="V1218" s="1" t="str">
        <f>IF(Energy_data_1990___2020[[#This Row],[CO2 emissions from fuel combustion (MtCO2)]]&gt;Energy_data_1990___2020[[#Totals],[CO2 emissions from fuel combustion (MtCO2)]],"Above Average","")</f>
        <v/>
      </c>
      <c r="W1218" s="1">
        <f>SUM(Energy_data_1990___2020[[#This Row],[Coal and lignite production (Mt)]]-Energy_data_1990___2020[[#This Row],[Coal and lignite domestic consumption (Mt)]])</f>
        <v>0</v>
      </c>
    </row>
    <row r="1219" spans="1:23">
      <c r="A1219" t="s">
        <v>69</v>
      </c>
      <c r="B1219">
        <v>1998</v>
      </c>
      <c r="C1219" t="s">
        <v>39</v>
      </c>
      <c r="D1219">
        <v>79.394829740000006</v>
      </c>
      <c r="E1219">
        <v>2.5168603749999998</v>
      </c>
      <c r="F1219">
        <v>0.28584893099999997</v>
      </c>
      <c r="G1219">
        <v>150.50505150000001</v>
      </c>
      <c r="H1219">
        <v>31.54518642</v>
      </c>
      <c r="I1219">
        <v>0</v>
      </c>
      <c r="J1219">
        <v>10.82054681</v>
      </c>
      <c r="K1219">
        <v>6.9189999999999996</v>
      </c>
      <c r="L1219">
        <v>14.28</v>
      </c>
      <c r="M1219">
        <v>36.549999999999997</v>
      </c>
      <c r="N1219">
        <v>29.907026120000001</v>
      </c>
      <c r="O1219">
        <v>0.113573615</v>
      </c>
      <c r="P1219">
        <v>33.392000000000003</v>
      </c>
      <c r="Q1219">
        <v>30.632999999999999</v>
      </c>
      <c r="R1219">
        <v>0</v>
      </c>
      <c r="S1219">
        <v>0</v>
      </c>
      <c r="T1219">
        <v>117.744</v>
      </c>
      <c r="V1219" s="1" t="str">
        <f>IF(Energy_data_1990___2020[[#This Row],[CO2 emissions from fuel combustion (MtCO2)]]&gt;Energy_data_1990___2020[[#Totals],[CO2 emissions from fuel combustion (MtCO2)]],"Above Average","")</f>
        <v/>
      </c>
      <c r="W1219" s="1">
        <f>SUM(Energy_data_1990___2020[[#This Row],[Coal and lignite production (Mt)]]-Energy_data_1990___2020[[#This Row],[Coal and lignite domestic consumption (Mt)]])</f>
        <v>0</v>
      </c>
    </row>
    <row r="1220" spans="1:23">
      <c r="A1220" t="s">
        <v>69</v>
      </c>
      <c r="B1220">
        <v>1999</v>
      </c>
      <c r="C1220" t="s">
        <v>39</v>
      </c>
      <c r="D1220">
        <v>81.742921420000002</v>
      </c>
      <c r="E1220">
        <v>2.5366580179999998</v>
      </c>
      <c r="F1220">
        <v>0.28600247299999998</v>
      </c>
      <c r="G1220">
        <v>142.33589710000001</v>
      </c>
      <c r="H1220">
        <v>32.224651829999999</v>
      </c>
      <c r="I1220">
        <v>0</v>
      </c>
      <c r="J1220">
        <v>12.49286354</v>
      </c>
      <c r="K1220">
        <v>7</v>
      </c>
      <c r="L1220">
        <v>17.952000000000002</v>
      </c>
      <c r="M1220">
        <v>37.54</v>
      </c>
      <c r="N1220">
        <v>30.90798603</v>
      </c>
      <c r="O1220">
        <v>0.112747746</v>
      </c>
      <c r="P1220">
        <v>37.125999999999998</v>
      </c>
      <c r="Q1220">
        <v>35.765999999999998</v>
      </c>
      <c r="R1220">
        <v>0</v>
      </c>
      <c r="S1220">
        <v>0</v>
      </c>
      <c r="T1220">
        <v>108.904</v>
      </c>
      <c r="V1220" s="1" t="str">
        <f>IF(Energy_data_1990___2020[[#This Row],[CO2 emissions from fuel combustion (MtCO2)]]&gt;Energy_data_1990___2020[[#Totals],[CO2 emissions from fuel combustion (MtCO2)]],"Above Average","")</f>
        <v/>
      </c>
      <c r="W1220" s="1">
        <f>SUM(Energy_data_1990___2020[[#This Row],[Coal and lignite production (Mt)]]-Energy_data_1990___2020[[#This Row],[Coal and lignite domestic consumption (Mt)]])</f>
        <v>0</v>
      </c>
    </row>
    <row r="1221" spans="1:23">
      <c r="A1221" t="s">
        <v>69</v>
      </c>
      <c r="B1221">
        <v>2000</v>
      </c>
      <c r="C1221" t="s">
        <v>39</v>
      </c>
      <c r="D1221">
        <v>80.934064620000001</v>
      </c>
      <c r="E1221">
        <v>2.5715569390000002</v>
      </c>
      <c r="F1221">
        <v>0.255449286</v>
      </c>
      <c r="G1221">
        <v>153.88846319999999</v>
      </c>
      <c r="H1221">
        <v>31.472787319999998</v>
      </c>
      <c r="I1221">
        <v>0</v>
      </c>
      <c r="J1221">
        <v>14.08305554</v>
      </c>
      <c r="K1221">
        <v>7.3819999999999997</v>
      </c>
      <c r="L1221">
        <v>21.041</v>
      </c>
      <c r="M1221">
        <v>36.83</v>
      </c>
      <c r="N1221">
        <v>29.88</v>
      </c>
      <c r="O1221">
        <v>9.9336430000000003E-2</v>
      </c>
      <c r="P1221">
        <v>39.944000000000003</v>
      </c>
      <c r="Q1221">
        <v>37.866</v>
      </c>
      <c r="R1221">
        <v>0</v>
      </c>
      <c r="S1221">
        <v>0</v>
      </c>
      <c r="T1221">
        <v>120.837</v>
      </c>
      <c r="V1221" s="1" t="str">
        <f>IF(Energy_data_1990___2020[[#This Row],[CO2 emissions from fuel combustion (MtCO2)]]&gt;Energy_data_1990___2020[[#Totals],[CO2 emissions from fuel combustion (MtCO2)]],"Above Average","")</f>
        <v/>
      </c>
      <c r="W1221" s="1">
        <f>SUM(Energy_data_1990___2020[[#This Row],[Coal and lignite production (Mt)]]-Energy_data_1990___2020[[#This Row],[Coal and lignite domestic consumption (Mt)]])</f>
        <v>0</v>
      </c>
    </row>
    <row r="1222" spans="1:23">
      <c r="A1222" t="s">
        <v>69</v>
      </c>
      <c r="B1222">
        <v>2001</v>
      </c>
      <c r="C1222" t="s">
        <v>39</v>
      </c>
      <c r="D1222">
        <v>93.866654960000005</v>
      </c>
      <c r="E1222">
        <v>2.3466318899999998</v>
      </c>
      <c r="F1222">
        <v>0.29218010900000002</v>
      </c>
      <c r="G1222">
        <v>155.16710839999999</v>
      </c>
      <c r="H1222">
        <v>40.000587799999998</v>
      </c>
      <c r="I1222">
        <v>0</v>
      </c>
      <c r="J1222">
        <v>12.17418108</v>
      </c>
      <c r="K1222">
        <v>7.8330000000000002</v>
      </c>
      <c r="L1222">
        <v>28.207999999999998</v>
      </c>
      <c r="M1222">
        <v>42.74</v>
      </c>
      <c r="N1222">
        <v>35.659999999999997</v>
      </c>
      <c r="O1222">
        <v>0.124510414</v>
      </c>
      <c r="P1222">
        <v>43.171999999999997</v>
      </c>
      <c r="Q1222">
        <v>38.405999999999999</v>
      </c>
      <c r="R1222">
        <v>0.03</v>
      </c>
      <c r="S1222">
        <v>0</v>
      </c>
      <c r="T1222">
        <v>117.226</v>
      </c>
      <c r="V1222" s="1" t="str">
        <f>IF(Energy_data_1990___2020[[#This Row],[CO2 emissions from fuel combustion (MtCO2)]]&gt;Energy_data_1990___2020[[#Totals],[CO2 emissions from fuel combustion (MtCO2)]],"Above Average","")</f>
        <v/>
      </c>
      <c r="W1222" s="1">
        <f>SUM(Energy_data_1990___2020[[#This Row],[Coal and lignite production (Mt)]]-Energy_data_1990___2020[[#This Row],[Coal and lignite domestic consumption (Mt)]])</f>
        <v>-0.03</v>
      </c>
    </row>
    <row r="1223" spans="1:23">
      <c r="A1223" t="s">
        <v>69</v>
      </c>
      <c r="B1223">
        <v>2002</v>
      </c>
      <c r="C1223" t="s">
        <v>39</v>
      </c>
      <c r="D1223">
        <v>95.693431469999993</v>
      </c>
      <c r="E1223">
        <v>2.42864996</v>
      </c>
      <c r="F1223">
        <v>0.290790092</v>
      </c>
      <c r="G1223">
        <v>148.27249459999999</v>
      </c>
      <c r="H1223">
        <v>39.401903539999999</v>
      </c>
      <c r="I1223">
        <v>0</v>
      </c>
      <c r="J1223">
        <v>13.315544060000001</v>
      </c>
      <c r="K1223">
        <v>8.3849999999999998</v>
      </c>
      <c r="L1223">
        <v>26.917999999999999</v>
      </c>
      <c r="M1223">
        <v>42.54</v>
      </c>
      <c r="N1223">
        <v>35.584963039999998</v>
      </c>
      <c r="O1223">
        <v>0.119733225</v>
      </c>
      <c r="P1223">
        <v>46.856000000000002</v>
      </c>
      <c r="Q1223">
        <v>40.820999999999998</v>
      </c>
      <c r="R1223">
        <v>0.153</v>
      </c>
      <c r="S1223">
        <v>0</v>
      </c>
      <c r="T1223">
        <v>110.61799999999999</v>
      </c>
      <c r="V1223" s="1" t="str">
        <f>IF(Energy_data_1990___2020[[#This Row],[CO2 emissions from fuel combustion (MtCO2)]]&gt;Energy_data_1990___2020[[#Totals],[CO2 emissions from fuel combustion (MtCO2)]],"Above Average","")</f>
        <v/>
      </c>
      <c r="W1223" s="1">
        <f>SUM(Energy_data_1990___2020[[#This Row],[Coal and lignite production (Mt)]]-Energy_data_1990___2020[[#This Row],[Coal and lignite domestic consumption (Mt)]])</f>
        <v>-0.153</v>
      </c>
    </row>
    <row r="1224" spans="1:23">
      <c r="A1224" t="s">
        <v>69</v>
      </c>
      <c r="B1224">
        <v>2003</v>
      </c>
      <c r="C1224" t="s">
        <v>39</v>
      </c>
      <c r="D1224">
        <v>100.0465651</v>
      </c>
      <c r="E1224">
        <v>2.5986386769999998</v>
      </c>
      <c r="F1224">
        <v>0.27942715200000001</v>
      </c>
      <c r="G1224">
        <v>162.30867470000001</v>
      </c>
      <c r="H1224">
        <v>38.499605979999998</v>
      </c>
      <c r="I1224">
        <v>0</v>
      </c>
      <c r="J1224">
        <v>13.98422704</v>
      </c>
      <c r="K1224">
        <v>9.0500000000000007</v>
      </c>
      <c r="L1224">
        <v>26.009</v>
      </c>
      <c r="M1224">
        <v>43.56</v>
      </c>
      <c r="N1224">
        <v>36.644965759999998</v>
      </c>
      <c r="O1224">
        <v>0.107528282</v>
      </c>
      <c r="P1224">
        <v>49.45</v>
      </c>
      <c r="Q1224">
        <v>43.066000000000003</v>
      </c>
      <c r="R1224">
        <v>0.18</v>
      </c>
      <c r="S1224">
        <v>0</v>
      </c>
      <c r="T1224">
        <v>123.566</v>
      </c>
      <c r="V1224" s="1" t="str">
        <f>IF(Energy_data_1990___2020[[#This Row],[CO2 emissions from fuel combustion (MtCO2)]]&gt;Energy_data_1990___2020[[#Totals],[CO2 emissions from fuel combustion (MtCO2)]],"Above Average","")</f>
        <v/>
      </c>
      <c r="W1224" s="1">
        <f>SUM(Energy_data_1990___2020[[#This Row],[Coal and lignite production (Mt)]]-Energy_data_1990___2020[[#This Row],[Coal and lignite domestic consumption (Mt)]])</f>
        <v>-0.18</v>
      </c>
    </row>
    <row r="1225" spans="1:23">
      <c r="A1225" t="s">
        <v>69</v>
      </c>
      <c r="B1225">
        <v>2004</v>
      </c>
      <c r="C1225" t="s">
        <v>39</v>
      </c>
      <c r="D1225">
        <v>106.1617445</v>
      </c>
      <c r="E1225">
        <v>2.537664586</v>
      </c>
      <c r="F1225">
        <v>0.270618156</v>
      </c>
      <c r="G1225">
        <v>170.07379330000001</v>
      </c>
      <c r="H1225">
        <v>41.834427259999998</v>
      </c>
      <c r="I1225">
        <v>0</v>
      </c>
      <c r="J1225">
        <v>15.126834540000001</v>
      </c>
      <c r="K1225">
        <v>9.1669999999999998</v>
      </c>
      <c r="L1225">
        <v>25.795999999999999</v>
      </c>
      <c r="M1225">
        <v>45.04</v>
      </c>
      <c r="N1225">
        <v>39.574001090000003</v>
      </c>
      <c r="O1225">
        <v>0.106640632</v>
      </c>
      <c r="P1225">
        <v>52.417000000000002</v>
      </c>
      <c r="Q1225">
        <v>45.411999999999999</v>
      </c>
      <c r="R1225">
        <v>0.20399999999999999</v>
      </c>
      <c r="S1225">
        <v>0</v>
      </c>
      <c r="T1225">
        <v>129.97499999999999</v>
      </c>
      <c r="V1225" s="1" t="str">
        <f>IF(Energy_data_1990___2020[[#This Row],[CO2 emissions from fuel combustion (MtCO2)]]&gt;Energy_data_1990___2020[[#Totals],[CO2 emissions from fuel combustion (MtCO2)]],"Above Average","")</f>
        <v/>
      </c>
      <c r="W1225" s="1">
        <f>SUM(Energy_data_1990___2020[[#This Row],[Coal and lignite production (Mt)]]-Energy_data_1990___2020[[#This Row],[Coal and lignite domestic consumption (Mt)]])</f>
        <v>-0.20399999999999999</v>
      </c>
    </row>
    <row r="1226" spans="1:23">
      <c r="A1226" t="s">
        <v>69</v>
      </c>
      <c r="B1226">
        <v>2005</v>
      </c>
      <c r="C1226" t="s">
        <v>39</v>
      </c>
      <c r="D1226">
        <v>112.6581657</v>
      </c>
      <c r="E1226">
        <v>2.5328967979999999</v>
      </c>
      <c r="F1226">
        <v>0.27388095299999998</v>
      </c>
      <c r="G1226">
        <v>175.40067740000001</v>
      </c>
      <c r="H1226">
        <v>44.47799285</v>
      </c>
      <c r="I1226">
        <v>0</v>
      </c>
      <c r="J1226">
        <v>16.505933500000001</v>
      </c>
      <c r="K1226">
        <v>9.702</v>
      </c>
      <c r="L1226">
        <v>25.05</v>
      </c>
      <c r="M1226">
        <v>47.79</v>
      </c>
      <c r="N1226">
        <v>42.013994840000002</v>
      </c>
      <c r="O1226">
        <v>0.108129535</v>
      </c>
      <c r="P1226">
        <v>60.698</v>
      </c>
      <c r="Q1226">
        <v>53.128</v>
      </c>
      <c r="R1226">
        <v>0.23599999999999999</v>
      </c>
      <c r="S1226">
        <v>0</v>
      </c>
      <c r="T1226">
        <v>132.94300000000001</v>
      </c>
      <c r="V1226" s="1" t="str">
        <f>IF(Energy_data_1990___2020[[#This Row],[CO2 emissions from fuel combustion (MtCO2)]]&gt;Energy_data_1990___2020[[#Totals],[CO2 emissions from fuel combustion (MtCO2)]],"Above Average","")</f>
        <v/>
      </c>
      <c r="W1226" s="1">
        <f>SUM(Energy_data_1990___2020[[#This Row],[Coal and lignite production (Mt)]]-Energy_data_1990___2020[[#This Row],[Coal and lignite domestic consumption (Mt)]])</f>
        <v>-0.23599999999999999</v>
      </c>
    </row>
    <row r="1227" spans="1:23">
      <c r="A1227" t="s">
        <v>69</v>
      </c>
      <c r="B1227">
        <v>2006</v>
      </c>
      <c r="C1227" t="s">
        <v>39</v>
      </c>
      <c r="D1227">
        <v>116.63527240000001</v>
      </c>
      <c r="E1227">
        <v>2.5238835979999998</v>
      </c>
      <c r="F1227">
        <v>0.25815416499999999</v>
      </c>
      <c r="G1227">
        <v>185.1791025</v>
      </c>
      <c r="H1227">
        <v>46.212619500000002</v>
      </c>
      <c r="I1227">
        <v>0</v>
      </c>
      <c r="J1227">
        <v>17.857859810000001</v>
      </c>
      <c r="K1227">
        <v>10.109</v>
      </c>
      <c r="L1227">
        <v>24.167999999999999</v>
      </c>
      <c r="M1227">
        <v>48.79</v>
      </c>
      <c r="N1227">
        <v>43.07399212</v>
      </c>
      <c r="O1227">
        <v>0.102284497</v>
      </c>
      <c r="P1227">
        <v>66.768000000000001</v>
      </c>
      <c r="Q1227">
        <v>58.26</v>
      </c>
      <c r="R1227">
        <v>0.45700000000000002</v>
      </c>
      <c r="S1227">
        <v>0</v>
      </c>
      <c r="T1227">
        <v>141.72499999999999</v>
      </c>
      <c r="V1227" s="1" t="str">
        <f>IF(Energy_data_1990___2020[[#This Row],[CO2 emissions from fuel combustion (MtCO2)]]&gt;Energy_data_1990___2020[[#Totals],[CO2 emissions from fuel combustion (MtCO2)]],"Above Average","")</f>
        <v/>
      </c>
      <c r="W1227" s="1">
        <f>SUM(Energy_data_1990___2020[[#This Row],[Coal and lignite production (Mt)]]-Energy_data_1990___2020[[#This Row],[Coal and lignite domestic consumption (Mt)]])</f>
        <v>-0.45700000000000002</v>
      </c>
    </row>
    <row r="1228" spans="1:23">
      <c r="A1228" t="s">
        <v>69</v>
      </c>
      <c r="B1228">
        <v>2007</v>
      </c>
      <c r="C1228" t="s">
        <v>39</v>
      </c>
      <c r="D1228">
        <v>125.5880816</v>
      </c>
      <c r="E1228">
        <v>2.503791375</v>
      </c>
      <c r="F1228">
        <v>0.26939135400000003</v>
      </c>
      <c r="G1228">
        <v>183.32170769999999</v>
      </c>
      <c r="H1228">
        <v>50.159163739999997</v>
      </c>
      <c r="I1228">
        <v>0</v>
      </c>
      <c r="J1228">
        <v>18.457532199999999</v>
      </c>
      <c r="K1228">
        <v>10.475</v>
      </c>
      <c r="L1228">
        <v>23.196000000000002</v>
      </c>
      <c r="M1228">
        <v>48.596007200000003</v>
      </c>
      <c r="N1228">
        <v>47.586981440000002</v>
      </c>
      <c r="O1228">
        <v>0.10759337099999999</v>
      </c>
      <c r="P1228">
        <v>78.760999999999996</v>
      </c>
      <c r="Q1228">
        <v>71.149000000000001</v>
      </c>
      <c r="R1228">
        <v>0.22</v>
      </c>
      <c r="S1228">
        <v>0</v>
      </c>
      <c r="T1228">
        <v>140.06</v>
      </c>
      <c r="V1228" s="1" t="str">
        <f>IF(Energy_data_1990___2020[[#This Row],[CO2 emissions from fuel combustion (MtCO2)]]&gt;Energy_data_1990___2020[[#Totals],[CO2 emissions from fuel combustion (MtCO2)]],"Above Average","")</f>
        <v/>
      </c>
      <c r="W1228" s="1">
        <f>SUM(Energy_data_1990___2020[[#This Row],[Coal and lignite production (Mt)]]-Energy_data_1990___2020[[#This Row],[Coal and lignite domestic consumption (Mt)]])</f>
        <v>-0.22</v>
      </c>
    </row>
    <row r="1229" spans="1:23">
      <c r="A1229" t="s">
        <v>69</v>
      </c>
      <c r="B1229">
        <v>2008</v>
      </c>
      <c r="C1229" t="s">
        <v>39</v>
      </c>
      <c r="D1229">
        <v>147.43027609999999</v>
      </c>
      <c r="E1229">
        <v>2.4844958570000002</v>
      </c>
      <c r="F1229">
        <v>0.30646195300000001</v>
      </c>
      <c r="G1229">
        <v>185.57193029999999</v>
      </c>
      <c r="H1229">
        <v>59.34011752</v>
      </c>
      <c r="I1229">
        <v>0</v>
      </c>
      <c r="J1229">
        <v>16.575292910000002</v>
      </c>
      <c r="K1229">
        <v>11.156000000000001</v>
      </c>
      <c r="L1229">
        <v>22.085999999999999</v>
      </c>
      <c r="M1229">
        <v>48.500014100000001</v>
      </c>
      <c r="N1229">
        <v>57.535981049999997</v>
      </c>
      <c r="O1229">
        <v>0.12334975400000001</v>
      </c>
      <c r="P1229">
        <v>80.462999999999994</v>
      </c>
      <c r="Q1229">
        <v>72.686999999999998</v>
      </c>
      <c r="R1229">
        <v>0.55700000000000005</v>
      </c>
      <c r="S1229">
        <v>0</v>
      </c>
      <c r="T1229">
        <v>142.35</v>
      </c>
      <c r="V1229" s="1" t="str">
        <f>IF(Energy_data_1990___2020[[#This Row],[CO2 emissions from fuel combustion (MtCO2)]]&gt;Energy_data_1990___2020[[#Totals],[CO2 emissions from fuel combustion (MtCO2)]],"Above Average","")</f>
        <v/>
      </c>
      <c r="W1229" s="1">
        <f>SUM(Energy_data_1990___2020[[#This Row],[Coal and lignite production (Mt)]]-Energy_data_1990___2020[[#This Row],[Coal and lignite domestic consumption (Mt)]])</f>
        <v>-0.55700000000000005</v>
      </c>
    </row>
    <row r="1230" spans="1:23">
      <c r="A1230" t="s">
        <v>69</v>
      </c>
      <c r="B1230">
        <v>2009</v>
      </c>
      <c r="C1230" t="s">
        <v>39</v>
      </c>
      <c r="D1230">
        <v>149.66993840000001</v>
      </c>
      <c r="E1230">
        <v>2.3551936100000002</v>
      </c>
      <c r="F1230">
        <v>0.32833169200000001</v>
      </c>
      <c r="G1230">
        <v>171.79578050000001</v>
      </c>
      <c r="H1230">
        <v>63.548889459999998</v>
      </c>
      <c r="I1230">
        <v>7.0013300000000001E-3</v>
      </c>
      <c r="J1230">
        <v>15.40664495</v>
      </c>
      <c r="K1230">
        <v>12.67</v>
      </c>
      <c r="L1230">
        <v>23.321000000000002</v>
      </c>
      <c r="M1230">
        <v>47.186055279999998</v>
      </c>
      <c r="N1230">
        <v>57.230046950000002</v>
      </c>
      <c r="O1230">
        <v>0.13940751700000001</v>
      </c>
      <c r="P1230">
        <v>85.697999999999993</v>
      </c>
      <c r="Q1230">
        <v>77.415999999999997</v>
      </c>
      <c r="R1230">
        <v>0.40799999999999997</v>
      </c>
      <c r="S1230">
        <v>7.0013300000000001E-3</v>
      </c>
      <c r="T1230">
        <v>129.899</v>
      </c>
      <c r="V1230" s="1" t="str">
        <f>IF(Energy_data_1990___2020[[#This Row],[CO2 emissions from fuel combustion (MtCO2)]]&gt;Energy_data_1990___2020[[#Totals],[CO2 emissions from fuel combustion (MtCO2)]],"Above Average","")</f>
        <v/>
      </c>
      <c r="W1230" s="1">
        <f>SUM(Energy_data_1990___2020[[#This Row],[Coal and lignite production (Mt)]]-Energy_data_1990___2020[[#This Row],[Coal and lignite domestic consumption (Mt)]])</f>
        <v>-0.40799999999999997</v>
      </c>
    </row>
    <row r="1231" spans="1:23">
      <c r="A1231" t="s">
        <v>69</v>
      </c>
      <c r="B1231">
        <v>2010</v>
      </c>
      <c r="C1231" t="s">
        <v>39</v>
      </c>
      <c r="D1231">
        <v>156.4651867</v>
      </c>
      <c r="E1231">
        <v>2.5512316890000002</v>
      </c>
      <c r="F1231">
        <v>0.33782378899999999</v>
      </c>
      <c r="G1231">
        <v>180.69295650000001</v>
      </c>
      <c r="H1231">
        <v>61.329273780000001</v>
      </c>
      <c r="I1231">
        <v>1.8094923999999998E-2</v>
      </c>
      <c r="J1231">
        <v>15.9962169</v>
      </c>
      <c r="K1231">
        <v>13.179</v>
      </c>
      <c r="L1231">
        <v>27.908000000000001</v>
      </c>
      <c r="M1231">
        <v>51.281987309999998</v>
      </c>
      <c r="N1231">
        <v>60.929982590000002</v>
      </c>
      <c r="O1231">
        <v>0.132415958</v>
      </c>
      <c r="P1231">
        <v>93.948999999999998</v>
      </c>
      <c r="Q1231">
        <v>84.869</v>
      </c>
      <c r="R1231">
        <v>0.97899999999999998</v>
      </c>
      <c r="S1231">
        <v>1.8094923999999998E-2</v>
      </c>
      <c r="T1231">
        <v>136.69499999999999</v>
      </c>
      <c r="V1231" s="1" t="str">
        <f>IF(Energy_data_1990___2020[[#This Row],[CO2 emissions from fuel combustion (MtCO2)]]&gt;Energy_data_1990___2020[[#Totals],[CO2 emissions from fuel combustion (MtCO2)]],"Above Average","")</f>
        <v/>
      </c>
      <c r="W1231" s="1">
        <f>SUM(Energy_data_1990___2020[[#This Row],[Coal and lignite production (Mt)]]-Energy_data_1990___2020[[#This Row],[Coal and lignite domestic consumption (Mt)]])</f>
        <v>-0.97899999999999998</v>
      </c>
    </row>
    <row r="1232" spans="1:23">
      <c r="A1232" t="s">
        <v>69</v>
      </c>
      <c r="B1232">
        <v>2011</v>
      </c>
      <c r="C1232" t="s">
        <v>39</v>
      </c>
      <c r="D1232">
        <v>160.32297650000001</v>
      </c>
      <c r="E1232">
        <v>2.6599762720000002</v>
      </c>
      <c r="F1232">
        <v>0.32371856300000001</v>
      </c>
      <c r="G1232">
        <v>196.67800940000001</v>
      </c>
      <c r="H1232">
        <v>60.272333320000001</v>
      </c>
      <c r="I1232">
        <v>1.8156691999999999E-2</v>
      </c>
      <c r="J1232">
        <v>16.194604900000002</v>
      </c>
      <c r="K1232">
        <v>13.656000000000001</v>
      </c>
      <c r="L1232">
        <v>30.58</v>
      </c>
      <c r="M1232">
        <v>52.307996500000002</v>
      </c>
      <c r="N1232">
        <v>63.04295784</v>
      </c>
      <c r="O1232">
        <v>0.121699793</v>
      </c>
      <c r="P1232">
        <v>99.137</v>
      </c>
      <c r="Q1232">
        <v>89.536000000000001</v>
      </c>
      <c r="R1232">
        <v>0.66300000000000003</v>
      </c>
      <c r="S1232">
        <v>1.8156691999999999E-2</v>
      </c>
      <c r="T1232">
        <v>151.58099999999999</v>
      </c>
      <c r="V1232" s="1" t="str">
        <f>IF(Energy_data_1990___2020[[#This Row],[CO2 emissions from fuel combustion (MtCO2)]]&gt;Energy_data_1990___2020[[#Totals],[CO2 emissions from fuel combustion (MtCO2)]],"Above Average","")</f>
        <v/>
      </c>
      <c r="W1232" s="1">
        <f>SUM(Energy_data_1990___2020[[#This Row],[Coal and lignite production (Mt)]]-Energy_data_1990___2020[[#This Row],[Coal and lignite domestic consumption (Mt)]])</f>
        <v>-0.66300000000000003</v>
      </c>
    </row>
    <row r="1233" spans="1:23">
      <c r="A1233" t="s">
        <v>69</v>
      </c>
      <c r="B1233">
        <v>2012</v>
      </c>
      <c r="C1233" t="s">
        <v>39</v>
      </c>
      <c r="D1233">
        <v>171.05611260000001</v>
      </c>
      <c r="E1233">
        <v>2.6724758089999998</v>
      </c>
      <c r="F1233">
        <v>0.330565893</v>
      </c>
      <c r="G1233">
        <v>206.21055250000001</v>
      </c>
      <c r="H1233">
        <v>64.00660843</v>
      </c>
      <c r="I1233">
        <v>1.7887067E-2</v>
      </c>
      <c r="J1233">
        <v>16.009299240000001</v>
      </c>
      <c r="K1233">
        <v>14.416</v>
      </c>
      <c r="L1233">
        <v>32.136000000000003</v>
      </c>
      <c r="M1233">
        <v>54.300007960000002</v>
      </c>
      <c r="N1233">
        <v>66.21492078</v>
      </c>
      <c r="O1233">
        <v>0.123692754</v>
      </c>
      <c r="P1233">
        <v>106.22199999999999</v>
      </c>
      <c r="Q1233">
        <v>95.923000000000002</v>
      </c>
      <c r="R1233">
        <v>2.09</v>
      </c>
      <c r="S1233">
        <v>1.7887067E-2</v>
      </c>
      <c r="T1233">
        <v>159.36000000000001</v>
      </c>
      <c r="V1233" s="1" t="str">
        <f>IF(Energy_data_1990___2020[[#This Row],[CO2 emissions from fuel combustion (MtCO2)]]&gt;Energy_data_1990___2020[[#Totals],[CO2 emissions from fuel combustion (MtCO2)]],"Above Average","")</f>
        <v/>
      </c>
      <c r="W1233" s="1">
        <f>SUM(Energy_data_1990___2020[[#This Row],[Coal and lignite production (Mt)]]-Energy_data_1990___2020[[#This Row],[Coal and lignite domestic consumption (Mt)]])</f>
        <v>-2.09</v>
      </c>
    </row>
    <row r="1234" spans="1:23">
      <c r="A1234" t="s">
        <v>69</v>
      </c>
      <c r="B1234">
        <v>2013</v>
      </c>
      <c r="C1234" t="s">
        <v>39</v>
      </c>
      <c r="D1234">
        <v>177.8383053</v>
      </c>
      <c r="E1234">
        <v>2.633200934</v>
      </c>
      <c r="F1234">
        <v>0.327140916</v>
      </c>
      <c r="G1234">
        <v>214.82136729999999</v>
      </c>
      <c r="H1234">
        <v>67.536929299999997</v>
      </c>
      <c r="I1234">
        <v>7.0013365999999994E-2</v>
      </c>
      <c r="J1234">
        <v>15.94842478</v>
      </c>
      <c r="K1234">
        <v>16.079999999999998</v>
      </c>
      <c r="L1234">
        <v>33.234000000000002</v>
      </c>
      <c r="M1234">
        <v>54.599989379999997</v>
      </c>
      <c r="N1234">
        <v>67.499953559999994</v>
      </c>
      <c r="O1234">
        <v>0.124236974</v>
      </c>
      <c r="P1234">
        <v>109.979</v>
      </c>
      <c r="Q1234">
        <v>101.541</v>
      </c>
      <c r="R1234">
        <v>2.6549999999999998</v>
      </c>
      <c r="S1234">
        <v>7.0013365999999994E-2</v>
      </c>
      <c r="T1234">
        <v>167.57</v>
      </c>
      <c r="V1234" s="1" t="str">
        <f>IF(Energy_data_1990___2020[[#This Row],[CO2 emissions from fuel combustion (MtCO2)]]&gt;Energy_data_1990___2020[[#Totals],[CO2 emissions from fuel combustion (MtCO2)]],"Above Average","")</f>
        <v/>
      </c>
      <c r="W1234" s="1">
        <f>SUM(Energy_data_1990___2020[[#This Row],[Coal and lignite production (Mt)]]-Energy_data_1990___2020[[#This Row],[Coal and lignite domestic consumption (Mt)]])</f>
        <v>-2.6549999999999998</v>
      </c>
    </row>
    <row r="1235" spans="1:23">
      <c r="A1235" t="s">
        <v>69</v>
      </c>
      <c r="B1235">
        <v>2014</v>
      </c>
      <c r="C1235" t="s">
        <v>39</v>
      </c>
      <c r="D1235">
        <v>176.830974</v>
      </c>
      <c r="E1235">
        <v>2.3905469529999999</v>
      </c>
      <c r="F1235">
        <v>0.31192411199999998</v>
      </c>
      <c r="G1235">
        <v>210.56116610000001</v>
      </c>
      <c r="H1235">
        <v>73.970926930000005</v>
      </c>
      <c r="I1235">
        <v>0.25058355100000002</v>
      </c>
      <c r="J1235">
        <v>17.581223099999999</v>
      </c>
      <c r="K1235">
        <v>15.631</v>
      </c>
      <c r="L1235">
        <v>31.128</v>
      </c>
      <c r="M1235">
        <v>54.24499058</v>
      </c>
      <c r="N1235">
        <v>66.321983070000002</v>
      </c>
      <c r="O1235">
        <v>0.13048232000000001</v>
      </c>
      <c r="P1235">
        <v>116.52800000000001</v>
      </c>
      <c r="Q1235">
        <v>107.636</v>
      </c>
      <c r="R1235">
        <v>2.94</v>
      </c>
      <c r="S1235">
        <v>0.25058355100000002</v>
      </c>
      <c r="T1235">
        <v>163.62100000000001</v>
      </c>
      <c r="V1235" s="1" t="str">
        <f>IF(Energy_data_1990___2020[[#This Row],[CO2 emissions from fuel combustion (MtCO2)]]&gt;Energy_data_1990___2020[[#Totals],[CO2 emissions from fuel combustion (MtCO2)]],"Above Average","")</f>
        <v/>
      </c>
      <c r="W1235" s="1">
        <f>SUM(Energy_data_1990___2020[[#This Row],[Coal and lignite production (Mt)]]-Energy_data_1990___2020[[#This Row],[Coal and lignite domestic consumption (Mt)]])</f>
        <v>-2.94</v>
      </c>
    </row>
    <row r="1236" spans="1:23">
      <c r="A1236" t="s">
        <v>69</v>
      </c>
      <c r="B1236">
        <v>2015</v>
      </c>
      <c r="C1236" t="s">
        <v>39</v>
      </c>
      <c r="D1236">
        <v>187.58303129999999</v>
      </c>
      <c r="E1236">
        <v>2.4748978780000002</v>
      </c>
      <c r="F1236">
        <v>0.314816082</v>
      </c>
      <c r="G1236">
        <v>229.63530249999999</v>
      </c>
      <c r="H1236">
        <v>75.794251130000006</v>
      </c>
      <c r="I1236">
        <v>0.23004750099999999</v>
      </c>
      <c r="J1236">
        <v>17.313302870000001</v>
      </c>
      <c r="K1236">
        <v>15.196</v>
      </c>
      <c r="L1236">
        <v>49.045000000000002</v>
      </c>
      <c r="M1236">
        <v>60.181002679999999</v>
      </c>
      <c r="N1236">
        <v>74.24500184</v>
      </c>
      <c r="O1236">
        <v>0.12720366599999999</v>
      </c>
      <c r="P1236">
        <v>127.36499999999999</v>
      </c>
      <c r="Q1236">
        <v>115.056</v>
      </c>
      <c r="R1236">
        <v>2.5779999999999998</v>
      </c>
      <c r="S1236">
        <v>0.23004750099999999</v>
      </c>
      <c r="T1236">
        <v>177.63399999999999</v>
      </c>
      <c r="V1236" s="1" t="str">
        <f>IF(Energy_data_1990___2020[[#This Row],[CO2 emissions from fuel combustion (MtCO2)]]&gt;Energy_data_1990___2020[[#Totals],[CO2 emissions from fuel combustion (MtCO2)]],"Above Average","")</f>
        <v/>
      </c>
      <c r="W1236" s="1">
        <f>SUM(Energy_data_1990___2020[[#This Row],[Coal and lignite production (Mt)]]-Energy_data_1990___2020[[#This Row],[Coal and lignite domestic consumption (Mt)]])</f>
        <v>-2.5779999999999998</v>
      </c>
    </row>
    <row r="1237" spans="1:23">
      <c r="A1237" t="s">
        <v>69</v>
      </c>
      <c r="B1237">
        <v>2016</v>
      </c>
      <c r="C1237" t="s">
        <v>39</v>
      </c>
      <c r="D1237">
        <v>193.20371230000001</v>
      </c>
      <c r="E1237">
        <v>2.4377229520000001</v>
      </c>
      <c r="F1237">
        <v>0.31461876799999999</v>
      </c>
      <c r="G1237">
        <v>236.64036150000001</v>
      </c>
      <c r="H1237">
        <v>79.255812129999995</v>
      </c>
      <c r="I1237">
        <v>0.23920491399999999</v>
      </c>
      <c r="J1237">
        <v>16.970885129999999</v>
      </c>
      <c r="K1237">
        <v>16.701000000000001</v>
      </c>
      <c r="L1237">
        <v>58.823999999999998</v>
      </c>
      <c r="M1237">
        <v>61.084031340000003</v>
      </c>
      <c r="N1237">
        <v>74.696900929999998</v>
      </c>
      <c r="O1237">
        <v>0.12906256099999999</v>
      </c>
      <c r="P1237">
        <v>129.596</v>
      </c>
      <c r="Q1237">
        <v>117.071</v>
      </c>
      <c r="R1237">
        <v>2.7829999999999999</v>
      </c>
      <c r="S1237">
        <v>0.23920491399999999</v>
      </c>
      <c r="T1237">
        <v>183.79300000000001</v>
      </c>
      <c r="V1237" s="1" t="str">
        <f>IF(Energy_data_1990___2020[[#This Row],[CO2 emissions from fuel combustion (MtCO2)]]&gt;Energy_data_1990___2020[[#Totals],[CO2 emissions from fuel combustion (MtCO2)]],"Above Average","")</f>
        <v/>
      </c>
      <c r="W1237" s="1">
        <f>SUM(Energy_data_1990___2020[[#This Row],[Coal and lignite production (Mt)]]-Energy_data_1990___2020[[#This Row],[Coal and lignite domestic consumption (Mt)]])</f>
        <v>-2.7829999999999999</v>
      </c>
    </row>
    <row r="1238" spans="1:23">
      <c r="A1238" t="s">
        <v>69</v>
      </c>
      <c r="B1238">
        <v>2017</v>
      </c>
      <c r="C1238" t="s">
        <v>39</v>
      </c>
      <c r="D1238">
        <v>201.90240539999999</v>
      </c>
      <c r="E1238">
        <v>2.5793814199999998</v>
      </c>
      <c r="F1238">
        <v>0.32717799400000003</v>
      </c>
      <c r="G1238">
        <v>228.51048650000001</v>
      </c>
      <c r="H1238">
        <v>78.275513579999995</v>
      </c>
      <c r="I1238">
        <v>0.54646752799999998</v>
      </c>
      <c r="J1238">
        <v>16.848521080000001</v>
      </c>
      <c r="K1238">
        <v>18.703268000000001</v>
      </c>
      <c r="L1238">
        <v>58.572982000000003</v>
      </c>
      <c r="M1238">
        <v>61.024171320000001</v>
      </c>
      <c r="N1238">
        <v>75.433054510000005</v>
      </c>
      <c r="O1238">
        <v>0.12684358800000001</v>
      </c>
      <c r="P1238">
        <v>134.5531</v>
      </c>
      <c r="Q1238">
        <v>121.658163</v>
      </c>
      <c r="R1238">
        <v>3.214248</v>
      </c>
      <c r="S1238">
        <v>0.54646752799999998</v>
      </c>
      <c r="T1238">
        <v>175.818838</v>
      </c>
      <c r="V1238" s="1" t="str">
        <f>IF(Energy_data_1990___2020[[#This Row],[CO2 emissions from fuel combustion (MtCO2)]]&gt;Energy_data_1990___2020[[#Totals],[CO2 emissions from fuel combustion (MtCO2)]],"Above Average","")</f>
        <v/>
      </c>
      <c r="W1238" s="1">
        <f>SUM(Energy_data_1990___2020[[#This Row],[Coal and lignite production (Mt)]]-Energy_data_1990___2020[[#This Row],[Coal and lignite domestic consumption (Mt)]])</f>
        <v>-3.214248</v>
      </c>
    </row>
    <row r="1239" spans="1:23">
      <c r="A1239" t="s">
        <v>69</v>
      </c>
      <c r="B1239">
        <v>2018</v>
      </c>
      <c r="C1239" t="s">
        <v>39</v>
      </c>
      <c r="D1239">
        <v>193.78541630000001</v>
      </c>
      <c r="E1239">
        <v>2.4871055879999999</v>
      </c>
      <c r="F1239">
        <v>0.30869544700000001</v>
      </c>
      <c r="G1239">
        <v>231.9403083</v>
      </c>
      <c r="H1239">
        <v>77.91603911</v>
      </c>
      <c r="I1239">
        <v>0.95927918899999998</v>
      </c>
      <c r="J1239">
        <v>17.748674449999999</v>
      </c>
      <c r="K1239">
        <v>17.349143999999999</v>
      </c>
      <c r="L1239">
        <v>60.023857</v>
      </c>
      <c r="M1239">
        <v>61.619529069999999</v>
      </c>
      <c r="N1239">
        <v>73.855656089999997</v>
      </c>
      <c r="O1239">
        <v>0.124118352</v>
      </c>
      <c r="P1239">
        <v>135.99680000000001</v>
      </c>
      <c r="Q1239">
        <v>122.835583</v>
      </c>
      <c r="R1239">
        <v>2.8965450000000001</v>
      </c>
      <c r="S1239">
        <v>0.95927918899999998</v>
      </c>
      <c r="T1239">
        <v>178.66965200000001</v>
      </c>
      <c r="V1239" s="1" t="str">
        <f>IF(Energy_data_1990___2020[[#This Row],[CO2 emissions from fuel combustion (MtCO2)]]&gt;Energy_data_1990___2020[[#Totals],[CO2 emissions from fuel combustion (MtCO2)]],"Above Average","")</f>
        <v/>
      </c>
      <c r="W1239" s="1">
        <f>SUM(Energy_data_1990___2020[[#This Row],[Coal and lignite production (Mt)]]-Energy_data_1990___2020[[#This Row],[Coal and lignite domestic consumption (Mt)]])</f>
        <v>-2.8965450000000001</v>
      </c>
    </row>
    <row r="1240" spans="1:23">
      <c r="A1240" t="s">
        <v>69</v>
      </c>
      <c r="B1240">
        <v>2019</v>
      </c>
      <c r="C1240" t="s">
        <v>39</v>
      </c>
      <c r="D1240">
        <v>192.0567561</v>
      </c>
      <c r="E1240">
        <v>2.3125264720000001</v>
      </c>
      <c r="F1240">
        <v>0.30089275300000001</v>
      </c>
      <c r="G1240">
        <v>239.83908360000001</v>
      </c>
      <c r="H1240">
        <v>83.050619510000004</v>
      </c>
      <c r="I1240">
        <v>2.7312689780000001</v>
      </c>
      <c r="J1240">
        <v>17.117330970000001</v>
      </c>
      <c r="K1240">
        <v>17.172441169999999</v>
      </c>
      <c r="L1240">
        <v>55.769118759999998</v>
      </c>
      <c r="M1240">
        <v>67.421253089999993</v>
      </c>
      <c r="N1240">
        <v>78.278809719999998</v>
      </c>
      <c r="O1240">
        <v>0.13011429599999999</v>
      </c>
      <c r="P1240">
        <v>138.43626610000001</v>
      </c>
      <c r="Q1240">
        <v>126.03623570000001</v>
      </c>
      <c r="R1240">
        <v>2.6750465430000001</v>
      </c>
      <c r="S1240">
        <v>2.7312689780000001</v>
      </c>
      <c r="T1240">
        <v>181.687881</v>
      </c>
      <c r="V1240" s="1" t="str">
        <f>IF(Energy_data_1990___2020[[#This Row],[CO2 emissions from fuel combustion (MtCO2)]]&gt;Energy_data_1990___2020[[#Totals],[CO2 emissions from fuel combustion (MtCO2)]],"Above Average","")</f>
        <v/>
      </c>
      <c r="W1240" s="1">
        <f>SUM(Energy_data_1990___2020[[#This Row],[Coal and lignite production (Mt)]]-Energy_data_1990___2020[[#This Row],[Coal and lignite domestic consumption (Mt)]])</f>
        <v>-2.6750465430000001</v>
      </c>
    </row>
    <row r="1241" spans="1:23">
      <c r="A1241" t="s">
        <v>69</v>
      </c>
      <c r="B1241">
        <v>2020</v>
      </c>
      <c r="C1241" t="s">
        <v>39</v>
      </c>
      <c r="D1241">
        <v>185.35413639999999</v>
      </c>
      <c r="E1241">
        <v>2.29769516</v>
      </c>
      <c r="F1241">
        <v>0.31080223099999998</v>
      </c>
      <c r="G1241">
        <v>222.23092030000001</v>
      </c>
      <c r="H1241">
        <v>80.669594320000002</v>
      </c>
      <c r="I1241">
        <v>3.6399384029999999</v>
      </c>
      <c r="J1241">
        <v>17.441131349999999</v>
      </c>
      <c r="K1241">
        <v>15.76016475</v>
      </c>
      <c r="L1241">
        <v>51.182618169999998</v>
      </c>
      <c r="M1241">
        <v>66.280536269999999</v>
      </c>
      <c r="N1241">
        <v>76.954391229999999</v>
      </c>
      <c r="O1241">
        <v>0.13526695599999999</v>
      </c>
      <c r="P1241">
        <v>137.49679660000001</v>
      </c>
      <c r="Q1241">
        <v>123.64157520000001</v>
      </c>
      <c r="R1241">
        <v>2.420572285</v>
      </c>
      <c r="S1241">
        <v>3.6399384029999999</v>
      </c>
      <c r="T1241">
        <v>165.11138700000001</v>
      </c>
      <c r="V1241" s="1" t="str">
        <f>IF(Energy_data_1990___2020[[#This Row],[CO2 emissions from fuel combustion (MtCO2)]]&gt;Energy_data_1990___2020[[#Totals],[CO2 emissions from fuel combustion (MtCO2)]],"Above Average","")</f>
        <v/>
      </c>
      <c r="W1241" s="1">
        <f>SUM(Energy_data_1990___2020[[#This Row],[Coal and lignite production (Mt)]]-Energy_data_1990___2020[[#This Row],[Coal and lignite domestic consumption (Mt)]])</f>
        <v>-2.420572285</v>
      </c>
    </row>
    <row r="1242" spans="1:23">
      <c r="A1242" t="s">
        <v>70</v>
      </c>
      <c r="B1242">
        <v>1990</v>
      </c>
      <c r="C1242" t="s">
        <v>30</v>
      </c>
      <c r="D1242">
        <v>556.1623836</v>
      </c>
      <c r="E1242">
        <v>2.7002798600000002</v>
      </c>
      <c r="F1242">
        <v>0.33819176000000001</v>
      </c>
      <c r="G1242">
        <v>208.00913550000001</v>
      </c>
      <c r="H1242">
        <v>205.96471940000001</v>
      </c>
      <c r="I1242">
        <v>2.4373156690000002</v>
      </c>
      <c r="J1242">
        <v>16.756397360000001</v>
      </c>
      <c r="K1242">
        <v>73.429000000000002</v>
      </c>
      <c r="L1242">
        <v>88.736000000000004</v>
      </c>
      <c r="M1242">
        <v>49.671941240000002</v>
      </c>
      <c r="N1242">
        <v>58.311941449999999</v>
      </c>
      <c r="O1242">
        <v>0.12524322600000001</v>
      </c>
      <c r="P1242">
        <v>319.73700000000002</v>
      </c>
      <c r="Q1242">
        <v>284.416</v>
      </c>
      <c r="R1242">
        <v>106.681</v>
      </c>
      <c r="S1242">
        <v>2.8148130000000002E-3</v>
      </c>
      <c r="T1242">
        <v>91.602000000000004</v>
      </c>
      <c r="U1242">
        <v>92.762</v>
      </c>
      <c r="V1242" s="1" t="str">
        <f>IF(Energy_data_1990___2020[[#This Row],[CO2 emissions from fuel combustion (MtCO2)]]&gt;Energy_data_1990___2020[[#Totals],[CO2 emissions from fuel combustion (MtCO2)]],"Above Average","")</f>
        <v>Above Average</v>
      </c>
      <c r="W1242" s="1">
        <f>SUM(Energy_data_1990___2020[[#This Row],[Coal and lignite production (Mt)]]-Energy_data_1990___2020[[#This Row],[Coal and lignite domestic consumption (Mt)]])</f>
        <v>-13.918999999999997</v>
      </c>
    </row>
    <row r="1243" spans="1:23">
      <c r="A1243" t="s">
        <v>70</v>
      </c>
      <c r="B1243">
        <v>1991</v>
      </c>
      <c r="C1243" t="s">
        <v>30</v>
      </c>
      <c r="D1243">
        <v>564.05659939999998</v>
      </c>
      <c r="E1243">
        <v>2.6473279239999998</v>
      </c>
      <c r="F1243">
        <v>0.34676452899999999</v>
      </c>
      <c r="G1243">
        <v>214.7452055</v>
      </c>
      <c r="H1243">
        <v>213.0663883</v>
      </c>
      <c r="I1243">
        <v>2.1203252030000002</v>
      </c>
      <c r="J1243">
        <v>16.58749319</v>
      </c>
      <c r="K1243">
        <v>74.340999999999994</v>
      </c>
      <c r="L1243">
        <v>92.174999999999997</v>
      </c>
      <c r="M1243">
        <v>56.78306036</v>
      </c>
      <c r="N1243">
        <v>62.79693314</v>
      </c>
      <c r="O1243">
        <v>0.130986617</v>
      </c>
      <c r="P1243">
        <v>322.875</v>
      </c>
      <c r="Q1243">
        <v>290.84199999999998</v>
      </c>
      <c r="R1243">
        <v>106.0919684</v>
      </c>
      <c r="S1243">
        <v>3.406891E-3</v>
      </c>
      <c r="T1243">
        <v>91.260999999999996</v>
      </c>
      <c r="U1243">
        <v>94.921999999999997</v>
      </c>
      <c r="V1243" s="1" t="str">
        <f>IF(Energy_data_1990___2020[[#This Row],[CO2 emissions from fuel combustion (MtCO2)]]&gt;Energy_data_1990___2020[[#Totals],[CO2 emissions from fuel combustion (MtCO2)]],"Above Average","")</f>
        <v>Above Average</v>
      </c>
      <c r="W1243" s="1">
        <f>SUM(Energy_data_1990___2020[[#This Row],[Coal and lignite production (Mt)]]-Energy_data_1990___2020[[#This Row],[Coal and lignite domestic consumption (Mt)]])</f>
        <v>-11.169968400000002</v>
      </c>
    </row>
    <row r="1244" spans="1:23">
      <c r="A1244" t="s">
        <v>70</v>
      </c>
      <c r="B1244">
        <v>1992</v>
      </c>
      <c r="C1244" t="s">
        <v>30</v>
      </c>
      <c r="D1244">
        <v>557.57611259999999</v>
      </c>
      <c r="E1244">
        <v>2.6224060260000002</v>
      </c>
      <c r="F1244">
        <v>0.34151342299999998</v>
      </c>
      <c r="G1244">
        <v>214.9682766</v>
      </c>
      <c r="H1244">
        <v>212.6200547</v>
      </c>
      <c r="I1244">
        <v>2.52364948</v>
      </c>
      <c r="J1244">
        <v>16.817154609999999</v>
      </c>
      <c r="K1244">
        <v>73.998000000000005</v>
      </c>
      <c r="L1244">
        <v>92.641000000000005</v>
      </c>
      <c r="M1244">
        <v>55.627045160000002</v>
      </c>
      <c r="N1244">
        <v>62.063968789999997</v>
      </c>
      <c r="O1244">
        <v>0.13022904099999999</v>
      </c>
      <c r="P1244">
        <v>321.04300000000001</v>
      </c>
      <c r="Q1244">
        <v>291.45299999999997</v>
      </c>
      <c r="R1244">
        <v>100.0572983</v>
      </c>
      <c r="S1244">
        <v>1.2459390000000001E-2</v>
      </c>
      <c r="T1244">
        <v>94.394999999999996</v>
      </c>
      <c r="U1244">
        <v>84.492999999999995</v>
      </c>
      <c r="V1244" s="1" t="str">
        <f>IF(Energy_data_1990___2020[[#This Row],[CO2 emissions from fuel combustion (MtCO2)]]&gt;Energy_data_1990___2020[[#Totals],[CO2 emissions from fuel combustion (MtCO2)]],"Above Average","")</f>
        <v>Above Average</v>
      </c>
      <c r="W1244" s="1">
        <f>SUM(Energy_data_1990___2020[[#This Row],[Coal and lignite production (Mt)]]-Energy_data_1990___2020[[#This Row],[Coal and lignite domestic consumption (Mt)]])</f>
        <v>-15.564298300000004</v>
      </c>
    </row>
    <row r="1245" spans="1:23">
      <c r="A1245" t="s">
        <v>70</v>
      </c>
      <c r="B1245">
        <v>1993</v>
      </c>
      <c r="C1245" t="s">
        <v>30</v>
      </c>
      <c r="D1245">
        <v>541.34713599999998</v>
      </c>
      <c r="E1245">
        <v>2.5198699000000002</v>
      </c>
      <c r="F1245">
        <v>0.32340295099999999</v>
      </c>
      <c r="G1245">
        <v>223.41115239999999</v>
      </c>
      <c r="H1245">
        <v>214.8313832</v>
      </c>
      <c r="I1245">
        <v>2.214470972</v>
      </c>
      <c r="J1245">
        <v>16.862450769999999</v>
      </c>
      <c r="K1245">
        <v>73.721000000000004</v>
      </c>
      <c r="L1245">
        <v>96.796000000000006</v>
      </c>
      <c r="M1245">
        <v>65.513955629999998</v>
      </c>
      <c r="N1245">
        <v>68.579066650000001</v>
      </c>
      <c r="O1245">
        <v>0.12834113</v>
      </c>
      <c r="P1245">
        <v>323.10199999999998</v>
      </c>
      <c r="Q1245">
        <v>295.74599999999998</v>
      </c>
      <c r="R1245">
        <v>87.341476150000005</v>
      </c>
      <c r="S1245">
        <v>6.7470953E-2</v>
      </c>
      <c r="T1245">
        <v>100.233</v>
      </c>
      <c r="U1245">
        <v>68.198999999999998</v>
      </c>
      <c r="V1245" s="1" t="str">
        <f>IF(Energy_data_1990___2020[[#This Row],[CO2 emissions from fuel combustion (MtCO2)]]&gt;Energy_data_1990___2020[[#Totals],[CO2 emissions from fuel combustion (MtCO2)]],"Above Average","")</f>
        <v/>
      </c>
      <c r="W1245" s="1">
        <f>SUM(Energy_data_1990___2020[[#This Row],[Coal and lignite production (Mt)]]-Energy_data_1990___2020[[#This Row],[Coal and lignite domestic consumption (Mt)]])</f>
        <v>-19.142476150000007</v>
      </c>
    </row>
    <row r="1246" spans="1:23">
      <c r="A1246" t="s">
        <v>70</v>
      </c>
      <c r="B1246">
        <v>1994</v>
      </c>
      <c r="C1246" t="s">
        <v>30</v>
      </c>
      <c r="D1246">
        <v>532.9007441</v>
      </c>
      <c r="E1246">
        <v>2.4626295589999998</v>
      </c>
      <c r="F1246">
        <v>0.30642203099999998</v>
      </c>
      <c r="G1246">
        <v>244.619609</v>
      </c>
      <c r="H1246">
        <v>216.39500839999999</v>
      </c>
      <c r="I1246">
        <v>2.5783568720000001</v>
      </c>
      <c r="J1246">
        <v>16.71876863</v>
      </c>
      <c r="K1246">
        <v>73.123999999999995</v>
      </c>
      <c r="L1246">
        <v>94.078999999999994</v>
      </c>
      <c r="M1246">
        <v>69.652038039999994</v>
      </c>
      <c r="N1246">
        <v>71.237912620000003</v>
      </c>
      <c r="O1246">
        <v>0.12442879599999999</v>
      </c>
      <c r="P1246">
        <v>326.48700000000002</v>
      </c>
      <c r="Q1246">
        <v>291.78199999999998</v>
      </c>
      <c r="R1246">
        <v>82.116033000000002</v>
      </c>
      <c r="S1246">
        <v>0.104751491</v>
      </c>
      <c r="T1246">
        <v>127.077</v>
      </c>
      <c r="U1246">
        <v>49.784999999999997</v>
      </c>
      <c r="V1246" s="1" t="str">
        <f>IF(Energy_data_1990___2020[[#This Row],[CO2 emissions from fuel combustion (MtCO2)]]&gt;Energy_data_1990___2020[[#Totals],[CO2 emissions from fuel combustion (MtCO2)]],"Above Average","")</f>
        <v/>
      </c>
      <c r="W1246" s="1">
        <f>SUM(Energy_data_1990___2020[[#This Row],[Coal and lignite production (Mt)]]-Energy_data_1990___2020[[#This Row],[Coal and lignite domestic consumption (Mt)]])</f>
        <v>-32.331033000000005</v>
      </c>
    </row>
    <row r="1247" spans="1:23">
      <c r="A1247" t="s">
        <v>70</v>
      </c>
      <c r="B1247">
        <v>1995</v>
      </c>
      <c r="C1247" t="s">
        <v>30</v>
      </c>
      <c r="D1247">
        <v>523.50004679999995</v>
      </c>
      <c r="E1247">
        <v>2.4149224920000001</v>
      </c>
      <c r="F1247">
        <v>0.29063618800000002</v>
      </c>
      <c r="G1247">
        <v>257.53187309999998</v>
      </c>
      <c r="H1247">
        <v>216.777163</v>
      </c>
      <c r="I1247">
        <v>2.5215467560000002</v>
      </c>
      <c r="J1247">
        <v>17.385905359999999</v>
      </c>
      <c r="K1247">
        <v>71.646000000000001</v>
      </c>
      <c r="L1247">
        <v>93.798000000000002</v>
      </c>
      <c r="M1247">
        <v>75.539080639999995</v>
      </c>
      <c r="N1247">
        <v>75.178924699999996</v>
      </c>
      <c r="O1247">
        <v>0.12035011</v>
      </c>
      <c r="P1247">
        <v>334.041</v>
      </c>
      <c r="Q1247">
        <v>303.80500000000001</v>
      </c>
      <c r="R1247">
        <v>77.213703249999995</v>
      </c>
      <c r="S1247">
        <v>0.1170515</v>
      </c>
      <c r="T1247">
        <v>130.45599999999999</v>
      </c>
      <c r="U1247">
        <v>53.036999999999999</v>
      </c>
      <c r="V1247" s="1" t="str">
        <f>IF(Energy_data_1990___2020[[#This Row],[CO2 emissions from fuel combustion (MtCO2)]]&gt;Energy_data_1990___2020[[#Totals],[CO2 emissions from fuel combustion (MtCO2)]],"Above Average","")</f>
        <v/>
      </c>
      <c r="W1247" s="1">
        <f>SUM(Energy_data_1990___2020[[#This Row],[Coal and lignite production (Mt)]]-Energy_data_1990___2020[[#This Row],[Coal and lignite domestic consumption (Mt)]])</f>
        <v>-24.176703249999996</v>
      </c>
    </row>
    <row r="1248" spans="1:23">
      <c r="A1248" t="s">
        <v>70</v>
      </c>
      <c r="B1248">
        <v>1996</v>
      </c>
      <c r="C1248" t="s">
        <v>30</v>
      </c>
      <c r="D1248">
        <v>544.64678739999999</v>
      </c>
      <c r="E1248">
        <v>2.410611984</v>
      </c>
      <c r="F1248">
        <v>0.29502574799999998</v>
      </c>
      <c r="G1248">
        <v>268.93625800000001</v>
      </c>
      <c r="H1248">
        <v>225.93714420000001</v>
      </c>
      <c r="I1248">
        <v>2.0637331880000001</v>
      </c>
      <c r="J1248">
        <v>17.332484399999998</v>
      </c>
      <c r="K1248">
        <v>73.522000000000006</v>
      </c>
      <c r="L1248">
        <v>97.709000000000003</v>
      </c>
      <c r="M1248">
        <v>90</v>
      </c>
      <c r="N1248">
        <v>87.596959650000002</v>
      </c>
      <c r="O1248">
        <v>0.122386245</v>
      </c>
      <c r="P1248">
        <v>350.86900000000003</v>
      </c>
      <c r="Q1248">
        <v>319.77800000000002</v>
      </c>
      <c r="R1248">
        <v>72.158680110000006</v>
      </c>
      <c r="S1248">
        <v>0.13908324799999999</v>
      </c>
      <c r="T1248">
        <v>130.14099999999999</v>
      </c>
      <c r="U1248">
        <v>50.197000000000003</v>
      </c>
      <c r="V1248" s="1" t="str">
        <f>IF(Energy_data_1990___2020[[#This Row],[CO2 emissions from fuel combustion (MtCO2)]]&gt;Energy_data_1990___2020[[#Totals],[CO2 emissions from fuel combustion (MtCO2)]],"Above Average","")</f>
        <v/>
      </c>
      <c r="W1248" s="1">
        <f>SUM(Energy_data_1990___2020[[#This Row],[Coal and lignite production (Mt)]]-Energy_data_1990___2020[[#This Row],[Coal and lignite domestic consumption (Mt)]])</f>
        <v>-21.961680110000003</v>
      </c>
    </row>
    <row r="1249" spans="1:23">
      <c r="A1249" t="s">
        <v>70</v>
      </c>
      <c r="B1249">
        <v>1997</v>
      </c>
      <c r="C1249" t="s">
        <v>30</v>
      </c>
      <c r="D1249">
        <v>519.79517099999998</v>
      </c>
      <c r="E1249">
        <v>2.3698716640000002</v>
      </c>
      <c r="F1249">
        <v>0.27111310799999999</v>
      </c>
      <c r="G1249">
        <v>268.27418440000002</v>
      </c>
      <c r="H1249">
        <v>219.334734</v>
      </c>
      <c r="I1249">
        <v>2.4045673089999999</v>
      </c>
      <c r="J1249">
        <v>17.945477260000001</v>
      </c>
      <c r="K1249">
        <v>71.552999999999997</v>
      </c>
      <c r="L1249">
        <v>98.052999999999997</v>
      </c>
      <c r="M1249">
        <v>91.60491657</v>
      </c>
      <c r="N1249">
        <v>88.711961009999996</v>
      </c>
      <c r="O1249">
        <v>0.11439991100000001</v>
      </c>
      <c r="P1249">
        <v>350.666</v>
      </c>
      <c r="Q1249">
        <v>321.06599999999997</v>
      </c>
      <c r="R1249">
        <v>63.519576170000001</v>
      </c>
      <c r="S1249">
        <v>0.19020948700000001</v>
      </c>
      <c r="T1249">
        <v>128.36799999999999</v>
      </c>
      <c r="U1249">
        <v>48.494999999999997</v>
      </c>
      <c r="V1249" s="1" t="str">
        <f>IF(Energy_data_1990___2020[[#This Row],[CO2 emissions from fuel combustion (MtCO2)]]&gt;Energy_data_1990___2020[[#Totals],[CO2 emissions from fuel combustion (MtCO2)]],"Above Average","")</f>
        <v/>
      </c>
      <c r="W1249" s="1">
        <f>SUM(Energy_data_1990___2020[[#This Row],[Coal and lignite production (Mt)]]-Energy_data_1990___2020[[#This Row],[Coal and lignite domestic consumption (Mt)]])</f>
        <v>-15.024576170000003</v>
      </c>
    </row>
    <row r="1250" spans="1:23">
      <c r="A1250" t="s">
        <v>70</v>
      </c>
      <c r="B1250">
        <v>1998</v>
      </c>
      <c r="C1250" t="s">
        <v>30</v>
      </c>
      <c r="D1250">
        <v>525.95063489999995</v>
      </c>
      <c r="E1250">
        <v>2.3751122160000002</v>
      </c>
      <c r="F1250">
        <v>0.26467658199999999</v>
      </c>
      <c r="G1250">
        <v>271.89537589999998</v>
      </c>
      <c r="H1250">
        <v>221.44243599999999</v>
      </c>
      <c r="I1250">
        <v>2.8323449209999998</v>
      </c>
      <c r="J1250">
        <v>18.106997700000001</v>
      </c>
      <c r="K1250">
        <v>69.736000000000004</v>
      </c>
      <c r="L1250">
        <v>94.436000000000007</v>
      </c>
      <c r="M1250">
        <v>95.549066249999996</v>
      </c>
      <c r="N1250">
        <v>92.330052260000002</v>
      </c>
      <c r="O1250">
        <v>0.11143750600000001</v>
      </c>
      <c r="P1250">
        <v>362.70299999999997</v>
      </c>
      <c r="Q1250">
        <v>325.35000000000002</v>
      </c>
      <c r="R1250">
        <v>63.598634009999998</v>
      </c>
      <c r="S1250">
        <v>0.24179562900000001</v>
      </c>
      <c r="T1250">
        <v>132.49799999999999</v>
      </c>
      <c r="U1250">
        <v>41.177</v>
      </c>
      <c r="V1250" s="1" t="str">
        <f>IF(Energy_data_1990___2020[[#This Row],[CO2 emissions from fuel combustion (MtCO2)]]&gt;Energy_data_1990___2020[[#Totals],[CO2 emissions from fuel combustion (MtCO2)]],"Above Average","")</f>
        <v/>
      </c>
      <c r="W1250" s="1">
        <f>SUM(Energy_data_1990___2020[[#This Row],[Coal and lignite production (Mt)]]-Energy_data_1990___2020[[#This Row],[Coal and lignite domestic consumption (Mt)]])</f>
        <v>-22.421634009999998</v>
      </c>
    </row>
    <row r="1251" spans="1:23">
      <c r="A1251" t="s">
        <v>70</v>
      </c>
      <c r="B1251">
        <v>1999</v>
      </c>
      <c r="C1251" t="s">
        <v>30</v>
      </c>
      <c r="D1251">
        <v>523.08827250000002</v>
      </c>
      <c r="E1251">
        <v>2.3560013899999999</v>
      </c>
      <c r="F1251">
        <v>0.25451093800000002</v>
      </c>
      <c r="G1251">
        <v>281.57836409999999</v>
      </c>
      <c r="H1251">
        <v>222.02375380000001</v>
      </c>
      <c r="I1251">
        <v>3.4002259939999999</v>
      </c>
      <c r="J1251">
        <v>18.22189114</v>
      </c>
      <c r="K1251">
        <v>70.177999999999997</v>
      </c>
      <c r="L1251">
        <v>87.863</v>
      </c>
      <c r="M1251">
        <v>105.1148676</v>
      </c>
      <c r="N1251">
        <v>98.048016180000005</v>
      </c>
      <c r="O1251">
        <v>0.10802665</v>
      </c>
      <c r="P1251">
        <v>368.15199999999999</v>
      </c>
      <c r="Q1251">
        <v>332.05399999999997</v>
      </c>
      <c r="R1251">
        <v>56.508737459999999</v>
      </c>
      <c r="S1251">
        <v>0.231154523</v>
      </c>
      <c r="T1251">
        <v>137.22800000000001</v>
      </c>
      <c r="U1251">
        <v>37.076999999999998</v>
      </c>
      <c r="V1251" s="1" t="str">
        <f>IF(Energy_data_1990___2020[[#This Row],[CO2 emissions from fuel combustion (MtCO2)]]&gt;Energy_data_1990___2020[[#Totals],[CO2 emissions from fuel combustion (MtCO2)]],"Above Average","")</f>
        <v/>
      </c>
      <c r="W1251" s="1">
        <f>SUM(Energy_data_1990___2020[[#This Row],[Coal and lignite production (Mt)]]-Energy_data_1990___2020[[#This Row],[Coal and lignite domestic consumption (Mt)]])</f>
        <v>-19.431737460000001</v>
      </c>
    </row>
    <row r="1252" spans="1:23">
      <c r="A1252" t="s">
        <v>70</v>
      </c>
      <c r="B1252">
        <v>2000</v>
      </c>
      <c r="C1252" t="s">
        <v>30</v>
      </c>
      <c r="D1252">
        <v>531.57808379999994</v>
      </c>
      <c r="E1252">
        <v>2.3844368810000001</v>
      </c>
      <c r="F1252">
        <v>0.25004641900000002</v>
      </c>
      <c r="G1252">
        <v>272.46858140000001</v>
      </c>
      <c r="H1252">
        <v>222.93652979999999</v>
      </c>
      <c r="I1252">
        <v>3.3585365010000001</v>
      </c>
      <c r="J1252">
        <v>18.619815089999999</v>
      </c>
      <c r="K1252">
        <v>67.846999999999994</v>
      </c>
      <c r="L1252">
        <v>87.653000000000006</v>
      </c>
      <c r="M1252">
        <v>115.38603329999999</v>
      </c>
      <c r="N1252">
        <v>101.812046</v>
      </c>
      <c r="O1252">
        <v>0.104866026</v>
      </c>
      <c r="P1252">
        <v>377.06900000000002</v>
      </c>
      <c r="Q1252">
        <v>340.29700000000003</v>
      </c>
      <c r="R1252">
        <v>60.097386319999998</v>
      </c>
      <c r="S1252">
        <v>0.25141287099999998</v>
      </c>
      <c r="T1252">
        <v>126.375</v>
      </c>
      <c r="U1252">
        <v>31.198</v>
      </c>
      <c r="V1252" s="1" t="str">
        <f>IF(Energy_data_1990___2020[[#This Row],[CO2 emissions from fuel combustion (MtCO2)]]&gt;Energy_data_1990___2020[[#Totals],[CO2 emissions from fuel combustion (MtCO2)]],"Above Average","")</f>
        <v/>
      </c>
      <c r="W1252" s="1">
        <f>SUM(Energy_data_1990___2020[[#This Row],[Coal and lignite production (Mt)]]-Energy_data_1990___2020[[#This Row],[Coal and lignite domestic consumption (Mt)]])</f>
        <v>-28.899386319999998</v>
      </c>
    </row>
    <row r="1253" spans="1:23">
      <c r="A1253" t="s">
        <v>70</v>
      </c>
      <c r="B1253">
        <v>2001</v>
      </c>
      <c r="C1253" t="s">
        <v>30</v>
      </c>
      <c r="D1253">
        <v>544.05565109999998</v>
      </c>
      <c r="E1253">
        <v>2.4313768059999998</v>
      </c>
      <c r="F1253">
        <v>0.248523683</v>
      </c>
      <c r="G1253">
        <v>262.36730490000002</v>
      </c>
      <c r="H1253">
        <v>223.7644325</v>
      </c>
      <c r="I1253">
        <v>3.111047584</v>
      </c>
      <c r="J1253">
        <v>18.754213350000001</v>
      </c>
      <c r="K1253">
        <v>67.198999999999998</v>
      </c>
      <c r="L1253">
        <v>84.078999999999994</v>
      </c>
      <c r="M1253">
        <v>111.27698839999999</v>
      </c>
      <c r="N1253">
        <v>101.3368885</v>
      </c>
      <c r="O1253">
        <v>0.102215207</v>
      </c>
      <c r="P1253">
        <v>384.79</v>
      </c>
      <c r="Q1253">
        <v>342.505</v>
      </c>
      <c r="R1253">
        <v>63.855429110000003</v>
      </c>
      <c r="S1253">
        <v>0.251305907</v>
      </c>
      <c r="T1253">
        <v>116.80500000000001</v>
      </c>
      <c r="U1253">
        <v>31.93</v>
      </c>
      <c r="V1253" s="1" t="str">
        <f>IF(Energy_data_1990___2020[[#This Row],[CO2 emissions from fuel combustion (MtCO2)]]&gt;Energy_data_1990___2020[[#Totals],[CO2 emissions from fuel combustion (MtCO2)]],"Above Average","")</f>
        <v/>
      </c>
      <c r="W1253" s="1">
        <f>SUM(Energy_data_1990___2020[[#This Row],[Coal and lignite production (Mt)]]-Energy_data_1990___2020[[#This Row],[Coal and lignite domestic consumption (Mt)]])</f>
        <v>-31.925429110000003</v>
      </c>
    </row>
    <row r="1254" spans="1:23">
      <c r="A1254" t="s">
        <v>70</v>
      </c>
      <c r="B1254">
        <v>2002</v>
      </c>
      <c r="C1254" t="s">
        <v>30</v>
      </c>
      <c r="D1254">
        <v>528.99773010000001</v>
      </c>
      <c r="E1254">
        <v>2.3978819640000002</v>
      </c>
      <c r="F1254">
        <v>0.23615615300000001</v>
      </c>
      <c r="G1254">
        <v>259.32839439999998</v>
      </c>
      <c r="H1254">
        <v>220.6104129</v>
      </c>
      <c r="I1254">
        <v>3.5581941239999999</v>
      </c>
      <c r="J1254">
        <v>19.191314779999999</v>
      </c>
      <c r="K1254">
        <v>67.105000000000004</v>
      </c>
      <c r="L1254">
        <v>84.974999999999994</v>
      </c>
      <c r="M1254">
        <v>109.2111017</v>
      </c>
      <c r="N1254">
        <v>100.04311559999999</v>
      </c>
      <c r="O1254">
        <v>9.8485312000000005E-2</v>
      </c>
      <c r="P1254">
        <v>387.24700000000001</v>
      </c>
      <c r="Q1254">
        <v>344.10899999999998</v>
      </c>
      <c r="R1254">
        <v>59.013298169999999</v>
      </c>
      <c r="S1254">
        <v>0.32511549499999998</v>
      </c>
      <c r="T1254">
        <v>116.069</v>
      </c>
      <c r="U1254">
        <v>29.989000000000001</v>
      </c>
      <c r="V1254" s="1" t="str">
        <f>IF(Energy_data_1990___2020[[#This Row],[CO2 emissions from fuel combustion (MtCO2)]]&gt;Energy_data_1990___2020[[#Totals],[CO2 emissions from fuel combustion (MtCO2)]],"Above Average","")</f>
        <v/>
      </c>
      <c r="W1254" s="1">
        <f>SUM(Energy_data_1990___2020[[#This Row],[Coal and lignite production (Mt)]]-Energy_data_1990___2020[[#This Row],[Coal and lignite domestic consumption (Mt)]])</f>
        <v>-29.024298169999998</v>
      </c>
    </row>
    <row r="1255" spans="1:23">
      <c r="A1255" t="s">
        <v>70</v>
      </c>
      <c r="B1255">
        <v>2003</v>
      </c>
      <c r="C1255" t="s">
        <v>30</v>
      </c>
      <c r="D1255">
        <v>543.41348470000003</v>
      </c>
      <c r="E1255">
        <v>2.4209235630000001</v>
      </c>
      <c r="F1255">
        <v>0.23487285199999999</v>
      </c>
      <c r="G1255">
        <v>247.4412246</v>
      </c>
      <c r="H1255">
        <v>224.46536230000001</v>
      </c>
      <c r="I1255">
        <v>3.3531057409999998</v>
      </c>
      <c r="J1255">
        <v>19.076615449999998</v>
      </c>
      <c r="K1255">
        <v>67.912999999999997</v>
      </c>
      <c r="L1255">
        <v>84.742000000000004</v>
      </c>
      <c r="M1255">
        <v>108.5201134</v>
      </c>
      <c r="N1255">
        <v>100.5180661</v>
      </c>
      <c r="O1255">
        <v>9.7017872000000005E-2</v>
      </c>
      <c r="P1255">
        <v>398.19799999999998</v>
      </c>
      <c r="Q1255">
        <v>346.61599999999999</v>
      </c>
      <c r="R1255">
        <v>63.741994130000002</v>
      </c>
      <c r="S1255">
        <v>0.32345717499999999</v>
      </c>
      <c r="T1255">
        <v>106.193</v>
      </c>
      <c r="U1255">
        <v>28.279</v>
      </c>
      <c r="V1255" s="1" t="str">
        <f>IF(Energy_data_1990___2020[[#This Row],[CO2 emissions from fuel combustion (MtCO2)]]&gt;Energy_data_1990___2020[[#Totals],[CO2 emissions from fuel combustion (MtCO2)]],"Above Average","")</f>
        <v/>
      </c>
      <c r="W1255" s="1">
        <f>SUM(Energy_data_1990___2020[[#This Row],[Coal and lignite production (Mt)]]-Energy_data_1990___2020[[#This Row],[Coal and lignite domestic consumption (Mt)]])</f>
        <v>-35.462994129999998</v>
      </c>
    </row>
    <row r="1256" spans="1:23">
      <c r="A1256" t="s">
        <v>70</v>
      </c>
      <c r="B1256">
        <v>2004</v>
      </c>
      <c r="C1256" t="s">
        <v>30</v>
      </c>
      <c r="D1256">
        <v>543.52808779999998</v>
      </c>
      <c r="E1256">
        <v>2.4511296470000001</v>
      </c>
      <c r="F1256">
        <v>0.229474766</v>
      </c>
      <c r="G1256">
        <v>225.5536803</v>
      </c>
      <c r="H1256">
        <v>221.74595640000001</v>
      </c>
      <c r="I1256">
        <v>4.2611956019999999</v>
      </c>
      <c r="J1256">
        <v>19.165305780000001</v>
      </c>
      <c r="K1256">
        <v>68.775000000000006</v>
      </c>
      <c r="L1256">
        <v>91.322000000000003</v>
      </c>
      <c r="M1256">
        <v>101.65495199999999</v>
      </c>
      <c r="N1256">
        <v>102.7468896</v>
      </c>
      <c r="O1256">
        <v>9.3620002999999993E-2</v>
      </c>
      <c r="P1256">
        <v>393.92700000000002</v>
      </c>
      <c r="Q1256">
        <v>347.721</v>
      </c>
      <c r="R1256">
        <v>61.326526350000002</v>
      </c>
      <c r="S1256">
        <v>0.49222317799999998</v>
      </c>
      <c r="T1256">
        <v>95.491</v>
      </c>
      <c r="U1256">
        <v>25.096</v>
      </c>
      <c r="V1256" s="1" t="str">
        <f>IF(Energy_data_1990___2020[[#This Row],[CO2 emissions from fuel combustion (MtCO2)]]&gt;Energy_data_1990___2020[[#Totals],[CO2 emissions from fuel combustion (MtCO2)]],"Above Average","")</f>
        <v/>
      </c>
      <c r="W1256" s="1">
        <f>SUM(Energy_data_1990___2020[[#This Row],[Coal and lignite production (Mt)]]-Energy_data_1990___2020[[#This Row],[Coal and lignite domestic consumption (Mt)]])</f>
        <v>-36.230526350000005</v>
      </c>
    </row>
    <row r="1257" spans="1:23">
      <c r="A1257" t="s">
        <v>70</v>
      </c>
      <c r="B1257">
        <v>2005</v>
      </c>
      <c r="C1257" t="s">
        <v>30</v>
      </c>
      <c r="D1257">
        <v>542.27952519999997</v>
      </c>
      <c r="E1257">
        <v>2.4339463939999999</v>
      </c>
      <c r="F1257">
        <v>0.221892063</v>
      </c>
      <c r="G1257">
        <v>205.31625690000001</v>
      </c>
      <c r="H1257">
        <v>222.79846699999999</v>
      </c>
      <c r="I1257">
        <v>4.9874986190000001</v>
      </c>
      <c r="J1257">
        <v>19.914788489999999</v>
      </c>
      <c r="K1257">
        <v>69.028000000000006</v>
      </c>
      <c r="L1257">
        <v>87.09</v>
      </c>
      <c r="M1257">
        <v>92.804980999999998</v>
      </c>
      <c r="N1257">
        <v>99.917967480000002</v>
      </c>
      <c r="O1257">
        <v>9.1165550999999997E-2</v>
      </c>
      <c r="P1257">
        <v>398.35599999999999</v>
      </c>
      <c r="Q1257">
        <v>357.19499999999999</v>
      </c>
      <c r="R1257">
        <v>62.49503636</v>
      </c>
      <c r="S1257">
        <v>0.73100442799999998</v>
      </c>
      <c r="T1257">
        <v>84.721999999999994</v>
      </c>
      <c r="U1257">
        <v>20.498000000000001</v>
      </c>
      <c r="V1257" s="1" t="str">
        <f>IF(Energy_data_1990___2020[[#This Row],[CO2 emissions from fuel combustion (MtCO2)]]&gt;Energy_data_1990___2020[[#Totals],[CO2 emissions from fuel combustion (MtCO2)]],"Above Average","")</f>
        <v/>
      </c>
      <c r="W1257" s="1">
        <f>SUM(Energy_data_1990___2020[[#This Row],[Coal and lignite production (Mt)]]-Energy_data_1990___2020[[#This Row],[Coal and lignite domestic consumption (Mt)]])</f>
        <v>-41.997036359999996</v>
      </c>
    </row>
    <row r="1258" spans="1:23">
      <c r="A1258" t="s">
        <v>70</v>
      </c>
      <c r="B1258">
        <v>2006</v>
      </c>
      <c r="C1258" t="s">
        <v>30</v>
      </c>
      <c r="D1258">
        <v>543.23689630000001</v>
      </c>
      <c r="E1258">
        <v>2.4799350769999999</v>
      </c>
      <c r="F1258">
        <v>0.216253942</v>
      </c>
      <c r="G1258">
        <v>186.8775028</v>
      </c>
      <c r="H1258">
        <v>219.05287010000001</v>
      </c>
      <c r="I1258">
        <v>5.5272941449999999</v>
      </c>
      <c r="J1258">
        <v>20.064319909999998</v>
      </c>
      <c r="K1258">
        <v>68.082999999999998</v>
      </c>
      <c r="L1258">
        <v>84.162000000000006</v>
      </c>
      <c r="M1258">
        <v>83.888934800000001</v>
      </c>
      <c r="N1258">
        <v>94.739045230000002</v>
      </c>
      <c r="O1258">
        <v>8.7201452999999998E-2</v>
      </c>
      <c r="P1258">
        <v>397.28300000000002</v>
      </c>
      <c r="Q1258">
        <v>353.863</v>
      </c>
      <c r="R1258">
        <v>68.227992839999999</v>
      </c>
      <c r="S1258">
        <v>1.066242452</v>
      </c>
      <c r="T1258">
        <v>76.578000000000003</v>
      </c>
      <c r="U1258">
        <v>18.516999999999999</v>
      </c>
      <c r="V1258" s="1" t="str">
        <f>IF(Energy_data_1990___2020[[#This Row],[CO2 emissions from fuel combustion (MtCO2)]]&gt;Energy_data_1990___2020[[#Totals],[CO2 emissions from fuel combustion (MtCO2)]],"Above Average","")</f>
        <v/>
      </c>
      <c r="W1258" s="1">
        <f>SUM(Energy_data_1990___2020[[#This Row],[Coal and lignite production (Mt)]]-Energy_data_1990___2020[[#This Row],[Coal and lignite domestic consumption (Mt)]])</f>
        <v>-49.710992840000003</v>
      </c>
    </row>
    <row r="1259" spans="1:23">
      <c r="A1259" t="s">
        <v>70</v>
      </c>
      <c r="B1259">
        <v>2007</v>
      </c>
      <c r="C1259" t="s">
        <v>30</v>
      </c>
      <c r="D1259">
        <v>532.27374239999995</v>
      </c>
      <c r="E1259">
        <v>2.5209574080000001</v>
      </c>
      <c r="F1259">
        <v>0.20686179900000001</v>
      </c>
      <c r="G1259">
        <v>176.1858143</v>
      </c>
      <c r="H1259">
        <v>211.13952209999999</v>
      </c>
      <c r="I1259">
        <v>5.9340271649999998</v>
      </c>
      <c r="J1259">
        <v>20.368893459999999</v>
      </c>
      <c r="K1259">
        <v>65.614999999999995</v>
      </c>
      <c r="L1259">
        <v>82.367999999999995</v>
      </c>
      <c r="M1259">
        <v>76.074005400000004</v>
      </c>
      <c r="N1259">
        <v>96.065886489999997</v>
      </c>
      <c r="O1259">
        <v>8.2056840000000006E-2</v>
      </c>
      <c r="P1259">
        <v>396.83</v>
      </c>
      <c r="Q1259">
        <v>351.44900000000001</v>
      </c>
      <c r="R1259">
        <v>63.820663809999999</v>
      </c>
      <c r="S1259">
        <v>1.332560542</v>
      </c>
      <c r="T1259">
        <v>76.575000000000003</v>
      </c>
      <c r="U1259">
        <v>17.007000000000001</v>
      </c>
      <c r="V1259" s="1" t="str">
        <f>IF(Energy_data_1990___2020[[#This Row],[CO2 emissions from fuel combustion (MtCO2)]]&gt;Energy_data_1990___2020[[#Totals],[CO2 emissions from fuel combustion (MtCO2)]],"Above Average","")</f>
        <v/>
      </c>
      <c r="W1259" s="1">
        <f>SUM(Energy_data_1990___2020[[#This Row],[Coal and lignite production (Mt)]]-Energy_data_1990___2020[[#This Row],[Coal and lignite domestic consumption (Mt)]])</f>
        <v>-46.813663809999994</v>
      </c>
    </row>
    <row r="1260" spans="1:23">
      <c r="A1260" t="s">
        <v>70</v>
      </c>
      <c r="B1260">
        <v>2008</v>
      </c>
      <c r="C1260" t="s">
        <v>30</v>
      </c>
      <c r="D1260">
        <v>516.26476509999998</v>
      </c>
      <c r="E1260">
        <v>2.472363922</v>
      </c>
      <c r="F1260">
        <v>0.20120579999999999</v>
      </c>
      <c r="G1260">
        <v>167.07540800000001</v>
      </c>
      <c r="H1260">
        <v>208.81422850000001</v>
      </c>
      <c r="I1260">
        <v>6.6687407920000004</v>
      </c>
      <c r="J1260">
        <v>20.477035789999999</v>
      </c>
      <c r="K1260">
        <v>63.601999999999997</v>
      </c>
      <c r="L1260">
        <v>81.843000000000004</v>
      </c>
      <c r="M1260">
        <v>73.392947190000001</v>
      </c>
      <c r="N1260">
        <v>98.752953340000005</v>
      </c>
      <c r="O1260">
        <v>8.1381950999999994E-2</v>
      </c>
      <c r="P1260">
        <v>388.91899999999998</v>
      </c>
      <c r="Q1260">
        <v>350.1</v>
      </c>
      <c r="R1260">
        <v>59.134452899999999</v>
      </c>
      <c r="S1260">
        <v>1.835600729</v>
      </c>
      <c r="T1260">
        <v>71.665000000000006</v>
      </c>
      <c r="U1260">
        <v>18.053999999999998</v>
      </c>
      <c r="V1260" s="1" t="str">
        <f>IF(Energy_data_1990___2020[[#This Row],[CO2 emissions from fuel combustion (MtCO2)]]&gt;Energy_data_1990___2020[[#Totals],[CO2 emissions from fuel combustion (MtCO2)]],"Above Average","")</f>
        <v/>
      </c>
      <c r="W1260" s="1">
        <f>SUM(Energy_data_1990___2020[[#This Row],[Coal and lignite production (Mt)]]-Energy_data_1990___2020[[#This Row],[Coal and lignite domestic consumption (Mt)]])</f>
        <v>-41.080452899999997</v>
      </c>
    </row>
    <row r="1261" spans="1:23">
      <c r="A1261" t="s">
        <v>70</v>
      </c>
      <c r="B1261">
        <v>2009</v>
      </c>
      <c r="C1261" t="s">
        <v>30</v>
      </c>
      <c r="D1261">
        <v>468.93215220000002</v>
      </c>
      <c r="E1261">
        <v>2.387995621</v>
      </c>
      <c r="F1261">
        <v>0.19086634599999999</v>
      </c>
      <c r="G1261">
        <v>157.9484597</v>
      </c>
      <c r="H1261">
        <v>196.3706081</v>
      </c>
      <c r="I1261">
        <v>7.6787098279999997</v>
      </c>
      <c r="J1261">
        <v>20.654536520000001</v>
      </c>
      <c r="K1261">
        <v>60.267000000000003</v>
      </c>
      <c r="L1261">
        <v>76.230999999999995</v>
      </c>
      <c r="M1261">
        <v>61.323030299999999</v>
      </c>
      <c r="N1261">
        <v>92.080013109999996</v>
      </c>
      <c r="O1261">
        <v>7.9927426999999995E-2</v>
      </c>
      <c r="P1261">
        <v>376.75599999999997</v>
      </c>
      <c r="Q1261">
        <v>330.01799999999997</v>
      </c>
      <c r="R1261">
        <v>48.741376520000003</v>
      </c>
      <c r="S1261">
        <v>2.4689719609999998</v>
      </c>
      <c r="T1261">
        <v>68.197999999999993</v>
      </c>
      <c r="U1261">
        <v>17.873999999999999</v>
      </c>
      <c r="V1261" s="1" t="str">
        <f>IF(Energy_data_1990___2020[[#This Row],[CO2 emissions from fuel combustion (MtCO2)]]&gt;Energy_data_1990___2020[[#Totals],[CO2 emissions from fuel combustion (MtCO2)]],"Above Average","")</f>
        <v/>
      </c>
      <c r="W1261" s="1">
        <f>SUM(Energy_data_1990___2020[[#This Row],[Coal and lignite production (Mt)]]-Energy_data_1990___2020[[#This Row],[Coal and lignite domestic consumption (Mt)]])</f>
        <v>-30.867376520000004</v>
      </c>
    </row>
    <row r="1262" spans="1:23">
      <c r="A1262" t="s">
        <v>70</v>
      </c>
      <c r="B1262">
        <v>2010</v>
      </c>
      <c r="C1262" t="s">
        <v>30</v>
      </c>
      <c r="D1262">
        <v>485.18390629999999</v>
      </c>
      <c r="E1262">
        <v>2.3828558019999999</v>
      </c>
      <c r="F1262">
        <v>0.193704871</v>
      </c>
      <c r="G1262">
        <v>148.49369440000001</v>
      </c>
      <c r="H1262">
        <v>203.61446380000001</v>
      </c>
      <c r="I1262">
        <v>7.677107135</v>
      </c>
      <c r="J1262">
        <v>20.277950669999999</v>
      </c>
      <c r="K1262">
        <v>59.920999999999999</v>
      </c>
      <c r="L1262">
        <v>74.391999999999996</v>
      </c>
      <c r="M1262">
        <v>57.94104918</v>
      </c>
      <c r="N1262">
        <v>99.41197975</v>
      </c>
      <c r="O1262">
        <v>8.1291058999999999E-2</v>
      </c>
      <c r="P1262">
        <v>382.07100000000003</v>
      </c>
      <c r="Q1262">
        <v>337.50900000000001</v>
      </c>
      <c r="R1262">
        <v>50.731977139999998</v>
      </c>
      <c r="S1262">
        <v>2.703162501</v>
      </c>
      <c r="T1262">
        <v>62.962000000000003</v>
      </c>
      <c r="U1262">
        <v>18.346</v>
      </c>
      <c r="V1262" s="1" t="str">
        <f>IF(Energy_data_1990___2020[[#This Row],[CO2 emissions from fuel combustion (MtCO2)]]&gt;Energy_data_1990___2020[[#Totals],[CO2 emissions from fuel combustion (MtCO2)]],"Above Average","")</f>
        <v/>
      </c>
      <c r="W1262" s="1">
        <f>SUM(Energy_data_1990___2020[[#This Row],[Coal and lignite production (Mt)]]-Energy_data_1990___2020[[#This Row],[Coal and lignite domestic consumption (Mt)]])</f>
        <v>-32.385977139999994</v>
      </c>
    </row>
    <row r="1263" spans="1:23">
      <c r="A1263" t="s">
        <v>70</v>
      </c>
      <c r="B1263">
        <v>2011</v>
      </c>
      <c r="C1263" t="s">
        <v>30</v>
      </c>
      <c r="D1263">
        <v>446.0883968</v>
      </c>
      <c r="E1263">
        <v>2.362448965</v>
      </c>
      <c r="F1263">
        <v>0.17539503400000001</v>
      </c>
      <c r="G1263">
        <v>129.8743451</v>
      </c>
      <c r="H1263">
        <v>188.82456440000001</v>
      </c>
      <c r="I1263">
        <v>10.3588743</v>
      </c>
      <c r="J1263">
        <v>21.443858970000001</v>
      </c>
      <c r="K1263">
        <v>57.396999999999998</v>
      </c>
      <c r="L1263">
        <v>75.947000000000003</v>
      </c>
      <c r="M1263">
        <v>46.364045670000003</v>
      </c>
      <c r="N1263">
        <v>82.685007290000001</v>
      </c>
      <c r="O1263">
        <v>7.4242888000000007E-2</v>
      </c>
      <c r="P1263">
        <v>367.98399999999998</v>
      </c>
      <c r="Q1263">
        <v>325.91800000000001</v>
      </c>
      <c r="R1263">
        <v>50.532819539999998</v>
      </c>
      <c r="S1263">
        <v>4.4045393280000003</v>
      </c>
      <c r="T1263">
        <v>51.972000000000001</v>
      </c>
      <c r="U1263">
        <v>18.552</v>
      </c>
      <c r="V1263" s="1" t="str">
        <f>IF(Energy_data_1990___2020[[#This Row],[CO2 emissions from fuel combustion (MtCO2)]]&gt;Energy_data_1990___2020[[#Totals],[CO2 emissions from fuel combustion (MtCO2)]],"Above Average","")</f>
        <v/>
      </c>
      <c r="W1263" s="1">
        <f>SUM(Energy_data_1990___2020[[#This Row],[Coal and lignite production (Mt)]]-Energy_data_1990___2020[[#This Row],[Coal and lignite domestic consumption (Mt)]])</f>
        <v>-31.980819539999999</v>
      </c>
    </row>
    <row r="1264" spans="1:23">
      <c r="A1264" t="s">
        <v>70</v>
      </c>
      <c r="B1264">
        <v>2012</v>
      </c>
      <c r="C1264" t="s">
        <v>30</v>
      </c>
      <c r="D1264">
        <v>467.77047679999998</v>
      </c>
      <c r="E1264">
        <v>2.4130889170000001</v>
      </c>
      <c r="F1264">
        <v>0.18123969400000001</v>
      </c>
      <c r="G1264">
        <v>116.6799723</v>
      </c>
      <c r="H1264">
        <v>193.84717800000001</v>
      </c>
      <c r="I1264">
        <v>12.15129205</v>
      </c>
      <c r="J1264">
        <v>21.017788419999999</v>
      </c>
      <c r="K1264">
        <v>56.65</v>
      </c>
      <c r="L1264">
        <v>72.578000000000003</v>
      </c>
      <c r="M1264">
        <v>39.647027289999997</v>
      </c>
      <c r="N1264">
        <v>77.626964240000007</v>
      </c>
      <c r="O1264">
        <v>7.5106927000000004E-2</v>
      </c>
      <c r="P1264">
        <v>363.87900000000002</v>
      </c>
      <c r="Q1264">
        <v>325.483</v>
      </c>
      <c r="R1264">
        <v>63.798593459999999</v>
      </c>
      <c r="S1264">
        <v>5.8274866100000002</v>
      </c>
      <c r="T1264">
        <v>44.56</v>
      </c>
      <c r="U1264">
        <v>16.966999999999999</v>
      </c>
      <c r="V1264" s="1" t="str">
        <f>IF(Energy_data_1990___2020[[#This Row],[CO2 emissions from fuel combustion (MtCO2)]]&gt;Energy_data_1990___2020[[#Totals],[CO2 emissions from fuel combustion (MtCO2)]],"Above Average","")</f>
        <v/>
      </c>
      <c r="W1264" s="1">
        <f>SUM(Energy_data_1990___2020[[#This Row],[Coal and lignite production (Mt)]]-Energy_data_1990___2020[[#This Row],[Coal and lignite domestic consumption (Mt)]])</f>
        <v>-46.831593460000001</v>
      </c>
    </row>
    <row r="1265" spans="1:23">
      <c r="A1265" t="s">
        <v>70</v>
      </c>
      <c r="B1265">
        <v>2013</v>
      </c>
      <c r="C1265" t="s">
        <v>30</v>
      </c>
      <c r="D1265">
        <v>455.13785080000002</v>
      </c>
      <c r="E1265">
        <v>2.382448197</v>
      </c>
      <c r="F1265">
        <v>0.17265127899999999</v>
      </c>
      <c r="G1265">
        <v>109.545466</v>
      </c>
      <c r="H1265">
        <v>191.03787919999999</v>
      </c>
      <c r="I1265">
        <v>15.66301041</v>
      </c>
      <c r="J1265">
        <v>20.68378933</v>
      </c>
      <c r="K1265">
        <v>55.228000000000002</v>
      </c>
      <c r="L1265">
        <v>66.314999999999998</v>
      </c>
      <c r="M1265">
        <v>37.349978030000003</v>
      </c>
      <c r="N1265">
        <v>77.057077669999998</v>
      </c>
      <c r="O1265">
        <v>7.2468009999999999E-2</v>
      </c>
      <c r="P1265">
        <v>358.29</v>
      </c>
      <c r="Q1265">
        <v>324.32100000000003</v>
      </c>
      <c r="R1265">
        <v>60.80425906</v>
      </c>
      <c r="S1265">
        <v>8.4880962350000004</v>
      </c>
      <c r="T1265">
        <v>40.670999999999999</v>
      </c>
      <c r="U1265">
        <v>12.768000000000001</v>
      </c>
      <c r="V1265" s="1" t="str">
        <f>IF(Energy_data_1990___2020[[#This Row],[CO2 emissions from fuel combustion (MtCO2)]]&gt;Energy_data_1990___2020[[#Totals],[CO2 emissions from fuel combustion (MtCO2)]],"Above Average","")</f>
        <v/>
      </c>
      <c r="W1265" s="1">
        <f>SUM(Energy_data_1990___2020[[#This Row],[Coal and lignite production (Mt)]]-Energy_data_1990___2020[[#This Row],[Coal and lignite domestic consumption (Mt)]])</f>
        <v>-48.036259059999999</v>
      </c>
    </row>
    <row r="1266" spans="1:23">
      <c r="A1266" t="s">
        <v>70</v>
      </c>
      <c r="B1266">
        <v>2014</v>
      </c>
      <c r="C1266" t="s">
        <v>30</v>
      </c>
      <c r="D1266">
        <v>414.54478490000002</v>
      </c>
      <c r="E1266">
        <v>2.3032392169999998</v>
      </c>
      <c r="F1266">
        <v>0.153256639</v>
      </c>
      <c r="G1266">
        <v>107.9341371</v>
      </c>
      <c r="H1266">
        <v>179.98338240000001</v>
      </c>
      <c r="I1266">
        <v>19.936705119999999</v>
      </c>
      <c r="J1266">
        <v>20.984498429999999</v>
      </c>
      <c r="K1266">
        <v>55.137999999999998</v>
      </c>
      <c r="L1266">
        <v>61.521000000000001</v>
      </c>
      <c r="M1266">
        <v>38.76604614</v>
      </c>
      <c r="N1266">
        <v>70.727992169999993</v>
      </c>
      <c r="O1266">
        <v>6.6539609999999999E-2</v>
      </c>
      <c r="P1266">
        <v>338.1</v>
      </c>
      <c r="Q1266">
        <v>310.80700000000002</v>
      </c>
      <c r="R1266">
        <v>48.914199789999998</v>
      </c>
      <c r="S1266">
        <v>10.65217391</v>
      </c>
      <c r="T1266">
        <v>39.965000000000003</v>
      </c>
      <c r="U1266">
        <v>11.647</v>
      </c>
      <c r="V1266" s="1" t="str">
        <f>IF(Energy_data_1990___2020[[#This Row],[CO2 emissions from fuel combustion (MtCO2)]]&gt;Energy_data_1990___2020[[#Totals],[CO2 emissions from fuel combustion (MtCO2)]],"Above Average","")</f>
        <v/>
      </c>
      <c r="W1266" s="1">
        <f>SUM(Energy_data_1990___2020[[#This Row],[Coal and lignite production (Mt)]]-Energy_data_1990___2020[[#This Row],[Coal and lignite domestic consumption (Mt)]])</f>
        <v>-37.267199789999999</v>
      </c>
    </row>
    <row r="1267" spans="1:23">
      <c r="A1267" t="s">
        <v>70</v>
      </c>
      <c r="B1267">
        <v>2015</v>
      </c>
      <c r="C1267" t="s">
        <v>30</v>
      </c>
      <c r="D1267">
        <v>402.42988200000002</v>
      </c>
      <c r="E1267">
        <v>2.2143251469999998</v>
      </c>
      <c r="F1267">
        <v>0.14535392899999999</v>
      </c>
      <c r="G1267">
        <v>118.14088289999999</v>
      </c>
      <c r="H1267">
        <v>181.73929089999999</v>
      </c>
      <c r="I1267">
        <v>25.561664570000001</v>
      </c>
      <c r="J1267">
        <v>20.379781860000001</v>
      </c>
      <c r="K1267">
        <v>57.213000000000001</v>
      </c>
      <c r="L1267">
        <v>62.024999999999999</v>
      </c>
      <c r="M1267">
        <v>40.480026879999997</v>
      </c>
      <c r="N1267">
        <v>72.741077939999997</v>
      </c>
      <c r="O1267">
        <v>6.5642540999999999E-2</v>
      </c>
      <c r="P1267">
        <v>339.57100000000003</v>
      </c>
      <c r="Q1267">
        <v>311.012</v>
      </c>
      <c r="R1267">
        <v>38.531952230000002</v>
      </c>
      <c r="S1267">
        <v>14.07952976</v>
      </c>
      <c r="T1267">
        <v>45.319000000000003</v>
      </c>
      <c r="U1267">
        <v>8.5980000000000008</v>
      </c>
      <c r="V1267" s="1" t="str">
        <f>IF(Energy_data_1990___2020[[#This Row],[CO2 emissions from fuel combustion (MtCO2)]]&gt;Energy_data_1990___2020[[#Totals],[CO2 emissions from fuel combustion (MtCO2)]],"Above Average","")</f>
        <v/>
      </c>
      <c r="W1267" s="1">
        <f>SUM(Energy_data_1990___2020[[#This Row],[Coal and lignite production (Mt)]]-Energy_data_1990___2020[[#This Row],[Coal and lignite domestic consumption (Mt)]])</f>
        <v>-29.933952230000003</v>
      </c>
    </row>
    <row r="1268" spans="1:23">
      <c r="A1268" t="s">
        <v>70</v>
      </c>
      <c r="B1268">
        <v>2016</v>
      </c>
      <c r="C1268" t="s">
        <v>30</v>
      </c>
      <c r="D1268">
        <v>379.22428280000003</v>
      </c>
      <c r="E1268">
        <v>2.1225568039999998</v>
      </c>
      <c r="F1268">
        <v>0.13439439</v>
      </c>
      <c r="G1268">
        <v>119.9661782</v>
      </c>
      <c r="H1268">
        <v>178.66390290000001</v>
      </c>
      <c r="I1268">
        <v>25.503677549999999</v>
      </c>
      <c r="J1268">
        <v>20.200447149999999</v>
      </c>
      <c r="K1268">
        <v>58.658999999999999</v>
      </c>
      <c r="L1268">
        <v>61.03</v>
      </c>
      <c r="M1268">
        <v>41.694004360000001</v>
      </c>
      <c r="N1268">
        <v>81.448092459999998</v>
      </c>
      <c r="O1268">
        <v>6.3317216999999995E-2</v>
      </c>
      <c r="P1268">
        <v>339.9</v>
      </c>
      <c r="Q1268">
        <v>311.29599999999999</v>
      </c>
      <c r="R1268">
        <v>18.844114869999999</v>
      </c>
      <c r="S1268">
        <v>13.992939099999999</v>
      </c>
      <c r="T1268">
        <v>47.445</v>
      </c>
      <c r="U1268">
        <v>4.1779999999999999</v>
      </c>
      <c r="V1268" s="1" t="str">
        <f>IF(Energy_data_1990___2020[[#This Row],[CO2 emissions from fuel combustion (MtCO2)]]&gt;Energy_data_1990___2020[[#Totals],[CO2 emissions from fuel combustion (MtCO2)]],"Above Average","")</f>
        <v/>
      </c>
      <c r="W1268" s="1">
        <f>SUM(Energy_data_1990___2020[[#This Row],[Coal and lignite production (Mt)]]-Energy_data_1990___2020[[#This Row],[Coal and lignite domestic consumption (Mt)]])</f>
        <v>-14.666114869999998</v>
      </c>
    </row>
    <row r="1269" spans="1:23">
      <c r="A1269" t="s">
        <v>70</v>
      </c>
      <c r="B1269">
        <v>2017</v>
      </c>
      <c r="C1269" t="s">
        <v>30</v>
      </c>
      <c r="D1269">
        <v>366.9947914</v>
      </c>
      <c r="E1269">
        <v>2.0840928669999998</v>
      </c>
      <c r="F1269">
        <v>0.12764519899999999</v>
      </c>
      <c r="G1269">
        <v>120.03674839999999</v>
      </c>
      <c r="H1269">
        <v>176.0933004</v>
      </c>
      <c r="I1269">
        <v>30.252904260000001</v>
      </c>
      <c r="J1269">
        <v>19.993917400000001</v>
      </c>
      <c r="K1269">
        <v>59.461745999999998</v>
      </c>
      <c r="L1269">
        <v>60.952840999999999</v>
      </c>
      <c r="M1269">
        <v>42.138109909999997</v>
      </c>
      <c r="N1269">
        <v>79.344506390000006</v>
      </c>
      <c r="O1269">
        <v>6.1247365999999998E-2</v>
      </c>
      <c r="P1269">
        <v>338.64230400000002</v>
      </c>
      <c r="Q1269">
        <v>306.79289</v>
      </c>
      <c r="R1269">
        <v>15.14665935</v>
      </c>
      <c r="S1269">
        <v>18.046387670000001</v>
      </c>
      <c r="T1269">
        <v>46.630330999999998</v>
      </c>
      <c r="U1269">
        <v>3.041401</v>
      </c>
      <c r="V1269" s="1" t="str">
        <f>IF(Energy_data_1990___2020[[#This Row],[CO2 emissions from fuel combustion (MtCO2)]]&gt;Energy_data_1990___2020[[#Totals],[CO2 emissions from fuel combustion (MtCO2)]],"Above Average","")</f>
        <v/>
      </c>
      <c r="W1269" s="1">
        <f>SUM(Energy_data_1990___2020[[#This Row],[Coal and lignite production (Mt)]]-Energy_data_1990___2020[[#This Row],[Coal and lignite domestic consumption (Mt)]])</f>
        <v>-12.10525835</v>
      </c>
    </row>
    <row r="1270" spans="1:23">
      <c r="A1270" t="s">
        <v>70</v>
      </c>
      <c r="B1270">
        <v>2018</v>
      </c>
      <c r="C1270" t="s">
        <v>30</v>
      </c>
      <c r="D1270">
        <v>359.23729500000002</v>
      </c>
      <c r="E1270">
        <v>2.0501632280000002</v>
      </c>
      <c r="F1270">
        <v>0.123239354</v>
      </c>
      <c r="G1270">
        <v>123.0259188</v>
      </c>
      <c r="H1270">
        <v>175.22375289999999</v>
      </c>
      <c r="I1270">
        <v>33.983864019999999</v>
      </c>
      <c r="J1270">
        <v>19.84461516</v>
      </c>
      <c r="K1270">
        <v>58.026031000000003</v>
      </c>
      <c r="L1270">
        <v>59.014870999999999</v>
      </c>
      <c r="M1270">
        <v>40.827341500000003</v>
      </c>
      <c r="N1270">
        <v>80.022463250000001</v>
      </c>
      <c r="O1270">
        <v>6.0111972E-2</v>
      </c>
      <c r="P1270">
        <v>333.424036</v>
      </c>
      <c r="Q1270">
        <v>306.58439700000002</v>
      </c>
      <c r="R1270">
        <v>12.84470041</v>
      </c>
      <c r="S1270">
        <v>20.92548901</v>
      </c>
      <c r="T1270">
        <v>50.870390999999998</v>
      </c>
      <c r="U1270">
        <v>2.5809220000000002</v>
      </c>
      <c r="V1270" s="1" t="str">
        <f>IF(Energy_data_1990___2020[[#This Row],[CO2 emissions from fuel combustion (MtCO2)]]&gt;Energy_data_1990___2020[[#Totals],[CO2 emissions from fuel combustion (MtCO2)]],"Above Average","")</f>
        <v/>
      </c>
      <c r="W1270" s="1">
        <f>SUM(Energy_data_1990___2020[[#This Row],[Coal and lignite production (Mt)]]-Energy_data_1990___2020[[#This Row],[Coal and lignite domestic consumption (Mt)]])</f>
        <v>-10.26377841</v>
      </c>
    </row>
    <row r="1271" spans="1:23">
      <c r="A1271" t="s">
        <v>70</v>
      </c>
      <c r="B1271">
        <v>2019</v>
      </c>
      <c r="C1271" t="s">
        <v>30</v>
      </c>
      <c r="D1271">
        <v>346.58406989999997</v>
      </c>
      <c r="E1271">
        <v>2.0360008770000002</v>
      </c>
      <c r="F1271">
        <v>0.117184155</v>
      </c>
      <c r="G1271">
        <v>123.1236966</v>
      </c>
      <c r="H1271">
        <v>170.22785880000001</v>
      </c>
      <c r="I1271">
        <v>37.823471480000002</v>
      </c>
      <c r="J1271">
        <v>20.026893099999999</v>
      </c>
      <c r="K1271">
        <v>56.54137429</v>
      </c>
      <c r="L1271">
        <v>59.278090120000002</v>
      </c>
      <c r="M1271">
        <v>39.652695780000002</v>
      </c>
      <c r="N1271">
        <v>77.781004949999996</v>
      </c>
      <c r="O1271">
        <v>5.7556043000000001E-2</v>
      </c>
      <c r="P1271">
        <v>325.3935826</v>
      </c>
      <c r="Q1271">
        <v>302.31001930000002</v>
      </c>
      <c r="R1271">
        <v>8.9933697640000005</v>
      </c>
      <c r="S1271">
        <v>23.782826</v>
      </c>
      <c r="T1271">
        <v>51.815594709999999</v>
      </c>
      <c r="U1271">
        <v>2.431808443</v>
      </c>
      <c r="V1271" s="1" t="str">
        <f>IF(Energy_data_1990___2020[[#This Row],[CO2 emissions from fuel combustion (MtCO2)]]&gt;Energy_data_1990___2020[[#Totals],[CO2 emissions from fuel combustion (MtCO2)]],"Above Average","")</f>
        <v/>
      </c>
      <c r="W1271" s="1">
        <f>SUM(Energy_data_1990___2020[[#This Row],[Coal and lignite production (Mt)]]-Energy_data_1990___2020[[#This Row],[Coal and lignite domestic consumption (Mt)]])</f>
        <v>-6.561561321000001</v>
      </c>
    </row>
    <row r="1272" spans="1:23">
      <c r="A1272" t="s">
        <v>70</v>
      </c>
      <c r="B1272">
        <v>2020</v>
      </c>
      <c r="C1272" t="s">
        <v>30</v>
      </c>
      <c r="D1272">
        <v>304.22340689999999</v>
      </c>
      <c r="E1272">
        <v>1.969618895</v>
      </c>
      <c r="F1272">
        <v>0.11416372499999999</v>
      </c>
      <c r="G1272">
        <v>116.7495672</v>
      </c>
      <c r="H1272">
        <v>154.45800589999999</v>
      </c>
      <c r="I1272">
        <v>43.737474669999997</v>
      </c>
      <c r="J1272">
        <v>20.895981920000001</v>
      </c>
      <c r="K1272">
        <v>47.8472577</v>
      </c>
      <c r="L1272">
        <v>48.909080240000002</v>
      </c>
      <c r="M1272">
        <v>39.592291000000003</v>
      </c>
      <c r="N1272">
        <v>72.941872090000004</v>
      </c>
      <c r="O1272">
        <v>5.7962342E-2</v>
      </c>
      <c r="P1272">
        <v>313.36783809999997</v>
      </c>
      <c r="Q1272">
        <v>286.02117800000002</v>
      </c>
      <c r="R1272">
        <v>8.2486578000000002</v>
      </c>
      <c r="S1272">
        <v>28.254583019999998</v>
      </c>
      <c r="T1272">
        <v>48.163913549999997</v>
      </c>
      <c r="U1272">
        <v>1.5702342549999999</v>
      </c>
      <c r="V1272" s="1" t="str">
        <f>IF(Energy_data_1990___2020[[#This Row],[CO2 emissions from fuel combustion (MtCO2)]]&gt;Energy_data_1990___2020[[#Totals],[CO2 emissions from fuel combustion (MtCO2)]],"Above Average","")</f>
        <v/>
      </c>
      <c r="W1272" s="1">
        <f>SUM(Energy_data_1990___2020[[#This Row],[Coal and lignite production (Mt)]]-Energy_data_1990___2020[[#This Row],[Coal and lignite domestic consumption (Mt)]])</f>
        <v>-6.6784235450000002</v>
      </c>
    </row>
    <row r="1273" spans="1:23">
      <c r="A1273" t="s">
        <v>71</v>
      </c>
      <c r="B1273">
        <v>1990</v>
      </c>
      <c r="C1273" t="s">
        <v>33</v>
      </c>
      <c r="D1273">
        <v>4866.1916119999996</v>
      </c>
      <c r="E1273">
        <v>2.5478146270000002</v>
      </c>
      <c r="F1273">
        <v>0.49584284099999998</v>
      </c>
      <c r="G1273">
        <v>1647.379385</v>
      </c>
      <c r="H1273">
        <v>1909.947279</v>
      </c>
      <c r="I1273">
        <v>11.96316683</v>
      </c>
      <c r="J1273">
        <v>17.41204304</v>
      </c>
      <c r="K1273">
        <v>732.07022300000006</v>
      </c>
      <c r="L1273">
        <v>754.58699999999999</v>
      </c>
      <c r="M1273">
        <v>506.60402370000003</v>
      </c>
      <c r="N1273">
        <v>534.03915589999997</v>
      </c>
      <c r="O1273">
        <v>0.19461496</v>
      </c>
      <c r="P1273">
        <v>3218.6210000000001</v>
      </c>
      <c r="Q1273">
        <v>2712.5549999999998</v>
      </c>
      <c r="R1273">
        <v>819.28399999999999</v>
      </c>
      <c r="S1273">
        <v>0.61343040999999998</v>
      </c>
      <c r="T1273">
        <v>413.34399999999999</v>
      </c>
      <c r="U1273">
        <v>933.56100000000004</v>
      </c>
      <c r="V1273" s="1" t="str">
        <f>IF(Energy_data_1990___2020[[#This Row],[CO2 emissions from fuel combustion (MtCO2)]]&gt;Energy_data_1990___2020[[#Totals],[CO2 emissions from fuel combustion (MtCO2)]],"Above Average","")</f>
        <v>Above Average</v>
      </c>
      <c r="W1273" s="1">
        <f>SUM(Energy_data_1990___2020[[#This Row],[Coal and lignite production (Mt)]]-Energy_data_1990___2020[[#This Row],[Coal and lignite domestic consumption (Mt)]])</f>
        <v>114.27700000000004</v>
      </c>
    </row>
    <row r="1274" spans="1:23">
      <c r="A1274" t="s">
        <v>71</v>
      </c>
      <c r="B1274">
        <v>1991</v>
      </c>
      <c r="C1274" t="s">
        <v>33</v>
      </c>
      <c r="D1274">
        <v>4813.4072500000002</v>
      </c>
      <c r="E1274">
        <v>2.4999918289999998</v>
      </c>
      <c r="F1274">
        <v>0.49099590199999998</v>
      </c>
      <c r="G1274">
        <v>1636.8821049999999</v>
      </c>
      <c r="H1274">
        <v>1925.369193</v>
      </c>
      <c r="I1274">
        <v>11.32814789</v>
      </c>
      <c r="J1274">
        <v>18.294234100000001</v>
      </c>
      <c r="K1274">
        <v>715.81961079999996</v>
      </c>
      <c r="L1274">
        <v>748.46100000000001</v>
      </c>
      <c r="M1274">
        <v>503.17953160000002</v>
      </c>
      <c r="N1274">
        <v>535.57117909999999</v>
      </c>
      <c r="O1274">
        <v>0.19639900299999999</v>
      </c>
      <c r="P1274">
        <v>3275.84</v>
      </c>
      <c r="Q1274">
        <v>2854.26</v>
      </c>
      <c r="R1274">
        <v>815.86400000000003</v>
      </c>
      <c r="S1274">
        <v>0.61358308100000003</v>
      </c>
      <c r="T1274">
        <v>412.89800000000002</v>
      </c>
      <c r="U1274">
        <v>903.54200000000003</v>
      </c>
      <c r="V1274" s="1" t="str">
        <f>IF(Energy_data_1990___2020[[#This Row],[CO2 emissions from fuel combustion (MtCO2)]]&gt;Energy_data_1990___2020[[#Totals],[CO2 emissions from fuel combustion (MtCO2)]],"Above Average","")</f>
        <v>Above Average</v>
      </c>
      <c r="W1274" s="1">
        <f>SUM(Energy_data_1990___2020[[#This Row],[Coal and lignite production (Mt)]]-Energy_data_1990___2020[[#This Row],[Coal and lignite domestic consumption (Mt)]])</f>
        <v>87.677999999999997</v>
      </c>
    </row>
    <row r="1275" spans="1:23">
      <c r="A1275" t="s">
        <v>71</v>
      </c>
      <c r="B1275">
        <v>1992</v>
      </c>
      <c r="C1275" t="s">
        <v>33</v>
      </c>
      <c r="D1275">
        <v>4891.1811559999996</v>
      </c>
      <c r="E1275">
        <v>2.4906962520000002</v>
      </c>
      <c r="F1275">
        <v>0.48195278800000002</v>
      </c>
      <c r="G1275">
        <v>1642.04493</v>
      </c>
      <c r="H1275">
        <v>1963.7806700000001</v>
      </c>
      <c r="I1275">
        <v>10.477562430000001</v>
      </c>
      <c r="J1275">
        <v>18.08588735</v>
      </c>
      <c r="K1275">
        <v>728.92236630000002</v>
      </c>
      <c r="L1275">
        <v>757.38699999999994</v>
      </c>
      <c r="M1275">
        <v>507.20591569999999</v>
      </c>
      <c r="N1275">
        <v>549.86133710000001</v>
      </c>
      <c r="O1275">
        <v>0.19350123</v>
      </c>
      <c r="P1275">
        <v>3291.1089999999999</v>
      </c>
      <c r="Q1275">
        <v>2865.5590000000002</v>
      </c>
      <c r="R1275">
        <v>825.69500000000005</v>
      </c>
      <c r="S1275">
        <v>0.63303889400000002</v>
      </c>
      <c r="T1275">
        <v>407.476</v>
      </c>
      <c r="U1275">
        <v>904.96900000000005</v>
      </c>
      <c r="V1275" s="1" t="str">
        <f>IF(Energy_data_1990___2020[[#This Row],[CO2 emissions from fuel combustion (MtCO2)]]&gt;Energy_data_1990___2020[[#Totals],[CO2 emissions from fuel combustion (MtCO2)]],"Above Average","")</f>
        <v>Above Average</v>
      </c>
      <c r="W1275" s="1">
        <f>SUM(Energy_data_1990___2020[[#This Row],[Coal and lignite production (Mt)]]-Energy_data_1990___2020[[#This Row],[Coal and lignite domestic consumption (Mt)]])</f>
        <v>79.274000000000001</v>
      </c>
    </row>
    <row r="1276" spans="1:23">
      <c r="A1276" t="s">
        <v>71</v>
      </c>
      <c r="B1276">
        <v>1993</v>
      </c>
      <c r="C1276" t="s">
        <v>33</v>
      </c>
      <c r="D1276">
        <v>5015.0427719999998</v>
      </c>
      <c r="E1276">
        <v>2.509737592</v>
      </c>
      <c r="F1276">
        <v>0.48091855999999999</v>
      </c>
      <c r="G1276">
        <v>1591.7758429999999</v>
      </c>
      <c r="H1276">
        <v>1998.2339139999999</v>
      </c>
      <c r="I1276">
        <v>11.00284937</v>
      </c>
      <c r="J1276">
        <v>18.486092889999998</v>
      </c>
      <c r="K1276">
        <v>738.14411659999996</v>
      </c>
      <c r="L1276">
        <v>772.06</v>
      </c>
      <c r="M1276">
        <v>514.35301930000003</v>
      </c>
      <c r="N1276">
        <v>574.24192860000005</v>
      </c>
      <c r="O1276">
        <v>0.19162105300000001</v>
      </c>
      <c r="P1276">
        <v>3411.28</v>
      </c>
      <c r="Q1276">
        <v>2963.1419999999998</v>
      </c>
      <c r="R1276">
        <v>856.31299999999999</v>
      </c>
      <c r="S1276">
        <v>0.636945663</v>
      </c>
      <c r="T1276">
        <v>396.036</v>
      </c>
      <c r="U1276">
        <v>857.69799999999998</v>
      </c>
      <c r="V1276" s="1" t="str">
        <f>IF(Energy_data_1990___2020[[#This Row],[CO2 emissions from fuel combustion (MtCO2)]]&gt;Energy_data_1990___2020[[#Totals],[CO2 emissions from fuel combustion (MtCO2)]],"Above Average","")</f>
        <v>Above Average</v>
      </c>
      <c r="W1276" s="1">
        <f>SUM(Energy_data_1990___2020[[#This Row],[Coal and lignite production (Mt)]]-Energy_data_1990___2020[[#This Row],[Coal and lignite domestic consumption (Mt)]])</f>
        <v>1.3849999999999909</v>
      </c>
    </row>
    <row r="1277" spans="1:23">
      <c r="A1277" t="s">
        <v>71</v>
      </c>
      <c r="B1277">
        <v>1994</v>
      </c>
      <c r="C1277" t="s">
        <v>33</v>
      </c>
      <c r="D1277">
        <v>5095.4211459999997</v>
      </c>
      <c r="E1277">
        <v>2.5029652609999999</v>
      </c>
      <c r="F1277">
        <v>0.46970288700000001</v>
      </c>
      <c r="G1277">
        <v>1652.0577929999999</v>
      </c>
      <c r="H1277">
        <v>2035.7538420000001</v>
      </c>
      <c r="I1277">
        <v>10.308613810000001</v>
      </c>
      <c r="J1277">
        <v>18.591267439999999</v>
      </c>
      <c r="K1277">
        <v>759.0817442</v>
      </c>
      <c r="L1277">
        <v>777.97799999999995</v>
      </c>
      <c r="M1277">
        <v>534.61757339999997</v>
      </c>
      <c r="N1277">
        <v>586.3703491</v>
      </c>
      <c r="O1277">
        <v>0.187658572</v>
      </c>
      <c r="P1277">
        <v>3473.4349999999999</v>
      </c>
      <c r="Q1277">
        <v>3047.3240000000001</v>
      </c>
      <c r="R1277">
        <v>862.45699999999999</v>
      </c>
      <c r="S1277">
        <v>0.62733288499999995</v>
      </c>
      <c r="T1277">
        <v>387.08600000000001</v>
      </c>
      <c r="U1277">
        <v>937.58</v>
      </c>
      <c r="V1277" s="1" t="str">
        <f>IF(Energy_data_1990___2020[[#This Row],[CO2 emissions from fuel combustion (MtCO2)]]&gt;Energy_data_1990___2020[[#Totals],[CO2 emissions from fuel combustion (MtCO2)]],"Above Average","")</f>
        <v>Above Average</v>
      </c>
      <c r="W1277" s="1">
        <f>SUM(Energy_data_1990___2020[[#This Row],[Coal and lignite production (Mt)]]-Energy_data_1990___2020[[#This Row],[Coal and lignite domestic consumption (Mt)]])</f>
        <v>75.123000000000047</v>
      </c>
    </row>
    <row r="1278" spans="1:23">
      <c r="A1278" t="s">
        <v>71</v>
      </c>
      <c r="B1278">
        <v>1995</v>
      </c>
      <c r="C1278" t="s">
        <v>33</v>
      </c>
      <c r="D1278">
        <v>5149.3919189999997</v>
      </c>
      <c r="E1278">
        <v>2.4965435610000002</v>
      </c>
      <c r="F1278">
        <v>0.46226935000000002</v>
      </c>
      <c r="G1278">
        <v>1654.5077120000001</v>
      </c>
      <c r="H1278">
        <v>2062.6084799999999</v>
      </c>
      <c r="I1278">
        <v>11.392239330000001</v>
      </c>
      <c r="J1278">
        <v>18.869098770000001</v>
      </c>
      <c r="K1278">
        <v>753.24400000000003</v>
      </c>
      <c r="L1278">
        <v>781.05100000000004</v>
      </c>
      <c r="M1278">
        <v>528.27522769999996</v>
      </c>
      <c r="N1278">
        <v>609.31412999999998</v>
      </c>
      <c r="O1278">
        <v>0.18516374299999999</v>
      </c>
      <c r="P1278">
        <v>3582.114</v>
      </c>
      <c r="Q1278">
        <v>3135.8069999999998</v>
      </c>
      <c r="R1278">
        <v>871.75099999999998</v>
      </c>
      <c r="S1278">
        <v>0.52943596999999998</v>
      </c>
      <c r="T1278">
        <v>383.262</v>
      </c>
      <c r="U1278">
        <v>937.09799999999996</v>
      </c>
      <c r="V1278" s="1" t="str">
        <f>IF(Energy_data_1990___2020[[#This Row],[CO2 emissions from fuel combustion (MtCO2)]]&gt;Energy_data_1990___2020[[#Totals],[CO2 emissions from fuel combustion (MtCO2)]],"Above Average","")</f>
        <v>Above Average</v>
      </c>
      <c r="W1278" s="1">
        <f>SUM(Energy_data_1990___2020[[#This Row],[Coal and lignite production (Mt)]]-Energy_data_1990___2020[[#This Row],[Coal and lignite domestic consumption (Mt)]])</f>
        <v>65.34699999999998</v>
      </c>
    </row>
    <row r="1279" spans="1:23">
      <c r="A1279" t="s">
        <v>71</v>
      </c>
      <c r="B1279">
        <v>1996</v>
      </c>
      <c r="C1279" t="s">
        <v>33</v>
      </c>
      <c r="D1279">
        <v>5317.3043479999997</v>
      </c>
      <c r="E1279">
        <v>2.5221720329999999</v>
      </c>
      <c r="F1279">
        <v>0.45998999499999998</v>
      </c>
      <c r="G1279">
        <v>1673.24333</v>
      </c>
      <c r="H1279">
        <v>2108.2242919999999</v>
      </c>
      <c r="I1279">
        <v>12.201314</v>
      </c>
      <c r="J1279">
        <v>18.775791510000001</v>
      </c>
      <c r="K1279">
        <v>779.42499999999995</v>
      </c>
      <c r="L1279">
        <v>802.14800000000002</v>
      </c>
      <c r="M1279">
        <v>533.66545870000004</v>
      </c>
      <c r="N1279">
        <v>622.02995840000006</v>
      </c>
      <c r="O1279">
        <v>0.18237851699999999</v>
      </c>
      <c r="P1279">
        <v>3677.0219999999999</v>
      </c>
      <c r="Q1279">
        <v>3221.3049999999998</v>
      </c>
      <c r="R1279">
        <v>912.81700000000001</v>
      </c>
      <c r="S1279">
        <v>0.54560456800000001</v>
      </c>
      <c r="T1279">
        <v>382.48899999999998</v>
      </c>
      <c r="U1279">
        <v>965.11400000000003</v>
      </c>
      <c r="V1279" s="1" t="str">
        <f>IF(Energy_data_1990___2020[[#This Row],[CO2 emissions from fuel combustion (MtCO2)]]&gt;Energy_data_1990___2020[[#Totals],[CO2 emissions from fuel combustion (MtCO2)]],"Above Average","")</f>
        <v>Above Average</v>
      </c>
      <c r="W1279" s="1">
        <f>SUM(Energy_data_1990___2020[[#This Row],[Coal and lignite production (Mt)]]-Energy_data_1990___2020[[#This Row],[Coal and lignite domestic consumption (Mt)]])</f>
        <v>52.297000000000025</v>
      </c>
    </row>
    <row r="1280" spans="1:23">
      <c r="A1280" t="s">
        <v>71</v>
      </c>
      <c r="B1280">
        <v>1997</v>
      </c>
      <c r="C1280" t="s">
        <v>33</v>
      </c>
      <c r="D1280">
        <v>5583.4328260000002</v>
      </c>
      <c r="E1280">
        <v>2.6217191949999998</v>
      </c>
      <c r="F1280">
        <v>0.46244628300000001</v>
      </c>
      <c r="G1280">
        <v>1670.5701489999999</v>
      </c>
      <c r="H1280">
        <v>2129.6837730000002</v>
      </c>
      <c r="I1280">
        <v>11.591928879999999</v>
      </c>
      <c r="J1280">
        <v>18.84094219</v>
      </c>
      <c r="K1280">
        <v>826.80899999999997</v>
      </c>
      <c r="L1280">
        <v>819.39300000000003</v>
      </c>
      <c r="M1280">
        <v>536.6686631</v>
      </c>
      <c r="N1280">
        <v>643.81800810000004</v>
      </c>
      <c r="O1280">
        <v>0.17639047099999999</v>
      </c>
      <c r="P1280">
        <v>3697.7280000000001</v>
      </c>
      <c r="Q1280">
        <v>3270.6280000000002</v>
      </c>
      <c r="R1280">
        <v>937.43700000000001</v>
      </c>
      <c r="S1280">
        <v>0.51539756299999995</v>
      </c>
      <c r="T1280">
        <v>380.85199999999998</v>
      </c>
      <c r="U1280">
        <v>988.76900000000001</v>
      </c>
      <c r="V1280" s="1" t="str">
        <f>IF(Energy_data_1990___2020[[#This Row],[CO2 emissions from fuel combustion (MtCO2)]]&gt;Energy_data_1990___2020[[#Totals],[CO2 emissions from fuel combustion (MtCO2)]],"Above Average","")</f>
        <v>Above Average</v>
      </c>
      <c r="W1280" s="1">
        <f>SUM(Energy_data_1990___2020[[#This Row],[Coal and lignite production (Mt)]]-Energy_data_1990___2020[[#This Row],[Coal and lignite domestic consumption (Mt)]])</f>
        <v>51.331999999999994</v>
      </c>
    </row>
    <row r="1281" spans="1:23">
      <c r="A1281" t="s">
        <v>71</v>
      </c>
      <c r="B1281">
        <v>1998</v>
      </c>
      <c r="C1281" t="s">
        <v>33</v>
      </c>
      <c r="D1281">
        <v>5619.9498890000004</v>
      </c>
      <c r="E1281">
        <v>2.6166889370000002</v>
      </c>
      <c r="F1281">
        <v>0.445505865</v>
      </c>
      <c r="G1281">
        <v>1683.3800209999999</v>
      </c>
      <c r="H1281">
        <v>2147.7332710000001</v>
      </c>
      <c r="I1281">
        <v>10.221775859999999</v>
      </c>
      <c r="J1281">
        <v>19.476935780000002</v>
      </c>
      <c r="K1281">
        <v>854.36199999999997</v>
      </c>
      <c r="L1281">
        <v>832.476</v>
      </c>
      <c r="M1281">
        <v>535.71149339999999</v>
      </c>
      <c r="N1281">
        <v>629.89499169999999</v>
      </c>
      <c r="O1281">
        <v>0.170255569</v>
      </c>
      <c r="P1281">
        <v>3830.489</v>
      </c>
      <c r="Q1281">
        <v>3373.86</v>
      </c>
      <c r="R1281">
        <v>944.01800000000003</v>
      </c>
      <c r="S1281">
        <v>0.50325167400000004</v>
      </c>
      <c r="T1281">
        <v>369.78500000000003</v>
      </c>
      <c r="U1281">
        <v>1013.81</v>
      </c>
      <c r="V1281" s="1" t="str">
        <f>IF(Energy_data_1990___2020[[#This Row],[CO2 emissions from fuel combustion (MtCO2)]]&gt;Energy_data_1990___2020[[#Totals],[CO2 emissions from fuel combustion (MtCO2)]],"Above Average","")</f>
        <v>Above Average</v>
      </c>
      <c r="W1281" s="1">
        <f>SUM(Energy_data_1990___2020[[#This Row],[Coal and lignite production (Mt)]]-Energy_data_1990___2020[[#This Row],[Coal and lignite domestic consumption (Mt)]])</f>
        <v>69.791999999999916</v>
      </c>
    </row>
    <row r="1282" spans="1:23">
      <c r="A1282" t="s">
        <v>71</v>
      </c>
      <c r="B1282">
        <v>1999</v>
      </c>
      <c r="C1282" t="s">
        <v>33</v>
      </c>
      <c r="D1282">
        <v>5653.4207280000001</v>
      </c>
      <c r="E1282">
        <v>2.5627338810000002</v>
      </c>
      <c r="F1282">
        <v>0.42782370199999997</v>
      </c>
      <c r="G1282">
        <v>1665.2688230000001</v>
      </c>
      <c r="H1282">
        <v>2206.0116229999999</v>
      </c>
      <c r="I1282">
        <v>9.626331424</v>
      </c>
      <c r="J1282">
        <v>19.544364720000001</v>
      </c>
      <c r="K1282">
        <v>871.53099999999995</v>
      </c>
      <c r="L1282">
        <v>833.66200000000003</v>
      </c>
      <c r="M1282">
        <v>534.54586070000005</v>
      </c>
      <c r="N1282">
        <v>634.39300179999998</v>
      </c>
      <c r="O1282">
        <v>0.16694035400000001</v>
      </c>
      <c r="P1282">
        <v>3897.518</v>
      </c>
      <c r="Q1282">
        <v>3459.6210000000001</v>
      </c>
      <c r="R1282">
        <v>947.21199999999999</v>
      </c>
      <c r="S1282">
        <v>0.54414116899999998</v>
      </c>
      <c r="T1282">
        <v>354.17599999999999</v>
      </c>
      <c r="U1282">
        <v>996.10199999999998</v>
      </c>
      <c r="V1282" s="1" t="str">
        <f>IF(Energy_data_1990___2020[[#This Row],[CO2 emissions from fuel combustion (MtCO2)]]&gt;Energy_data_1990___2020[[#Totals],[CO2 emissions from fuel combustion (MtCO2)]],"Above Average","")</f>
        <v>Above Average</v>
      </c>
      <c r="W1282" s="1">
        <f>SUM(Energy_data_1990___2020[[#This Row],[Coal and lignite production (Mt)]]-Energy_data_1990___2020[[#This Row],[Coal and lignite domestic consumption (Mt)]])</f>
        <v>48.889999999999986</v>
      </c>
    </row>
    <row r="1283" spans="1:23">
      <c r="A1283" t="s">
        <v>71</v>
      </c>
      <c r="B1283">
        <v>2000</v>
      </c>
      <c r="C1283" t="s">
        <v>33</v>
      </c>
      <c r="D1283">
        <v>5817.0942919999998</v>
      </c>
      <c r="E1283">
        <v>2.5642302739999998</v>
      </c>
      <c r="F1283">
        <v>0.422760364</v>
      </c>
      <c r="G1283">
        <v>1662.458756</v>
      </c>
      <c r="H1283">
        <v>2268.5537840000002</v>
      </c>
      <c r="I1283">
        <v>8.8126164819999993</v>
      </c>
      <c r="J1283">
        <v>19.55430608</v>
      </c>
      <c r="K1283">
        <v>865.99800000000005</v>
      </c>
      <c r="L1283">
        <v>848.81799999999998</v>
      </c>
      <c r="M1283">
        <v>544.33471559999998</v>
      </c>
      <c r="N1283">
        <v>661.26154689999998</v>
      </c>
      <c r="O1283">
        <v>0.16486833000000001</v>
      </c>
      <c r="P1283">
        <v>4052.6669999999999</v>
      </c>
      <c r="Q1283">
        <v>3589.779</v>
      </c>
      <c r="R1283">
        <v>982.80399999999997</v>
      </c>
      <c r="S1283">
        <v>0.51768378699999995</v>
      </c>
      <c r="T1283">
        <v>353.00200000000001</v>
      </c>
      <c r="U1283">
        <v>971.59100000000001</v>
      </c>
      <c r="V1283" s="1" t="str">
        <f>IF(Energy_data_1990___2020[[#This Row],[CO2 emissions from fuel combustion (MtCO2)]]&gt;Energy_data_1990___2020[[#Totals],[CO2 emissions from fuel combustion (MtCO2)]],"Above Average","")</f>
        <v>Above Average</v>
      </c>
      <c r="W1283" s="1">
        <f>SUM(Energy_data_1990___2020[[#This Row],[Coal and lignite production (Mt)]]-Energy_data_1990___2020[[#This Row],[Coal and lignite domestic consumption (Mt)]])</f>
        <v>-11.212999999999965</v>
      </c>
    </row>
    <row r="1284" spans="1:23">
      <c r="A1284" t="s">
        <v>71</v>
      </c>
      <c r="B1284">
        <v>2001</v>
      </c>
      <c r="C1284" t="s">
        <v>33</v>
      </c>
      <c r="D1284">
        <v>5795.6791439999997</v>
      </c>
      <c r="E1284">
        <v>2.6037128030000001</v>
      </c>
      <c r="F1284">
        <v>0.417040521</v>
      </c>
      <c r="G1284">
        <v>1683.8366309999999</v>
      </c>
      <c r="H1284">
        <v>2225.9287340000001</v>
      </c>
      <c r="I1284">
        <v>7.4224893390000002</v>
      </c>
      <c r="J1284">
        <v>19.65726592</v>
      </c>
      <c r="K1284">
        <v>880.26400000000001</v>
      </c>
      <c r="L1284">
        <v>844.18799999999999</v>
      </c>
      <c r="M1284">
        <v>556.47210989999996</v>
      </c>
      <c r="N1284">
        <v>629.95621840000001</v>
      </c>
      <c r="O1284">
        <v>0.16017147600000001</v>
      </c>
      <c r="P1284">
        <v>3865.3069999999998</v>
      </c>
      <c r="Q1284">
        <v>3554.3960000000002</v>
      </c>
      <c r="R1284">
        <v>961.74800000000005</v>
      </c>
      <c r="S1284">
        <v>0.56494865699999997</v>
      </c>
      <c r="T1284">
        <v>349.87900000000002</v>
      </c>
      <c r="U1284">
        <v>1021.417</v>
      </c>
      <c r="V1284" s="1" t="str">
        <f>IF(Energy_data_1990___2020[[#This Row],[CO2 emissions from fuel combustion (MtCO2)]]&gt;Energy_data_1990___2020[[#Totals],[CO2 emissions from fuel combustion (MtCO2)]],"Above Average","")</f>
        <v>Above Average</v>
      </c>
      <c r="W1284" s="1">
        <f>SUM(Energy_data_1990___2020[[#This Row],[Coal and lignite production (Mt)]]-Energy_data_1990___2020[[#This Row],[Coal and lignite domestic consumption (Mt)]])</f>
        <v>59.668999999999983</v>
      </c>
    </row>
    <row r="1285" spans="1:23">
      <c r="A1285" t="s">
        <v>71</v>
      </c>
      <c r="B1285">
        <v>2002</v>
      </c>
      <c r="C1285" t="s">
        <v>33</v>
      </c>
      <c r="D1285">
        <v>5650.4217710000003</v>
      </c>
      <c r="E1285">
        <v>2.504407976</v>
      </c>
      <c r="F1285">
        <v>0.399627915</v>
      </c>
      <c r="G1285">
        <v>1656.04925</v>
      </c>
      <c r="H1285">
        <v>2256.190615</v>
      </c>
      <c r="I1285">
        <v>9.2038251150000008</v>
      </c>
      <c r="J1285">
        <v>20.195689869999999</v>
      </c>
      <c r="K1285">
        <v>843.88</v>
      </c>
      <c r="L1285">
        <v>837.35</v>
      </c>
      <c r="M1285">
        <v>536.39423290000002</v>
      </c>
      <c r="N1285">
        <v>651.14448560000005</v>
      </c>
      <c r="O1285">
        <v>0.159569814</v>
      </c>
      <c r="P1285">
        <v>4051.12</v>
      </c>
      <c r="Q1285">
        <v>3631.904</v>
      </c>
      <c r="R1285">
        <v>970.25699999999995</v>
      </c>
      <c r="S1285">
        <v>0.65665791200000001</v>
      </c>
      <c r="T1285">
        <v>348.06200000000001</v>
      </c>
      <c r="U1285">
        <v>992.71699999999998</v>
      </c>
      <c r="V1285" s="1" t="str">
        <f>IF(Energy_data_1990___2020[[#This Row],[CO2 emissions from fuel combustion (MtCO2)]]&gt;Energy_data_1990___2020[[#Totals],[CO2 emissions from fuel combustion (MtCO2)]],"Above Average","")</f>
        <v>Above Average</v>
      </c>
      <c r="W1285" s="1">
        <f>SUM(Energy_data_1990___2020[[#This Row],[Coal and lignite production (Mt)]]-Energy_data_1990___2020[[#This Row],[Coal and lignite domestic consumption (Mt)]])</f>
        <v>22.460000000000036</v>
      </c>
    </row>
    <row r="1286" spans="1:23">
      <c r="A1286" t="s">
        <v>71</v>
      </c>
      <c r="B1286">
        <v>2003</v>
      </c>
      <c r="C1286" t="s">
        <v>33</v>
      </c>
      <c r="D1286">
        <v>5707.8842020000002</v>
      </c>
      <c r="E1286">
        <v>2.5239156280000001</v>
      </c>
      <c r="F1286">
        <v>0.39246277699999998</v>
      </c>
      <c r="G1286">
        <v>1634.5785080000001</v>
      </c>
      <c r="H1286">
        <v>2261.5194179999999</v>
      </c>
      <c r="I1286">
        <v>9.4946204630000004</v>
      </c>
      <c r="J1286">
        <v>20.135114850000001</v>
      </c>
      <c r="K1286">
        <v>859.61500000000001</v>
      </c>
      <c r="L1286">
        <v>851.226</v>
      </c>
      <c r="M1286">
        <v>541.22167309999998</v>
      </c>
      <c r="N1286">
        <v>630.69987920000005</v>
      </c>
      <c r="O1286">
        <v>0.155497582</v>
      </c>
      <c r="P1286">
        <v>4081.7640000000001</v>
      </c>
      <c r="Q1286">
        <v>3662.3270000000002</v>
      </c>
      <c r="R1286">
        <v>995.12900000000002</v>
      </c>
      <c r="S1286">
        <v>0.68982430100000003</v>
      </c>
      <c r="T1286">
        <v>338.43</v>
      </c>
      <c r="U1286">
        <v>972.27800000000002</v>
      </c>
      <c r="V1286" s="1" t="str">
        <f>IF(Energy_data_1990___2020[[#This Row],[CO2 emissions from fuel combustion (MtCO2)]]&gt;Energy_data_1990___2020[[#Totals],[CO2 emissions from fuel combustion (MtCO2)]],"Above Average","")</f>
        <v>Above Average</v>
      </c>
      <c r="W1286" s="1">
        <f>SUM(Energy_data_1990___2020[[#This Row],[Coal and lignite production (Mt)]]-Energy_data_1990___2020[[#This Row],[Coal and lignite domestic consumption (Mt)]])</f>
        <v>-22.850999999999999</v>
      </c>
    </row>
    <row r="1287" spans="1:23">
      <c r="A1287" t="s">
        <v>71</v>
      </c>
      <c r="B1287">
        <v>2004</v>
      </c>
      <c r="C1287" t="s">
        <v>33</v>
      </c>
      <c r="D1287">
        <v>5787.054153</v>
      </c>
      <c r="E1287">
        <v>2.5072252580000001</v>
      </c>
      <c r="F1287">
        <v>0.38334354199999998</v>
      </c>
      <c r="G1287">
        <v>1645.9230950000001</v>
      </c>
      <c r="H1287">
        <v>2308.1508669999998</v>
      </c>
      <c r="I1287">
        <v>9.2161981159999993</v>
      </c>
      <c r="J1287">
        <v>20.028619970000001</v>
      </c>
      <c r="K1287">
        <v>888.49099999999999</v>
      </c>
      <c r="L1287">
        <v>869.86900000000003</v>
      </c>
      <c r="M1287">
        <v>526.80438340000001</v>
      </c>
      <c r="N1287">
        <v>633.9043709</v>
      </c>
      <c r="O1287">
        <v>0.152895533</v>
      </c>
      <c r="P1287">
        <v>4174.8559999999998</v>
      </c>
      <c r="Q1287">
        <v>3716.3180000000002</v>
      </c>
      <c r="R1287">
        <v>1005.558</v>
      </c>
      <c r="S1287">
        <v>0.75324753700000002</v>
      </c>
      <c r="T1287">
        <v>325.916</v>
      </c>
      <c r="U1287">
        <v>1019.129</v>
      </c>
      <c r="V1287" s="1" t="str">
        <f>IF(Energy_data_1990___2020[[#This Row],[CO2 emissions from fuel combustion (MtCO2)]]&gt;Energy_data_1990___2020[[#Totals],[CO2 emissions from fuel combustion (MtCO2)]],"Above Average","")</f>
        <v>Above Average</v>
      </c>
      <c r="W1287" s="1">
        <f>SUM(Energy_data_1990___2020[[#This Row],[Coal and lignite production (Mt)]]-Energy_data_1990___2020[[#This Row],[Coal and lignite domestic consumption (Mt)]])</f>
        <v>13.571000000000026</v>
      </c>
    </row>
    <row r="1288" spans="1:23">
      <c r="A1288" t="s">
        <v>71</v>
      </c>
      <c r="B1288">
        <v>2005</v>
      </c>
      <c r="C1288" t="s">
        <v>33</v>
      </c>
      <c r="D1288">
        <v>5802.5417170000001</v>
      </c>
      <c r="E1288">
        <v>2.5015559989999998</v>
      </c>
      <c r="F1288">
        <v>0.37132405400000001</v>
      </c>
      <c r="G1288">
        <v>1631.750867</v>
      </c>
      <c r="H1288">
        <v>2319.5729860000001</v>
      </c>
      <c r="I1288">
        <v>9.1209230320000003</v>
      </c>
      <c r="J1288">
        <v>20.63196216</v>
      </c>
      <c r="K1288">
        <v>886.86300000000006</v>
      </c>
      <c r="L1288">
        <v>865.279</v>
      </c>
      <c r="M1288">
        <v>511.48553379999998</v>
      </c>
      <c r="N1288">
        <v>623.17174829999999</v>
      </c>
      <c r="O1288">
        <v>0.148437235</v>
      </c>
      <c r="P1288">
        <v>4294.3680000000004</v>
      </c>
      <c r="Q1288">
        <v>3811.4870000000001</v>
      </c>
      <c r="R1288">
        <v>1018.2029690000001</v>
      </c>
      <c r="S1288">
        <v>0.84822726000000004</v>
      </c>
      <c r="T1288">
        <v>309.98899999999998</v>
      </c>
      <c r="U1288">
        <v>1038.5909999999999</v>
      </c>
      <c r="V1288" s="1" t="str">
        <f>IF(Energy_data_1990___2020[[#This Row],[CO2 emissions from fuel combustion (MtCO2)]]&gt;Energy_data_1990___2020[[#Totals],[CO2 emissions from fuel combustion (MtCO2)]],"Above Average","")</f>
        <v>Above Average</v>
      </c>
      <c r="W1288" s="1">
        <f>SUM(Energy_data_1990___2020[[#This Row],[Coal and lignite production (Mt)]]-Energy_data_1990___2020[[#This Row],[Coal and lignite domestic consumption (Mt)]])</f>
        <v>20.388030999999842</v>
      </c>
    </row>
    <row r="1289" spans="1:23">
      <c r="A1289" t="s">
        <v>71</v>
      </c>
      <c r="B1289">
        <v>2006</v>
      </c>
      <c r="C1289" t="s">
        <v>33</v>
      </c>
      <c r="D1289">
        <v>5697.0816610000002</v>
      </c>
      <c r="E1289">
        <v>2.4795905579999999</v>
      </c>
      <c r="F1289">
        <v>0.35445570100000001</v>
      </c>
      <c r="G1289">
        <v>1655.0365730000001</v>
      </c>
      <c r="H1289">
        <v>2297.5896729999999</v>
      </c>
      <c r="I1289">
        <v>9.7894802189999997</v>
      </c>
      <c r="J1289">
        <v>20.786129200000001</v>
      </c>
      <c r="K1289">
        <v>871.16499999999996</v>
      </c>
      <c r="L1289">
        <v>864.52700000000004</v>
      </c>
      <c r="M1289">
        <v>524.29495250000002</v>
      </c>
      <c r="N1289">
        <v>614.04061739999997</v>
      </c>
      <c r="O1289">
        <v>0.14294928600000001</v>
      </c>
      <c r="P1289">
        <v>4300.8310000000001</v>
      </c>
      <c r="Q1289">
        <v>3817.56</v>
      </c>
      <c r="R1289">
        <v>1008.6559999999999</v>
      </c>
      <c r="S1289">
        <v>1.063561902</v>
      </c>
      <c r="T1289">
        <v>304.37799999999999</v>
      </c>
      <c r="U1289">
        <v>1067.902</v>
      </c>
      <c r="V1289" s="1" t="str">
        <f>IF(Energy_data_1990___2020[[#This Row],[CO2 emissions from fuel combustion (MtCO2)]]&gt;Energy_data_1990___2020[[#Totals],[CO2 emissions from fuel combustion (MtCO2)]],"Above Average","")</f>
        <v>Above Average</v>
      </c>
      <c r="W1289" s="1">
        <f>SUM(Energy_data_1990___2020[[#This Row],[Coal and lignite production (Mt)]]-Energy_data_1990___2020[[#This Row],[Coal and lignite domestic consumption (Mt)]])</f>
        <v>59.246000000000095</v>
      </c>
    </row>
    <row r="1290" spans="1:23">
      <c r="A1290" t="s">
        <v>71</v>
      </c>
      <c r="B1290">
        <v>2007</v>
      </c>
      <c r="C1290" t="s">
        <v>33</v>
      </c>
      <c r="D1290">
        <v>5783.0560230000001</v>
      </c>
      <c r="E1290">
        <v>2.4734683350000002</v>
      </c>
      <c r="F1290">
        <v>0.35317853799999999</v>
      </c>
      <c r="G1290">
        <v>1669.5989070000001</v>
      </c>
      <c r="H1290">
        <v>2338.0351949999999</v>
      </c>
      <c r="I1290">
        <v>8.9139120260000002</v>
      </c>
      <c r="J1290">
        <v>21.122787859999999</v>
      </c>
      <c r="K1290">
        <v>860.04</v>
      </c>
      <c r="L1290">
        <v>859.31399999999996</v>
      </c>
      <c r="M1290">
        <v>545.88041520000002</v>
      </c>
      <c r="N1290">
        <v>654.19978609999998</v>
      </c>
      <c r="O1290">
        <v>0.14278676300000001</v>
      </c>
      <c r="P1290">
        <v>4349.8410000000003</v>
      </c>
      <c r="Q1290">
        <v>3921.94</v>
      </c>
      <c r="R1290">
        <v>1020.991031</v>
      </c>
      <c r="S1290">
        <v>1.246528321</v>
      </c>
      <c r="T1290">
        <v>303.97899999999998</v>
      </c>
      <c r="U1290">
        <v>1052.981</v>
      </c>
      <c r="V1290" s="1" t="str">
        <f>IF(Energy_data_1990___2020[[#This Row],[CO2 emissions from fuel combustion (MtCO2)]]&gt;Energy_data_1990___2020[[#Totals],[CO2 emissions from fuel combustion (MtCO2)]],"Above Average","")</f>
        <v>Above Average</v>
      </c>
      <c r="W1290" s="1">
        <f>SUM(Energy_data_1990___2020[[#This Row],[Coal and lignite production (Mt)]]-Energy_data_1990___2020[[#This Row],[Coal and lignite domestic consumption (Mt)]])</f>
        <v>31.989968999999974</v>
      </c>
    </row>
    <row r="1291" spans="1:23">
      <c r="A1291" t="s">
        <v>71</v>
      </c>
      <c r="B1291">
        <v>2008</v>
      </c>
      <c r="C1291" t="s">
        <v>33</v>
      </c>
      <c r="D1291">
        <v>5601.9381750000002</v>
      </c>
      <c r="E1291">
        <v>2.4596582379999998</v>
      </c>
      <c r="F1291">
        <v>0.34258534499999999</v>
      </c>
      <c r="G1291">
        <v>1702.24658</v>
      </c>
      <c r="H1291">
        <v>2277.5270519999999</v>
      </c>
      <c r="I1291">
        <v>9.5301768829999993</v>
      </c>
      <c r="J1291">
        <v>21.636540310000001</v>
      </c>
      <c r="K1291">
        <v>804.07600000000002</v>
      </c>
      <c r="L1291">
        <v>857.41</v>
      </c>
      <c r="M1291">
        <v>571.120272</v>
      </c>
      <c r="N1291">
        <v>658.99726920000001</v>
      </c>
      <c r="O1291">
        <v>0.13928168499999999</v>
      </c>
      <c r="P1291">
        <v>4368.2610000000004</v>
      </c>
      <c r="Q1291">
        <v>3907.2289999999998</v>
      </c>
      <c r="R1291">
        <v>1017.777</v>
      </c>
      <c r="S1291">
        <v>1.7272090659999999</v>
      </c>
      <c r="T1291">
        <v>299.35000000000002</v>
      </c>
      <c r="U1291">
        <v>1075.8810000000001</v>
      </c>
      <c r="V1291" s="1" t="str">
        <f>IF(Energy_data_1990___2020[[#This Row],[CO2 emissions from fuel combustion (MtCO2)]]&gt;Energy_data_1990___2020[[#Totals],[CO2 emissions from fuel combustion (MtCO2)]],"Above Average","")</f>
        <v>Above Average</v>
      </c>
      <c r="W1291" s="1">
        <f>SUM(Energy_data_1990___2020[[#This Row],[Coal and lignite production (Mt)]]-Energy_data_1990___2020[[#This Row],[Coal and lignite domestic consumption (Mt)]])</f>
        <v>58.104000000000042</v>
      </c>
    </row>
    <row r="1292" spans="1:23">
      <c r="A1292" t="s">
        <v>71</v>
      </c>
      <c r="B1292">
        <v>2009</v>
      </c>
      <c r="C1292" t="s">
        <v>33</v>
      </c>
      <c r="D1292">
        <v>5209.9267819999995</v>
      </c>
      <c r="E1292">
        <v>2.4061877969999999</v>
      </c>
      <c r="F1292">
        <v>0.32690475000000002</v>
      </c>
      <c r="G1292">
        <v>1686.3026179999999</v>
      </c>
      <c r="H1292">
        <v>2165.2203490000002</v>
      </c>
      <c r="I1292">
        <v>10.780630889999999</v>
      </c>
      <c r="J1292">
        <v>21.751123450000001</v>
      </c>
      <c r="K1292">
        <v>754.96</v>
      </c>
      <c r="L1292">
        <v>804.56600000000003</v>
      </c>
      <c r="M1292">
        <v>584.33590800000002</v>
      </c>
      <c r="N1292">
        <v>646.78773039999999</v>
      </c>
      <c r="O1292">
        <v>0.13586003199999999</v>
      </c>
      <c r="P1292">
        <v>4188.2150000000001</v>
      </c>
      <c r="Q1292">
        <v>3724.6579999999999</v>
      </c>
      <c r="R1292">
        <v>904.15300000000002</v>
      </c>
      <c r="S1292">
        <v>2.2544687890000001</v>
      </c>
      <c r="T1292">
        <v>321.67500000000001</v>
      </c>
      <c r="U1292">
        <v>987.55200000000002</v>
      </c>
      <c r="V1292" s="1" t="str">
        <f>IF(Energy_data_1990___2020[[#This Row],[CO2 emissions from fuel combustion (MtCO2)]]&gt;Energy_data_1990___2020[[#Totals],[CO2 emissions from fuel combustion (MtCO2)]],"Above Average","")</f>
        <v>Above Average</v>
      </c>
      <c r="W1292" s="1">
        <f>SUM(Energy_data_1990___2020[[#This Row],[Coal and lignite production (Mt)]]-Energy_data_1990___2020[[#This Row],[Coal and lignite domestic consumption (Mt)]])</f>
        <v>83.399000000000001</v>
      </c>
    </row>
    <row r="1293" spans="1:23">
      <c r="A1293" t="s">
        <v>71</v>
      </c>
      <c r="B1293">
        <v>2010</v>
      </c>
      <c r="C1293" t="s">
        <v>33</v>
      </c>
      <c r="D1293">
        <v>5445.0310170000002</v>
      </c>
      <c r="E1293">
        <v>2.4555091579999999</v>
      </c>
      <c r="F1293">
        <v>0.33311639500000001</v>
      </c>
      <c r="G1293">
        <v>1725.0080310000001</v>
      </c>
      <c r="H1293">
        <v>2217.4753449999998</v>
      </c>
      <c r="I1293">
        <v>10.61439831</v>
      </c>
      <c r="J1293">
        <v>21.696686799999998</v>
      </c>
      <c r="K1293">
        <v>776.76599999999996</v>
      </c>
      <c r="L1293">
        <v>834.06200000000001</v>
      </c>
      <c r="M1293">
        <v>603.85632880000003</v>
      </c>
      <c r="N1293">
        <v>683.10739160000003</v>
      </c>
      <c r="O1293">
        <v>0.13566082400000001</v>
      </c>
      <c r="P1293">
        <v>4378.43</v>
      </c>
      <c r="Q1293">
        <v>3894.3670000000002</v>
      </c>
      <c r="R1293">
        <v>953.57399999999996</v>
      </c>
      <c r="S1293">
        <v>2.7500953539999999</v>
      </c>
      <c r="T1293">
        <v>334.22699999999998</v>
      </c>
      <c r="U1293">
        <v>996.10699999999997</v>
      </c>
      <c r="V1293" s="1" t="str">
        <f>IF(Energy_data_1990___2020[[#This Row],[CO2 emissions from fuel combustion (MtCO2)]]&gt;Energy_data_1990___2020[[#Totals],[CO2 emissions from fuel combustion (MtCO2)]],"Above Average","")</f>
        <v>Above Average</v>
      </c>
      <c r="W1293" s="1">
        <f>SUM(Energy_data_1990___2020[[#This Row],[Coal and lignite production (Mt)]]-Energy_data_1990___2020[[#This Row],[Coal and lignite domestic consumption (Mt)]])</f>
        <v>42.533000000000015</v>
      </c>
    </row>
    <row r="1294" spans="1:23">
      <c r="A1294" t="s">
        <v>71</v>
      </c>
      <c r="B1294">
        <v>2011</v>
      </c>
      <c r="C1294" t="s">
        <v>33</v>
      </c>
      <c r="D1294">
        <v>5237.0282020000004</v>
      </c>
      <c r="E1294">
        <v>2.3897741739999998</v>
      </c>
      <c r="F1294">
        <v>0.31549832799999999</v>
      </c>
      <c r="G1294">
        <v>1787.1310470000001</v>
      </c>
      <c r="H1294">
        <v>2191.4322529999999</v>
      </c>
      <c r="I1294">
        <v>12.6863937</v>
      </c>
      <c r="J1294">
        <v>22.211278320000002</v>
      </c>
      <c r="K1294">
        <v>728.55799999999999</v>
      </c>
      <c r="L1294">
        <v>806.803</v>
      </c>
      <c r="M1294">
        <v>648.75833109999996</v>
      </c>
      <c r="N1294">
        <v>692.97453789999997</v>
      </c>
      <c r="O1294">
        <v>0.13202014300000001</v>
      </c>
      <c r="P1294">
        <v>4349.4629999999997</v>
      </c>
      <c r="Q1294">
        <v>3885.0189999999998</v>
      </c>
      <c r="R1294">
        <v>910.22900000000004</v>
      </c>
      <c r="S1294">
        <v>3.4256412799999998</v>
      </c>
      <c r="T1294">
        <v>346.53399999999999</v>
      </c>
      <c r="U1294">
        <v>1005.921</v>
      </c>
      <c r="V1294" s="1" t="str">
        <f>IF(Energy_data_1990___2020[[#This Row],[CO2 emissions from fuel combustion (MtCO2)]]&gt;Energy_data_1990___2020[[#Totals],[CO2 emissions from fuel combustion (MtCO2)]],"Above Average","")</f>
        <v>Above Average</v>
      </c>
      <c r="W1294" s="1">
        <f>SUM(Energy_data_1990___2020[[#This Row],[Coal and lignite production (Mt)]]-Energy_data_1990___2020[[#This Row],[Coal and lignite domestic consumption (Mt)]])</f>
        <v>95.692000000000007</v>
      </c>
    </row>
    <row r="1295" spans="1:23">
      <c r="A1295" t="s">
        <v>71</v>
      </c>
      <c r="B1295">
        <v>2012</v>
      </c>
      <c r="C1295" t="s">
        <v>33</v>
      </c>
      <c r="D1295">
        <v>5047.4175020000002</v>
      </c>
      <c r="E1295">
        <v>2.3450816140000001</v>
      </c>
      <c r="F1295">
        <v>0.29738563800000001</v>
      </c>
      <c r="G1295">
        <v>1820.98522</v>
      </c>
      <c r="H1295">
        <v>2152.3419359999998</v>
      </c>
      <c r="I1295">
        <v>12.41296211</v>
      </c>
      <c r="J1295">
        <v>22.33966985</v>
      </c>
      <c r="K1295">
        <v>715.34100000000001</v>
      </c>
      <c r="L1295">
        <v>802.654</v>
      </c>
      <c r="M1295">
        <v>680.79536519999999</v>
      </c>
      <c r="N1295">
        <v>728.31280300000003</v>
      </c>
      <c r="O1295">
        <v>0.12681249</v>
      </c>
      <c r="P1295">
        <v>4290.66</v>
      </c>
      <c r="Q1295">
        <v>3830.933</v>
      </c>
      <c r="R1295">
        <v>806.92700000000002</v>
      </c>
      <c r="S1295">
        <v>4.063151124</v>
      </c>
      <c r="T1295">
        <v>395.62400000000002</v>
      </c>
      <c r="U1295">
        <v>932.274</v>
      </c>
      <c r="V1295" s="1" t="str">
        <f>IF(Energy_data_1990___2020[[#This Row],[CO2 emissions from fuel combustion (MtCO2)]]&gt;Energy_data_1990___2020[[#Totals],[CO2 emissions from fuel combustion (MtCO2)]],"Above Average","")</f>
        <v>Above Average</v>
      </c>
      <c r="W1295" s="1">
        <f>SUM(Energy_data_1990___2020[[#This Row],[Coal and lignite production (Mt)]]-Energy_data_1990___2020[[#This Row],[Coal and lignite domestic consumption (Mt)]])</f>
        <v>125.34699999999998</v>
      </c>
    </row>
    <row r="1296" spans="1:23">
      <c r="A1296" t="s">
        <v>71</v>
      </c>
      <c r="B1296">
        <v>2013</v>
      </c>
      <c r="C1296" t="s">
        <v>33</v>
      </c>
      <c r="D1296">
        <v>5150.8956170000001</v>
      </c>
      <c r="E1296">
        <v>2.35180561</v>
      </c>
      <c r="F1296">
        <v>0.29799312500000003</v>
      </c>
      <c r="G1296">
        <v>1878.5669600000001</v>
      </c>
      <c r="H1296">
        <v>2190.1876560000001</v>
      </c>
      <c r="I1296">
        <v>13.028580209999999</v>
      </c>
      <c r="J1296">
        <v>21.876616649999999</v>
      </c>
      <c r="K1296">
        <v>725.28</v>
      </c>
      <c r="L1296">
        <v>818.18600000000004</v>
      </c>
      <c r="M1296">
        <v>685.67713270000002</v>
      </c>
      <c r="N1296">
        <v>739.35273210000003</v>
      </c>
      <c r="O1296">
        <v>0.12670823000000001</v>
      </c>
      <c r="P1296">
        <v>4306.3710000000001</v>
      </c>
      <c r="Q1296">
        <v>3871.7350000000001</v>
      </c>
      <c r="R1296">
        <v>837.12099999999998</v>
      </c>
      <c r="S1296">
        <v>4.8384823319999999</v>
      </c>
      <c r="T1296">
        <v>449.11399999999998</v>
      </c>
      <c r="U1296">
        <v>903.66300000000001</v>
      </c>
      <c r="V1296" s="1" t="str">
        <f>IF(Energy_data_1990___2020[[#This Row],[CO2 emissions from fuel combustion (MtCO2)]]&gt;Energy_data_1990___2020[[#Totals],[CO2 emissions from fuel combustion (MtCO2)]],"Above Average","")</f>
        <v>Above Average</v>
      </c>
      <c r="W1296" s="1">
        <f>SUM(Energy_data_1990___2020[[#This Row],[Coal and lignite production (Mt)]]-Energy_data_1990___2020[[#This Row],[Coal and lignite domestic consumption (Mt)]])</f>
        <v>66.54200000000003</v>
      </c>
    </row>
    <row r="1297" spans="1:23">
      <c r="A1297" t="s">
        <v>71</v>
      </c>
      <c r="B1297">
        <v>2014</v>
      </c>
      <c r="C1297" t="s">
        <v>33</v>
      </c>
      <c r="D1297">
        <v>5191.6488589999999</v>
      </c>
      <c r="E1297">
        <v>2.3422777030000002</v>
      </c>
      <c r="F1297">
        <v>0.293162543</v>
      </c>
      <c r="G1297">
        <v>2015.802848</v>
      </c>
      <c r="H1297">
        <v>2216.495872</v>
      </c>
      <c r="I1297">
        <v>13.37929407</v>
      </c>
      <c r="J1297">
        <v>21.67933919</v>
      </c>
      <c r="K1297">
        <v>730.67700000000002</v>
      </c>
      <c r="L1297">
        <v>842.90300000000002</v>
      </c>
      <c r="M1297">
        <v>733.43099370000004</v>
      </c>
      <c r="N1297">
        <v>750.47073049999995</v>
      </c>
      <c r="O1297">
        <v>0.125161309</v>
      </c>
      <c r="P1297">
        <v>4340.3710000000001</v>
      </c>
      <c r="Q1297">
        <v>3895.2159999999999</v>
      </c>
      <c r="R1297">
        <v>830.64400000000001</v>
      </c>
      <c r="S1297">
        <v>5.3613850059999999</v>
      </c>
      <c r="T1297">
        <v>524.41499999999996</v>
      </c>
      <c r="U1297">
        <v>918.197</v>
      </c>
      <c r="V1297" s="1" t="str">
        <f>IF(Energy_data_1990___2020[[#This Row],[CO2 emissions from fuel combustion (MtCO2)]]&gt;Energy_data_1990___2020[[#Totals],[CO2 emissions from fuel combustion (MtCO2)]],"Above Average","")</f>
        <v>Above Average</v>
      </c>
      <c r="W1297" s="1">
        <f>SUM(Energy_data_1990___2020[[#This Row],[Coal and lignite production (Mt)]]-Energy_data_1990___2020[[#This Row],[Coal and lignite domestic consumption (Mt)]])</f>
        <v>87.552999999999997</v>
      </c>
    </row>
    <row r="1298" spans="1:23">
      <c r="A1298" t="s">
        <v>71</v>
      </c>
      <c r="B1298">
        <v>2015</v>
      </c>
      <c r="C1298" t="s">
        <v>33</v>
      </c>
      <c r="D1298">
        <v>5044.0754159999997</v>
      </c>
      <c r="E1298">
        <v>2.3008766879999998</v>
      </c>
      <c r="F1298">
        <v>0.27685345099999997</v>
      </c>
      <c r="G1298">
        <v>2027.1134890000001</v>
      </c>
      <c r="H1298">
        <v>2192.2406550000001</v>
      </c>
      <c r="I1298">
        <v>13.63280806</v>
      </c>
      <c r="J1298">
        <v>21.722975609999999</v>
      </c>
      <c r="K1298">
        <v>744.44</v>
      </c>
      <c r="L1298">
        <v>860.24800000000005</v>
      </c>
      <c r="M1298">
        <v>766.52450499999998</v>
      </c>
      <c r="N1298">
        <v>767.06980250000004</v>
      </c>
      <c r="O1298">
        <v>0.12032520200000001</v>
      </c>
      <c r="P1298">
        <v>4317.1589999999997</v>
      </c>
      <c r="Q1298">
        <v>3895.3649999999998</v>
      </c>
      <c r="R1298">
        <v>721.97299999999996</v>
      </c>
      <c r="S1298">
        <v>5.857370553</v>
      </c>
      <c r="T1298">
        <v>566.84</v>
      </c>
      <c r="U1298">
        <v>813.69</v>
      </c>
      <c r="V1298" s="1" t="str">
        <f>IF(Energy_data_1990___2020[[#This Row],[CO2 emissions from fuel combustion (MtCO2)]]&gt;Energy_data_1990___2020[[#Totals],[CO2 emissions from fuel combustion (MtCO2)]],"Above Average","")</f>
        <v>Above Average</v>
      </c>
      <c r="W1298" s="1">
        <f>SUM(Energy_data_1990___2020[[#This Row],[Coal and lignite production (Mt)]]-Energy_data_1990___2020[[#This Row],[Coal and lignite domestic consumption (Mt)]])</f>
        <v>91.717000000000098</v>
      </c>
    </row>
    <row r="1299" spans="1:23">
      <c r="A1299" t="s">
        <v>71</v>
      </c>
      <c r="B1299">
        <v>2016</v>
      </c>
      <c r="C1299" t="s">
        <v>33</v>
      </c>
      <c r="D1299">
        <v>4948.9239299999999</v>
      </c>
      <c r="E1299">
        <v>2.2821956860000001</v>
      </c>
      <c r="F1299">
        <v>0.26743953199999998</v>
      </c>
      <c r="G1299">
        <v>1920.0691850000001</v>
      </c>
      <c r="H1299">
        <v>2168.4923690000001</v>
      </c>
      <c r="I1299">
        <v>15.25944473</v>
      </c>
      <c r="J1299">
        <v>21.839217999999999</v>
      </c>
      <c r="K1299">
        <v>747.40099999999995</v>
      </c>
      <c r="L1299">
        <v>869.57799999999997</v>
      </c>
      <c r="M1299">
        <v>755.26328179999996</v>
      </c>
      <c r="N1299">
        <v>776.66176949999999</v>
      </c>
      <c r="O1299">
        <v>0.117185189</v>
      </c>
      <c r="P1299">
        <v>4322.0379999999996</v>
      </c>
      <c r="Q1299">
        <v>3922.011</v>
      </c>
      <c r="R1299">
        <v>663.27200000000005</v>
      </c>
      <c r="S1299">
        <v>7.032955286</v>
      </c>
      <c r="T1299">
        <v>545.23900000000003</v>
      </c>
      <c r="U1299">
        <v>660.76</v>
      </c>
      <c r="V1299" s="1" t="str">
        <f>IF(Energy_data_1990___2020[[#This Row],[CO2 emissions from fuel combustion (MtCO2)]]&gt;Energy_data_1990___2020[[#Totals],[CO2 emissions from fuel combustion (MtCO2)]],"Above Average","")</f>
        <v>Above Average</v>
      </c>
      <c r="W1299" s="1">
        <f>SUM(Energy_data_1990___2020[[#This Row],[Coal and lignite production (Mt)]]-Energy_data_1990___2020[[#This Row],[Coal and lignite domestic consumption (Mt)]])</f>
        <v>-2.5120000000000573</v>
      </c>
    </row>
    <row r="1300" spans="1:23">
      <c r="A1300" t="s">
        <v>71</v>
      </c>
      <c r="B1300">
        <v>2017</v>
      </c>
      <c r="C1300" t="s">
        <v>33</v>
      </c>
      <c r="D1300">
        <v>4890.6559829999997</v>
      </c>
      <c r="E1300">
        <v>2.2631822119999998</v>
      </c>
      <c r="F1300">
        <v>0.25855846799999999</v>
      </c>
      <c r="G1300">
        <v>1998.078309</v>
      </c>
      <c r="H1300">
        <v>2160.9643080000001</v>
      </c>
      <c r="I1300">
        <v>17.285418490000001</v>
      </c>
      <c r="J1300">
        <v>21.4296291</v>
      </c>
      <c r="K1300">
        <v>745.21710199999995</v>
      </c>
      <c r="L1300">
        <v>883.33088699999996</v>
      </c>
      <c r="M1300">
        <v>773.30066650000003</v>
      </c>
      <c r="N1300">
        <v>769.75072950000003</v>
      </c>
      <c r="O1300">
        <v>0.11424553699999999</v>
      </c>
      <c r="P1300">
        <v>4286.4287409999997</v>
      </c>
      <c r="Q1300">
        <v>3886.9560780000002</v>
      </c>
      <c r="R1300">
        <v>650.31899999999996</v>
      </c>
      <c r="S1300">
        <v>8.2212748019999999</v>
      </c>
      <c r="T1300">
        <v>575.22299199999998</v>
      </c>
      <c r="U1300">
        <v>702.71500000000003</v>
      </c>
      <c r="V1300" s="1" t="str">
        <f>IF(Energy_data_1990___2020[[#This Row],[CO2 emissions from fuel combustion (MtCO2)]]&gt;Energy_data_1990___2020[[#Totals],[CO2 emissions from fuel combustion (MtCO2)]],"Above Average","")</f>
        <v>Above Average</v>
      </c>
      <c r="W1300" s="1">
        <f>SUM(Energy_data_1990___2020[[#This Row],[Coal and lignite production (Mt)]]-Energy_data_1990___2020[[#This Row],[Coal and lignite domestic consumption (Mt)]])</f>
        <v>52.396000000000072</v>
      </c>
    </row>
    <row r="1301" spans="1:23">
      <c r="A1301" t="s">
        <v>71</v>
      </c>
      <c r="B1301">
        <v>2018</v>
      </c>
      <c r="C1301" t="s">
        <v>33</v>
      </c>
      <c r="D1301">
        <v>5055.8326699999998</v>
      </c>
      <c r="E1301">
        <v>2.2608824850000002</v>
      </c>
      <c r="F1301">
        <v>0.259689067</v>
      </c>
      <c r="G1301">
        <v>2177.9405689999999</v>
      </c>
      <c r="H1301">
        <v>2236.220902</v>
      </c>
      <c r="I1301">
        <v>17.16288286</v>
      </c>
      <c r="J1301">
        <v>21.270658180000002</v>
      </c>
      <c r="K1301">
        <v>762.80012699999997</v>
      </c>
      <c r="L1301">
        <v>908.39759600000002</v>
      </c>
      <c r="M1301">
        <v>866.47325650000005</v>
      </c>
      <c r="N1301">
        <v>855.96968030000005</v>
      </c>
      <c r="O1301">
        <v>0.11486181600000001</v>
      </c>
      <c r="P1301">
        <v>4455.4387120000001</v>
      </c>
      <c r="Q1301">
        <v>4042.8400120000001</v>
      </c>
      <c r="R1301">
        <v>624.73299999999995</v>
      </c>
      <c r="S1301">
        <v>8.6425790570000007</v>
      </c>
      <c r="T1301">
        <v>671.94018200000005</v>
      </c>
      <c r="U1301">
        <v>685.98299999999995</v>
      </c>
      <c r="V1301" s="1" t="str">
        <f>IF(Energy_data_1990___2020[[#This Row],[CO2 emissions from fuel combustion (MtCO2)]]&gt;Energy_data_1990___2020[[#Totals],[CO2 emissions from fuel combustion (MtCO2)]],"Above Average","")</f>
        <v>Above Average</v>
      </c>
      <c r="W1301" s="1">
        <f>SUM(Energy_data_1990___2020[[#This Row],[Coal and lignite production (Mt)]]-Energy_data_1990___2020[[#This Row],[Coal and lignite domestic consumption (Mt)]])</f>
        <v>61.25</v>
      </c>
    </row>
    <row r="1302" spans="1:23">
      <c r="A1302" t="s">
        <v>71</v>
      </c>
      <c r="B1302">
        <v>2019</v>
      </c>
      <c r="C1302" t="s">
        <v>33</v>
      </c>
      <c r="D1302">
        <v>4932.6373469999999</v>
      </c>
      <c r="E1302">
        <v>2.228276776</v>
      </c>
      <c r="F1302">
        <v>0.24800190999999999</v>
      </c>
      <c r="G1302">
        <v>2304.5931489999998</v>
      </c>
      <c r="H1302">
        <v>2213.6555920000001</v>
      </c>
      <c r="I1302">
        <v>17.852746530000001</v>
      </c>
      <c r="J1302">
        <v>20.985898819999999</v>
      </c>
      <c r="K1302">
        <v>763.95295480000004</v>
      </c>
      <c r="L1302">
        <v>897.24730409999995</v>
      </c>
      <c r="M1302">
        <v>958.50437639999996</v>
      </c>
      <c r="N1302">
        <v>882.63708340000005</v>
      </c>
      <c r="O1302">
        <v>0.111297624</v>
      </c>
      <c r="P1302">
        <v>4400.6344769999996</v>
      </c>
      <c r="Q1302">
        <v>3996.1085090000001</v>
      </c>
      <c r="R1302">
        <v>532.52086389999999</v>
      </c>
      <c r="S1302">
        <v>9.4975748509999995</v>
      </c>
      <c r="T1302">
        <v>748.19244289999995</v>
      </c>
      <c r="U1302">
        <v>640.75259400000004</v>
      </c>
      <c r="V1302" s="1" t="str">
        <f>IF(Energy_data_1990___2020[[#This Row],[CO2 emissions from fuel combustion (MtCO2)]]&gt;Energy_data_1990___2020[[#Totals],[CO2 emissions from fuel combustion (MtCO2)]],"Above Average","")</f>
        <v>Above Average</v>
      </c>
      <c r="W1302" s="1">
        <f>SUM(Energy_data_1990___2020[[#This Row],[Coal and lignite production (Mt)]]-Energy_data_1990___2020[[#This Row],[Coal and lignite domestic consumption (Mt)]])</f>
        <v>108.23173010000005</v>
      </c>
    </row>
    <row r="1303" spans="1:23">
      <c r="A1303" t="s">
        <v>71</v>
      </c>
      <c r="B1303">
        <v>2020</v>
      </c>
      <c r="C1303" t="s">
        <v>33</v>
      </c>
      <c r="D1303">
        <v>4404.7093139999997</v>
      </c>
      <c r="E1303">
        <v>2.1531448110000002</v>
      </c>
      <c r="F1303">
        <v>0.22949106399999999</v>
      </c>
      <c r="G1303">
        <v>2190.1945559999999</v>
      </c>
      <c r="H1303">
        <v>2045.7097409999999</v>
      </c>
      <c r="I1303">
        <v>19.79598008</v>
      </c>
      <c r="J1303">
        <v>22.023621550000001</v>
      </c>
      <c r="K1303">
        <v>673.51175409999996</v>
      </c>
      <c r="L1303">
        <v>769.41403690000004</v>
      </c>
      <c r="M1303">
        <v>959.84984850000001</v>
      </c>
      <c r="N1303">
        <v>870.79179799999997</v>
      </c>
      <c r="O1303">
        <v>0.106584129</v>
      </c>
      <c r="P1303">
        <v>4262.4561460000004</v>
      </c>
      <c r="Q1303">
        <v>3842.1568820000002</v>
      </c>
      <c r="R1303">
        <v>419.2200095</v>
      </c>
      <c r="S1303">
        <v>11.166131529999999</v>
      </c>
      <c r="T1303">
        <v>722.42443749999995</v>
      </c>
      <c r="U1303">
        <v>488.48452259999999</v>
      </c>
      <c r="V1303" s="1" t="str">
        <f>IF(Energy_data_1990___2020[[#This Row],[CO2 emissions from fuel combustion (MtCO2)]]&gt;Energy_data_1990___2020[[#Totals],[CO2 emissions from fuel combustion (MtCO2)]],"Above Average","")</f>
        <v>Above Average</v>
      </c>
      <c r="W1303" s="1">
        <f>SUM(Energy_data_1990___2020[[#This Row],[Coal and lignite production (Mt)]]-Energy_data_1990___2020[[#This Row],[Coal and lignite domestic consumption (Mt)]])</f>
        <v>69.264513099999988</v>
      </c>
    </row>
    <row r="1304" spans="1:23">
      <c r="A1304" t="s">
        <v>72</v>
      </c>
      <c r="B1304">
        <v>1990</v>
      </c>
      <c r="C1304" t="s">
        <v>28</v>
      </c>
      <c r="D1304">
        <v>119.2441322</v>
      </c>
      <c r="E1304">
        <v>2.5160791640000002</v>
      </c>
      <c r="F1304">
        <v>1.632822979</v>
      </c>
      <c r="G1304">
        <v>38.655248069999999</v>
      </c>
      <c r="H1304">
        <v>47.392838009999998</v>
      </c>
      <c r="I1304">
        <v>11.802929430000001</v>
      </c>
      <c r="J1304">
        <v>10.26749568</v>
      </c>
      <c r="K1304">
        <v>10.956</v>
      </c>
      <c r="L1304">
        <v>7.89</v>
      </c>
      <c r="M1304">
        <v>40.728986239999998</v>
      </c>
      <c r="N1304">
        <v>40.091988899999997</v>
      </c>
      <c r="O1304">
        <v>0.648955328</v>
      </c>
      <c r="P1304">
        <v>56.325000000000003</v>
      </c>
      <c r="Q1304">
        <v>45.62</v>
      </c>
      <c r="R1304">
        <v>8.94</v>
      </c>
      <c r="T1304">
        <v>2.8</v>
      </c>
      <c r="U1304">
        <v>6.4</v>
      </c>
      <c r="V1304" s="1" t="str">
        <f>IF(Energy_data_1990___2020[[#This Row],[CO2 emissions from fuel combustion (MtCO2)]]&gt;Energy_data_1990___2020[[#Totals],[CO2 emissions from fuel combustion (MtCO2)]],"Above Average","")</f>
        <v/>
      </c>
      <c r="W1304" s="1">
        <f>SUM(Energy_data_1990___2020[[#This Row],[Coal and lignite production (Mt)]]-Energy_data_1990___2020[[#This Row],[Coal and lignite domestic consumption (Mt)]])</f>
        <v>-2.5399999999999991</v>
      </c>
    </row>
    <row r="1305" spans="1:23">
      <c r="A1305" t="s">
        <v>72</v>
      </c>
      <c r="B1305">
        <v>1991</v>
      </c>
      <c r="C1305" t="s">
        <v>28</v>
      </c>
      <c r="D1305">
        <v>120.0706752</v>
      </c>
      <c r="E1305">
        <v>2.4992658209999998</v>
      </c>
      <c r="F1305">
        <v>1.652270092</v>
      </c>
      <c r="G1305">
        <v>39.646814540000001</v>
      </c>
      <c r="H1305">
        <v>48.042378790000001</v>
      </c>
      <c r="I1305">
        <v>11.13449645</v>
      </c>
      <c r="J1305">
        <v>10.22136869</v>
      </c>
      <c r="K1305">
        <v>10.404999999999999</v>
      </c>
      <c r="L1305">
        <v>7.6769999999999996</v>
      </c>
      <c r="M1305">
        <v>41.82695674</v>
      </c>
      <c r="N1305">
        <v>41.172994240000001</v>
      </c>
      <c r="O1305">
        <v>0.66110218399999998</v>
      </c>
      <c r="P1305">
        <v>54.164999999999999</v>
      </c>
      <c r="Q1305">
        <v>45.578000000000003</v>
      </c>
      <c r="R1305">
        <v>9.2899999999999991</v>
      </c>
      <c r="T1305">
        <v>2.8319999999999999</v>
      </c>
      <c r="U1305">
        <v>6.75</v>
      </c>
      <c r="V1305" s="1" t="str">
        <f>IF(Energy_data_1990___2020[[#This Row],[CO2 emissions from fuel combustion (MtCO2)]]&gt;Energy_data_1990___2020[[#Totals],[CO2 emissions from fuel combustion (MtCO2)]],"Above Average","")</f>
        <v/>
      </c>
      <c r="W1305" s="1">
        <f>SUM(Energy_data_1990___2020[[#This Row],[Coal and lignite production (Mt)]]-Energy_data_1990___2020[[#This Row],[Coal and lignite domestic consumption (Mt)]])</f>
        <v>-2.5399999999999991</v>
      </c>
    </row>
    <row r="1306" spans="1:23">
      <c r="A1306" t="s">
        <v>72</v>
      </c>
      <c r="B1306">
        <v>1992</v>
      </c>
      <c r="C1306" t="s">
        <v>28</v>
      </c>
      <c r="D1306">
        <v>111.5267727</v>
      </c>
      <c r="E1306">
        <v>2.4732209680000001</v>
      </c>
      <c r="F1306">
        <v>1.7282646939999999</v>
      </c>
      <c r="G1306">
        <v>40.771724579999997</v>
      </c>
      <c r="H1306">
        <v>45.09373574</v>
      </c>
      <c r="I1306">
        <v>12.337215929999999</v>
      </c>
      <c r="J1306">
        <v>10.795479090000001</v>
      </c>
      <c r="K1306">
        <v>8.2870000000000008</v>
      </c>
      <c r="L1306">
        <v>6.4470000000000001</v>
      </c>
      <c r="M1306">
        <v>43.143950750000002</v>
      </c>
      <c r="N1306">
        <v>41.436017409999998</v>
      </c>
      <c r="O1306">
        <v>0.69879105699999999</v>
      </c>
      <c r="P1306">
        <v>50.911000000000001</v>
      </c>
      <c r="Q1306">
        <v>42.704000000000001</v>
      </c>
      <c r="R1306">
        <v>6.7119999999999997</v>
      </c>
      <c r="T1306">
        <v>3.2930000000000001</v>
      </c>
      <c r="U1306">
        <v>5.5309999999999997</v>
      </c>
      <c r="V1306" s="1" t="str">
        <f>IF(Energy_data_1990___2020[[#This Row],[CO2 emissions from fuel combustion (MtCO2)]]&gt;Energy_data_1990___2020[[#Totals],[CO2 emissions from fuel combustion (MtCO2)]],"Above Average","")</f>
        <v/>
      </c>
      <c r="W1306" s="1">
        <f>SUM(Energy_data_1990___2020[[#This Row],[Coal and lignite production (Mt)]]-Energy_data_1990___2020[[#This Row],[Coal and lignite domestic consumption (Mt)]])</f>
        <v>-1.181</v>
      </c>
    </row>
    <row r="1307" spans="1:23">
      <c r="A1307" t="s">
        <v>72</v>
      </c>
      <c r="B1307">
        <v>1993</v>
      </c>
      <c r="C1307" t="s">
        <v>28</v>
      </c>
      <c r="D1307">
        <v>111.9947794</v>
      </c>
      <c r="E1307">
        <v>2.3902558150000002</v>
      </c>
      <c r="F1307">
        <v>1.776373714</v>
      </c>
      <c r="G1307">
        <v>42.924051390000002</v>
      </c>
      <c r="H1307">
        <v>46.854725219999999</v>
      </c>
      <c r="I1307">
        <v>14.970803070000001</v>
      </c>
      <c r="J1307">
        <v>10.42176287</v>
      </c>
      <c r="K1307">
        <v>7.3159999999999998</v>
      </c>
      <c r="L1307">
        <v>6.2729999999999997</v>
      </c>
      <c r="M1307">
        <v>45.261009340000001</v>
      </c>
      <c r="N1307">
        <v>43.972031899999998</v>
      </c>
      <c r="O1307">
        <v>0.743173054</v>
      </c>
      <c r="P1307">
        <v>49.149000000000001</v>
      </c>
      <c r="Q1307">
        <v>41.582000000000001</v>
      </c>
      <c r="R1307">
        <v>5.1929999999999996</v>
      </c>
      <c r="T1307">
        <v>3.944</v>
      </c>
      <c r="U1307">
        <v>4.657</v>
      </c>
      <c r="V1307" s="1" t="str">
        <f>IF(Energy_data_1990___2020[[#This Row],[CO2 emissions from fuel combustion (MtCO2)]]&gt;Energy_data_1990___2020[[#Totals],[CO2 emissions from fuel combustion (MtCO2)]],"Above Average","")</f>
        <v/>
      </c>
      <c r="W1307" s="1">
        <f>SUM(Energy_data_1990___2020[[#This Row],[Coal and lignite production (Mt)]]-Energy_data_1990___2020[[#This Row],[Coal and lignite domestic consumption (Mt)]])</f>
        <v>-0.53599999999999959</v>
      </c>
    </row>
    <row r="1308" spans="1:23">
      <c r="A1308" t="s">
        <v>72</v>
      </c>
      <c r="B1308">
        <v>1994</v>
      </c>
      <c r="C1308" t="s">
        <v>28</v>
      </c>
      <c r="D1308">
        <v>108.8319733</v>
      </c>
      <c r="E1308">
        <v>2.349354956</v>
      </c>
      <c r="F1308">
        <v>1.8208942539999999</v>
      </c>
      <c r="G1308">
        <v>46.220433829999997</v>
      </c>
      <c r="H1308">
        <v>46.324193370000003</v>
      </c>
      <c r="I1308">
        <v>14.9707113</v>
      </c>
      <c r="J1308">
        <v>9.6458742490000002</v>
      </c>
      <c r="K1308">
        <v>6.3739999999999997</v>
      </c>
      <c r="L1308">
        <v>5.726</v>
      </c>
      <c r="M1308">
        <v>47.418036270000002</v>
      </c>
      <c r="N1308">
        <v>44.60202014</v>
      </c>
      <c r="O1308">
        <v>0.77506136299999995</v>
      </c>
      <c r="P1308">
        <v>47.8</v>
      </c>
      <c r="Q1308">
        <v>40.433999999999997</v>
      </c>
      <c r="R1308">
        <v>5.2380000000000004</v>
      </c>
      <c r="T1308">
        <v>5.5</v>
      </c>
      <c r="U1308">
        <v>4.6500000000000004</v>
      </c>
      <c r="V1308" s="1" t="str">
        <f>IF(Energy_data_1990___2020[[#This Row],[CO2 emissions from fuel combustion (MtCO2)]]&gt;Energy_data_1990___2020[[#Totals],[CO2 emissions from fuel combustion (MtCO2)]],"Above Average","")</f>
        <v/>
      </c>
      <c r="W1308" s="1">
        <f>SUM(Energy_data_1990___2020[[#This Row],[Coal and lignite production (Mt)]]-Energy_data_1990___2020[[#This Row],[Coal and lignite domestic consumption (Mt)]])</f>
        <v>-0.58800000000000008</v>
      </c>
    </row>
    <row r="1309" spans="1:23">
      <c r="A1309" t="s">
        <v>72</v>
      </c>
      <c r="B1309">
        <v>1995</v>
      </c>
      <c r="C1309" t="s">
        <v>28</v>
      </c>
      <c r="D1309">
        <v>99.730581619999995</v>
      </c>
      <c r="E1309">
        <v>2.3252962359999998</v>
      </c>
      <c r="F1309">
        <v>1.6837705890000001</v>
      </c>
      <c r="G1309">
        <v>48.917566839999999</v>
      </c>
      <c r="H1309">
        <v>42.889409129999997</v>
      </c>
      <c r="I1309">
        <v>13.040271430000001</v>
      </c>
      <c r="J1309">
        <v>10.03782649</v>
      </c>
      <c r="K1309">
        <v>6.54</v>
      </c>
      <c r="L1309">
        <v>6.6310000000000002</v>
      </c>
      <c r="M1309">
        <v>48.626012830000001</v>
      </c>
      <c r="N1309">
        <v>42.001002929999999</v>
      </c>
      <c r="O1309">
        <v>0.72411014200000001</v>
      </c>
      <c r="P1309">
        <v>47.453000000000003</v>
      </c>
      <c r="Q1309">
        <v>39.210999999999999</v>
      </c>
      <c r="R1309">
        <v>3.04</v>
      </c>
      <c r="T1309">
        <v>7.6630000000000003</v>
      </c>
      <c r="U1309">
        <v>3.0539999999999998</v>
      </c>
      <c r="V1309" s="1" t="str">
        <f>IF(Energy_data_1990___2020[[#This Row],[CO2 emissions from fuel combustion (MtCO2)]]&gt;Energy_data_1990___2020[[#Totals],[CO2 emissions from fuel combustion (MtCO2)]],"Above Average","")</f>
        <v/>
      </c>
      <c r="W1309" s="1">
        <f>SUM(Energy_data_1990___2020[[#This Row],[Coal and lignite production (Mt)]]-Energy_data_1990___2020[[#This Row],[Coal and lignite domestic consumption (Mt)]])</f>
        <v>1.399999999999979E-2</v>
      </c>
    </row>
    <row r="1310" spans="1:23">
      <c r="A1310" t="s">
        <v>72</v>
      </c>
      <c r="B1310">
        <v>1996</v>
      </c>
      <c r="C1310" t="s">
        <v>28</v>
      </c>
      <c r="D1310">
        <v>101.01686770000001</v>
      </c>
      <c r="E1310">
        <v>2.278221566</v>
      </c>
      <c r="F1310">
        <v>1.676978568</v>
      </c>
      <c r="G1310">
        <v>49.34557307</v>
      </c>
      <c r="H1310">
        <v>44.34022976</v>
      </c>
      <c r="I1310">
        <v>14.3662344</v>
      </c>
      <c r="J1310">
        <v>10.349167039999999</v>
      </c>
      <c r="K1310">
        <v>6.3949999999999996</v>
      </c>
      <c r="L1310">
        <v>6.5910000000000002</v>
      </c>
      <c r="M1310">
        <v>48.986988310000001</v>
      </c>
      <c r="N1310">
        <v>43.595001189999998</v>
      </c>
      <c r="O1310">
        <v>0.73609107799999995</v>
      </c>
      <c r="P1310">
        <v>45.418999999999997</v>
      </c>
      <c r="Q1310">
        <v>39.787999999999997</v>
      </c>
      <c r="R1310">
        <v>3.4089999999999998</v>
      </c>
      <c r="T1310">
        <v>7.843</v>
      </c>
      <c r="U1310">
        <v>2.8370000000000002</v>
      </c>
      <c r="V1310" s="1" t="str">
        <f>IF(Energy_data_1990___2020[[#This Row],[CO2 emissions from fuel combustion (MtCO2)]]&gt;Energy_data_1990___2020[[#Totals],[CO2 emissions from fuel combustion (MtCO2)]],"Above Average","")</f>
        <v/>
      </c>
      <c r="W1310" s="1">
        <f>SUM(Energy_data_1990___2020[[#This Row],[Coal and lignite production (Mt)]]-Energy_data_1990___2020[[#This Row],[Coal and lignite domestic consumption (Mt)]])</f>
        <v>-0.57199999999999962</v>
      </c>
    </row>
    <row r="1311" spans="1:23">
      <c r="A1311" t="s">
        <v>72</v>
      </c>
      <c r="B1311">
        <v>1997</v>
      </c>
      <c r="C1311" t="s">
        <v>28</v>
      </c>
      <c r="D1311">
        <v>103.0898108</v>
      </c>
      <c r="E1311">
        <v>2.2862178150000001</v>
      </c>
      <c r="F1311">
        <v>1.6267979530000001</v>
      </c>
      <c r="G1311">
        <v>51.561499699999999</v>
      </c>
      <c r="H1311">
        <v>45.091858760000001</v>
      </c>
      <c r="I1311">
        <v>12.543970120000001</v>
      </c>
      <c r="J1311">
        <v>10.161001779999999</v>
      </c>
      <c r="K1311">
        <v>6.9180000000000001</v>
      </c>
      <c r="L1311">
        <v>6.8609999999999998</v>
      </c>
      <c r="M1311">
        <v>51.245005149999997</v>
      </c>
      <c r="N1311">
        <v>44.266040279999999</v>
      </c>
      <c r="O1311">
        <v>0.71156735000000004</v>
      </c>
      <c r="P1311">
        <v>46.054000000000002</v>
      </c>
      <c r="Q1311">
        <v>40.292999999999999</v>
      </c>
      <c r="R1311">
        <v>2.8</v>
      </c>
      <c r="T1311">
        <v>8.2449999999999992</v>
      </c>
      <c r="U1311">
        <v>2.9470000000000001</v>
      </c>
      <c r="V1311" s="1" t="str">
        <f>IF(Energy_data_1990___2020[[#This Row],[CO2 emissions from fuel combustion (MtCO2)]]&gt;Energy_data_1990___2020[[#Totals],[CO2 emissions from fuel combustion (MtCO2)]],"Above Average","")</f>
        <v/>
      </c>
      <c r="W1311" s="1">
        <f>SUM(Energy_data_1990___2020[[#This Row],[Coal and lignite production (Mt)]]-Energy_data_1990___2020[[#This Row],[Coal and lignite domestic consumption (Mt)]])</f>
        <v>0.14700000000000024</v>
      </c>
    </row>
    <row r="1312" spans="1:23">
      <c r="A1312" t="s">
        <v>72</v>
      </c>
      <c r="B1312">
        <v>1998</v>
      </c>
      <c r="C1312" t="s">
        <v>28</v>
      </c>
      <c r="D1312">
        <v>113.0261721</v>
      </c>
      <c r="E1312">
        <v>2.3911743859999999</v>
      </c>
      <c r="F1312">
        <v>1.710064872</v>
      </c>
      <c r="G1312">
        <v>54.679811839999999</v>
      </c>
      <c r="H1312">
        <v>47.268059059999999</v>
      </c>
      <c r="I1312">
        <v>12.611298570000001</v>
      </c>
      <c r="J1312">
        <v>9.5664476650000001</v>
      </c>
      <c r="K1312">
        <v>6.7060000000000004</v>
      </c>
      <c r="L1312">
        <v>7.39</v>
      </c>
      <c r="M1312">
        <v>54.789991819999997</v>
      </c>
      <c r="N1312">
        <v>48.510061020000002</v>
      </c>
      <c r="O1312">
        <v>0.71515690399999998</v>
      </c>
      <c r="P1312">
        <v>45.935000000000002</v>
      </c>
      <c r="Q1312">
        <v>40.137</v>
      </c>
      <c r="R1312">
        <v>2.9380000000000002</v>
      </c>
      <c r="T1312">
        <v>8.4689999999999994</v>
      </c>
      <c r="U1312">
        <v>2.952</v>
      </c>
      <c r="V1312" s="1" t="str">
        <f>IF(Energy_data_1990___2020[[#This Row],[CO2 emissions from fuel combustion (MtCO2)]]&gt;Energy_data_1990___2020[[#Totals],[CO2 emissions from fuel combustion (MtCO2)]],"Above Average","")</f>
        <v/>
      </c>
      <c r="W1312" s="1">
        <f>SUM(Energy_data_1990___2020[[#This Row],[Coal and lignite production (Mt)]]-Energy_data_1990___2020[[#This Row],[Coal and lignite domestic consumption (Mt)]])</f>
        <v>1.399999999999979E-2</v>
      </c>
    </row>
    <row r="1313" spans="1:23">
      <c r="A1313" t="s">
        <v>72</v>
      </c>
      <c r="B1313">
        <v>1999</v>
      </c>
      <c r="C1313" t="s">
        <v>28</v>
      </c>
      <c r="D1313">
        <v>114.3720031</v>
      </c>
      <c r="E1313">
        <v>2.3032499830000002</v>
      </c>
      <c r="F1313">
        <v>1.6590863309999999</v>
      </c>
      <c r="G1313">
        <v>55.318614539999999</v>
      </c>
      <c r="H1313">
        <v>49.656791050000002</v>
      </c>
      <c r="I1313">
        <v>15.558396330000001</v>
      </c>
      <c r="J1313">
        <v>9.3434280600000008</v>
      </c>
      <c r="K1313">
        <v>6.5839999999999996</v>
      </c>
      <c r="L1313">
        <v>7.1360000000000001</v>
      </c>
      <c r="M1313">
        <v>55.581012960000002</v>
      </c>
      <c r="N1313">
        <v>49.551984330000003</v>
      </c>
      <c r="O1313">
        <v>0.72032403899999997</v>
      </c>
      <c r="P1313">
        <v>45.371000000000002</v>
      </c>
      <c r="Q1313">
        <v>40.529000000000003</v>
      </c>
      <c r="R1313">
        <v>2.9049999999999998</v>
      </c>
      <c r="T1313">
        <v>8.3550000000000004</v>
      </c>
      <c r="U1313">
        <v>2.9550000000000001</v>
      </c>
      <c r="V1313" s="1" t="str">
        <f>IF(Energy_data_1990___2020[[#This Row],[CO2 emissions from fuel combustion (MtCO2)]]&gt;Energy_data_1990___2020[[#Totals],[CO2 emissions from fuel combustion (MtCO2)]],"Above Average","")</f>
        <v/>
      </c>
      <c r="W1313" s="1">
        <f>SUM(Energy_data_1990___2020[[#This Row],[Coal and lignite production (Mt)]]-Energy_data_1990___2020[[#This Row],[Coal and lignite domestic consumption (Mt)]])</f>
        <v>5.0000000000000266E-2</v>
      </c>
    </row>
    <row r="1314" spans="1:23">
      <c r="A1314" t="s">
        <v>72</v>
      </c>
      <c r="B1314">
        <v>2000</v>
      </c>
      <c r="C1314" t="s">
        <v>28</v>
      </c>
      <c r="D1314">
        <v>121.13239470000001</v>
      </c>
      <c r="E1314">
        <v>2.3797308309999998</v>
      </c>
      <c r="F1314">
        <v>1.6922549520000001</v>
      </c>
      <c r="G1314">
        <v>54.900926589999997</v>
      </c>
      <c r="H1314">
        <v>50.901720949999998</v>
      </c>
      <c r="I1314">
        <v>7.5284879010000001</v>
      </c>
      <c r="J1314">
        <v>9.2659669860000005</v>
      </c>
      <c r="K1314">
        <v>6.657</v>
      </c>
      <c r="L1314">
        <v>7.19</v>
      </c>
      <c r="M1314">
        <v>56.400987090000001</v>
      </c>
      <c r="N1314">
        <v>52.887973350000003</v>
      </c>
      <c r="O1314">
        <v>0.71111191600000001</v>
      </c>
      <c r="P1314">
        <v>46.862000000000002</v>
      </c>
      <c r="Q1314">
        <v>41.905000000000001</v>
      </c>
      <c r="R1314">
        <v>3.1459999999999999</v>
      </c>
      <c r="T1314">
        <v>7.734</v>
      </c>
      <c r="U1314">
        <v>2.5009999999999999</v>
      </c>
      <c r="V1314" s="1" t="str">
        <f>IF(Energy_data_1990___2020[[#This Row],[CO2 emissions from fuel combustion (MtCO2)]]&gt;Energy_data_1990___2020[[#Totals],[CO2 emissions from fuel combustion (MtCO2)]],"Above Average","")</f>
        <v/>
      </c>
      <c r="W1314" s="1">
        <f>SUM(Energy_data_1990___2020[[#This Row],[Coal and lignite production (Mt)]]-Energy_data_1990___2020[[#This Row],[Coal and lignite domestic consumption (Mt)]])</f>
        <v>-0.64500000000000002</v>
      </c>
    </row>
    <row r="1315" spans="1:23">
      <c r="A1315" t="s">
        <v>72</v>
      </c>
      <c r="B1315">
        <v>2001</v>
      </c>
      <c r="C1315" t="s">
        <v>28</v>
      </c>
      <c r="D1315">
        <v>121.9406362</v>
      </c>
      <c r="E1315">
        <v>2.3802698179999999</v>
      </c>
      <c r="F1315">
        <v>1.6354488760000001</v>
      </c>
      <c r="G1315">
        <v>55.551015280000001</v>
      </c>
      <c r="H1315">
        <v>51.22975357</v>
      </c>
      <c r="I1315">
        <v>9.0827581889999998</v>
      </c>
      <c r="J1315">
        <v>8.4013950309999998</v>
      </c>
      <c r="K1315">
        <v>6.625</v>
      </c>
      <c r="L1315">
        <v>6.8710000000000004</v>
      </c>
      <c r="M1315">
        <v>57.413998790000001</v>
      </c>
      <c r="N1315">
        <v>53.68099892</v>
      </c>
      <c r="O1315">
        <v>0.68708549900000004</v>
      </c>
      <c r="P1315">
        <v>47.959000000000003</v>
      </c>
      <c r="Q1315">
        <v>38.289000000000001</v>
      </c>
      <c r="R1315">
        <v>2.738</v>
      </c>
      <c r="T1315">
        <v>7.4160000000000004</v>
      </c>
      <c r="U1315">
        <v>2.7109999999999999</v>
      </c>
      <c r="V1315" s="1" t="str">
        <f>IF(Energy_data_1990___2020[[#This Row],[CO2 emissions from fuel combustion (MtCO2)]]&gt;Energy_data_1990___2020[[#Totals],[CO2 emissions from fuel combustion (MtCO2)]],"Above Average","")</f>
        <v/>
      </c>
      <c r="W1315" s="1">
        <f>SUM(Energy_data_1990___2020[[#This Row],[Coal and lignite production (Mt)]]-Energy_data_1990___2020[[#This Row],[Coal and lignite domestic consumption (Mt)]])</f>
        <v>-2.7000000000000135E-2</v>
      </c>
    </row>
    <row r="1316" spans="1:23">
      <c r="A1316" t="s">
        <v>72</v>
      </c>
      <c r="B1316">
        <v>2002</v>
      </c>
      <c r="C1316" t="s">
        <v>28</v>
      </c>
      <c r="D1316">
        <v>124.58268390000001</v>
      </c>
      <c r="E1316">
        <v>2.3503444569999998</v>
      </c>
      <c r="F1316">
        <v>1.6070285209999999</v>
      </c>
      <c r="G1316">
        <v>57.579710249999998</v>
      </c>
      <c r="H1316">
        <v>53.006138559999997</v>
      </c>
      <c r="I1316">
        <v>12.19507258</v>
      </c>
      <c r="J1316">
        <v>8.1978843930000007</v>
      </c>
      <c r="K1316">
        <v>6.5170000000000003</v>
      </c>
      <c r="L1316">
        <v>6.8120000000000003</v>
      </c>
      <c r="M1316">
        <v>59.688009710000003</v>
      </c>
      <c r="N1316">
        <v>55.204980880000001</v>
      </c>
      <c r="O1316">
        <v>0.68374170300000003</v>
      </c>
      <c r="P1316">
        <v>49.396999999999998</v>
      </c>
      <c r="Q1316">
        <v>38.348999999999997</v>
      </c>
      <c r="R1316">
        <v>2.895</v>
      </c>
      <c r="T1316">
        <v>7.4420000000000002</v>
      </c>
      <c r="U1316">
        <v>2.7360000000000002</v>
      </c>
      <c r="V1316" s="1" t="str">
        <f>IF(Energy_data_1990___2020[[#This Row],[CO2 emissions from fuel combustion (MtCO2)]]&gt;Energy_data_1990___2020[[#Totals],[CO2 emissions from fuel combustion (MtCO2)]],"Above Average","")</f>
        <v/>
      </c>
      <c r="W1316" s="1">
        <f>SUM(Energy_data_1990___2020[[#This Row],[Coal and lignite production (Mt)]]-Energy_data_1990___2020[[#This Row],[Coal and lignite domestic consumption (Mt)]])</f>
        <v>-0.15899999999999981</v>
      </c>
    </row>
    <row r="1317" spans="1:23">
      <c r="A1317" t="s">
        <v>72</v>
      </c>
      <c r="B1317">
        <v>2003</v>
      </c>
      <c r="C1317" t="s">
        <v>28</v>
      </c>
      <c r="D1317">
        <v>117.4003987</v>
      </c>
      <c r="E1317">
        <v>2.2896454350000002</v>
      </c>
      <c r="F1317">
        <v>1.4528868340000001</v>
      </c>
      <c r="G1317">
        <v>56.089782370000002</v>
      </c>
      <c r="H1317">
        <v>51.274488550000001</v>
      </c>
      <c r="I1317">
        <v>16.759673379999999</v>
      </c>
      <c r="J1317">
        <v>8.3583771710000008</v>
      </c>
      <c r="K1317">
        <v>5.8579999999999997</v>
      </c>
      <c r="L1317">
        <v>6.22</v>
      </c>
      <c r="M1317">
        <v>58.062060719999998</v>
      </c>
      <c r="N1317">
        <v>52.953044050000003</v>
      </c>
      <c r="O1317">
        <v>0.63454664699999996</v>
      </c>
      <c r="P1317">
        <v>48.741999999999997</v>
      </c>
      <c r="Q1317">
        <v>37.320999999999998</v>
      </c>
      <c r="R1317">
        <v>2.2050000000000001</v>
      </c>
      <c r="T1317">
        <v>7.3819999999999997</v>
      </c>
      <c r="U1317">
        <v>1.913</v>
      </c>
      <c r="V1317" s="1" t="str">
        <f>IF(Energy_data_1990___2020[[#This Row],[CO2 emissions from fuel combustion (MtCO2)]]&gt;Energy_data_1990___2020[[#Totals],[CO2 emissions from fuel combustion (MtCO2)]],"Above Average","")</f>
        <v/>
      </c>
      <c r="W1317" s="1">
        <f>SUM(Energy_data_1990___2020[[#This Row],[Coal and lignite production (Mt)]]-Energy_data_1990___2020[[#This Row],[Coal and lignite domestic consumption (Mt)]])</f>
        <v>-0.29200000000000004</v>
      </c>
    </row>
    <row r="1318" spans="1:23">
      <c r="A1318" t="s">
        <v>72</v>
      </c>
      <c r="B1318">
        <v>2004</v>
      </c>
      <c r="C1318" t="s">
        <v>28</v>
      </c>
      <c r="D1318">
        <v>120.1110137</v>
      </c>
      <c r="E1318">
        <v>2.3676853150000001</v>
      </c>
      <c r="F1318">
        <v>1.383383746</v>
      </c>
      <c r="G1318">
        <v>57.563376779999999</v>
      </c>
      <c r="H1318">
        <v>50.72929791</v>
      </c>
      <c r="I1318">
        <v>12.273888810000001</v>
      </c>
      <c r="J1318">
        <v>8.3890476849999995</v>
      </c>
      <c r="K1318">
        <v>5.5389999999999997</v>
      </c>
      <c r="L1318">
        <v>5.9980000000000002</v>
      </c>
      <c r="M1318">
        <v>60.428015670000001</v>
      </c>
      <c r="N1318">
        <v>54.226047989999998</v>
      </c>
      <c r="O1318">
        <v>0.58427686199999995</v>
      </c>
      <c r="P1318">
        <v>49.698999999999998</v>
      </c>
      <c r="Q1318">
        <v>37.481999999999999</v>
      </c>
      <c r="R1318">
        <v>2.9940000000000002</v>
      </c>
      <c r="T1318">
        <v>6.835</v>
      </c>
      <c r="U1318">
        <v>2.6989999999999998</v>
      </c>
      <c r="V1318" s="1" t="str">
        <f>IF(Energy_data_1990___2020[[#This Row],[CO2 emissions from fuel combustion (MtCO2)]]&gt;Energy_data_1990___2020[[#Totals],[CO2 emissions from fuel combustion (MtCO2)]],"Above Average","")</f>
        <v/>
      </c>
      <c r="W1318" s="1">
        <f>SUM(Energy_data_1990___2020[[#This Row],[Coal and lignite production (Mt)]]-Energy_data_1990___2020[[#This Row],[Coal and lignite domestic consumption (Mt)]])</f>
        <v>-0.29500000000000037</v>
      </c>
    </row>
    <row r="1319" spans="1:23">
      <c r="A1319" t="s">
        <v>72</v>
      </c>
      <c r="B1319">
        <v>2005</v>
      </c>
      <c r="C1319" t="s">
        <v>28</v>
      </c>
      <c r="D1319">
        <v>113.21885640000001</v>
      </c>
      <c r="E1319">
        <v>2.3588960879999998</v>
      </c>
      <c r="F1319">
        <v>1.219264087</v>
      </c>
      <c r="G1319">
        <v>56.943458700000001</v>
      </c>
      <c r="H1319">
        <v>47.996542509999998</v>
      </c>
      <c r="I1319">
        <v>18.72862688</v>
      </c>
      <c r="J1319">
        <v>8.5491317220000003</v>
      </c>
      <c r="K1319">
        <v>5.2320000000000002</v>
      </c>
      <c r="L1319">
        <v>5.4660000000000002</v>
      </c>
      <c r="M1319">
        <v>60.724013429999999</v>
      </c>
      <c r="N1319">
        <v>50.984003309999999</v>
      </c>
      <c r="O1319">
        <v>0.51687910000000004</v>
      </c>
      <c r="P1319">
        <v>47.664999999999999</v>
      </c>
      <c r="Q1319">
        <v>36.588000000000001</v>
      </c>
      <c r="R1319">
        <v>2.9089999999999998</v>
      </c>
      <c r="T1319">
        <v>5.6289999999999996</v>
      </c>
      <c r="U1319">
        <v>3.0019999999999998</v>
      </c>
      <c r="V1319" s="1" t="str">
        <f>IF(Energy_data_1990___2020[[#This Row],[CO2 emissions from fuel combustion (MtCO2)]]&gt;Energy_data_1990___2020[[#Totals],[CO2 emissions from fuel combustion (MtCO2)]],"Above Average","")</f>
        <v/>
      </c>
      <c r="W1319" s="1">
        <f>SUM(Energy_data_1990___2020[[#This Row],[Coal and lignite production (Mt)]]-Energy_data_1990___2020[[#This Row],[Coal and lignite domestic consumption (Mt)]])</f>
        <v>9.2999999999999972E-2</v>
      </c>
    </row>
    <row r="1320" spans="1:23">
      <c r="A1320" t="s">
        <v>72</v>
      </c>
      <c r="B1320">
        <v>2006</v>
      </c>
      <c r="C1320" t="s">
        <v>28</v>
      </c>
      <c r="D1320">
        <v>120.2579743</v>
      </c>
      <c r="E1320">
        <v>2.4374363510000001</v>
      </c>
      <c r="F1320">
        <v>1.2052600149999999</v>
      </c>
      <c r="G1320">
        <v>58.627323990000001</v>
      </c>
      <c r="H1320">
        <v>49.337893149999999</v>
      </c>
      <c r="I1320">
        <v>9.519372937</v>
      </c>
      <c r="J1320">
        <v>8.909117449</v>
      </c>
      <c r="K1320">
        <v>5.0960000000000001</v>
      </c>
      <c r="L1320">
        <v>5.2629999999999999</v>
      </c>
      <c r="M1320">
        <v>63.300007919999999</v>
      </c>
      <c r="N1320">
        <v>54.777021480000002</v>
      </c>
      <c r="O1320">
        <v>0.49447855899999998</v>
      </c>
      <c r="P1320">
        <v>49.372999999999998</v>
      </c>
      <c r="Q1320">
        <v>39.49</v>
      </c>
      <c r="R1320">
        <v>3.14</v>
      </c>
      <c r="T1320">
        <v>5.5330000000000004</v>
      </c>
      <c r="U1320">
        <v>3.1219999999999999</v>
      </c>
      <c r="V1320" s="1" t="str">
        <f>IF(Energy_data_1990___2020[[#This Row],[CO2 emissions from fuel combustion (MtCO2)]]&gt;Energy_data_1990___2020[[#Totals],[CO2 emissions from fuel combustion (MtCO2)]],"Above Average","")</f>
        <v/>
      </c>
      <c r="W1320" s="1">
        <f>SUM(Energy_data_1990___2020[[#This Row],[Coal and lignite production (Mt)]]-Energy_data_1990___2020[[#This Row],[Coal and lignite domestic consumption (Mt)]])</f>
        <v>-1.8000000000000238E-2</v>
      </c>
    </row>
    <row r="1321" spans="1:23">
      <c r="A1321" t="s">
        <v>72</v>
      </c>
      <c r="B1321">
        <v>2007</v>
      </c>
      <c r="C1321" t="s">
        <v>28</v>
      </c>
      <c r="D1321">
        <v>116.41913719999999</v>
      </c>
      <c r="E1321">
        <v>2.433865086</v>
      </c>
      <c r="F1321">
        <v>1.0658208229999999</v>
      </c>
      <c r="G1321">
        <v>60.076098690000002</v>
      </c>
      <c r="H1321">
        <v>47.833028169999999</v>
      </c>
      <c r="I1321">
        <v>9.5203117670000008</v>
      </c>
      <c r="J1321">
        <v>9.4310981629999997</v>
      </c>
      <c r="K1321">
        <v>4.5039999999999996</v>
      </c>
      <c r="L1321">
        <v>4.718</v>
      </c>
      <c r="M1321">
        <v>65.599989440000002</v>
      </c>
      <c r="N1321">
        <v>53.734032220000003</v>
      </c>
      <c r="O1321">
        <v>0.43791286099999999</v>
      </c>
      <c r="P1321">
        <v>49.011000000000003</v>
      </c>
      <c r="Q1321">
        <v>40.545000000000002</v>
      </c>
      <c r="R1321">
        <v>2.8</v>
      </c>
      <c r="T1321">
        <v>5.0629999999999997</v>
      </c>
      <c r="U1321">
        <v>3.2730000000000001</v>
      </c>
      <c r="V1321" s="1" t="str">
        <f>IF(Energy_data_1990___2020[[#This Row],[CO2 emissions from fuel combustion (MtCO2)]]&gt;Energy_data_1990___2020[[#Totals],[CO2 emissions from fuel combustion (MtCO2)]],"Above Average","")</f>
        <v/>
      </c>
      <c r="W1321" s="1">
        <f>SUM(Energy_data_1990___2020[[#This Row],[Coal and lignite production (Mt)]]-Energy_data_1990___2020[[#This Row],[Coal and lignite domestic consumption (Mt)]])</f>
        <v>0.47300000000000031</v>
      </c>
    </row>
    <row r="1322" spans="1:23">
      <c r="A1322" t="s">
        <v>72</v>
      </c>
      <c r="B1322">
        <v>2008</v>
      </c>
      <c r="C1322" t="s">
        <v>28</v>
      </c>
      <c r="D1322">
        <v>121.9848867</v>
      </c>
      <c r="E1322">
        <v>2.45329</v>
      </c>
      <c r="F1322">
        <v>1.024290586</v>
      </c>
      <c r="G1322">
        <v>62.291719360000002</v>
      </c>
      <c r="H1322">
        <v>49.7229788</v>
      </c>
      <c r="I1322">
        <v>8.9370345289999999</v>
      </c>
      <c r="J1322">
        <v>8.8270749639999995</v>
      </c>
      <c r="K1322">
        <v>4.4340000000000002</v>
      </c>
      <c r="L1322">
        <v>4.5129999999999999</v>
      </c>
      <c r="M1322">
        <v>68.329048909999997</v>
      </c>
      <c r="N1322">
        <v>56.339035930000001</v>
      </c>
      <c r="O1322">
        <v>0.41751712400000002</v>
      </c>
      <c r="P1322">
        <v>50.218000000000004</v>
      </c>
      <c r="Q1322">
        <v>40.005000000000003</v>
      </c>
      <c r="R1322">
        <v>3.4510000000000001</v>
      </c>
      <c r="T1322">
        <v>4.9589999999999996</v>
      </c>
      <c r="U1322">
        <v>3.6019999999999999</v>
      </c>
      <c r="V1322" s="1" t="str">
        <f>IF(Energy_data_1990___2020[[#This Row],[CO2 emissions from fuel combustion (MtCO2)]]&gt;Energy_data_1990___2020[[#Totals],[CO2 emissions from fuel combustion (MtCO2)]],"Above Average","")</f>
        <v/>
      </c>
      <c r="W1322" s="1">
        <f>SUM(Energy_data_1990___2020[[#This Row],[Coal and lignite production (Mt)]]-Energy_data_1990___2020[[#This Row],[Coal and lignite domestic consumption (Mt)]])</f>
        <v>0.1509999999999998</v>
      </c>
    </row>
    <row r="1323" spans="1:23">
      <c r="A1323" t="s">
        <v>72</v>
      </c>
      <c r="B1323">
        <v>2009</v>
      </c>
      <c r="C1323" t="s">
        <v>28</v>
      </c>
      <c r="D1323">
        <v>112.0421893</v>
      </c>
      <c r="E1323">
        <v>2.4552608349999998</v>
      </c>
      <c r="F1323">
        <v>0.87070335499999996</v>
      </c>
      <c r="G1323">
        <v>61.0672043</v>
      </c>
      <c r="H1323">
        <v>45.633517920000003</v>
      </c>
      <c r="I1323">
        <v>12.939344950000001</v>
      </c>
      <c r="J1323">
        <v>9.5486073430000005</v>
      </c>
      <c r="K1323">
        <v>4.2709999999999999</v>
      </c>
      <c r="L1323">
        <v>4.649</v>
      </c>
      <c r="M1323">
        <v>66.948077139999995</v>
      </c>
      <c r="N1323">
        <v>51.260055739999999</v>
      </c>
      <c r="O1323">
        <v>0.35462764000000002</v>
      </c>
      <c r="P1323">
        <v>50.103000000000002</v>
      </c>
      <c r="Q1323">
        <v>39.49</v>
      </c>
      <c r="R1323">
        <v>3.319</v>
      </c>
      <c r="T1323">
        <v>4.6719999999999997</v>
      </c>
      <c r="U1323">
        <v>3.6539999999999999</v>
      </c>
      <c r="V1323" s="1" t="str">
        <f>IF(Energy_data_1990___2020[[#This Row],[CO2 emissions from fuel combustion (MtCO2)]]&gt;Energy_data_1990___2020[[#Totals],[CO2 emissions from fuel combustion (MtCO2)]],"Above Average","")</f>
        <v/>
      </c>
      <c r="W1323" s="1">
        <f>SUM(Energy_data_1990___2020[[#This Row],[Coal and lignite production (Mt)]]-Energy_data_1990___2020[[#This Row],[Coal and lignite domestic consumption (Mt)]])</f>
        <v>0.33499999999999996</v>
      </c>
    </row>
    <row r="1324" spans="1:23">
      <c r="A1324" t="s">
        <v>72</v>
      </c>
      <c r="B1324">
        <v>2010</v>
      </c>
      <c r="C1324" t="s">
        <v>28</v>
      </c>
      <c r="D1324">
        <v>120.1561291</v>
      </c>
      <c r="E1324">
        <v>2.452326459</v>
      </c>
      <c r="F1324">
        <v>0.86782812300000001</v>
      </c>
      <c r="G1324">
        <v>59.606016250000003</v>
      </c>
      <c r="H1324">
        <v>48.996791880000004</v>
      </c>
      <c r="I1324">
        <v>15.76142376</v>
      </c>
      <c r="J1324">
        <v>8.5660788980000007</v>
      </c>
      <c r="K1324">
        <v>4.0410000000000004</v>
      </c>
      <c r="L1324">
        <v>4.125</v>
      </c>
      <c r="M1324">
        <v>65.959032640000004</v>
      </c>
      <c r="N1324">
        <v>56.49503283</v>
      </c>
      <c r="O1324">
        <v>0.35387952499999997</v>
      </c>
      <c r="P1324">
        <v>51.975000000000001</v>
      </c>
      <c r="Q1324">
        <v>38.881</v>
      </c>
      <c r="R1324">
        <v>2.8570000000000002</v>
      </c>
      <c r="T1324">
        <v>3.8849999999999998</v>
      </c>
      <c r="U1324">
        <v>3.63</v>
      </c>
      <c r="V1324" s="1" t="str">
        <f>IF(Energy_data_1990___2020[[#This Row],[CO2 emissions from fuel combustion (MtCO2)]]&gt;Energy_data_1990___2020[[#Totals],[CO2 emissions from fuel combustion (MtCO2)]],"Above Average","")</f>
        <v/>
      </c>
      <c r="W1324" s="1">
        <f>SUM(Energy_data_1990___2020[[#This Row],[Coal and lignite production (Mt)]]-Energy_data_1990___2020[[#This Row],[Coal and lignite domestic consumption (Mt)]])</f>
        <v>0.77299999999999969</v>
      </c>
    </row>
    <row r="1325" spans="1:23">
      <c r="A1325" t="s">
        <v>72</v>
      </c>
      <c r="B1325">
        <v>2011</v>
      </c>
      <c r="C1325" t="s">
        <v>28</v>
      </c>
      <c r="D1325">
        <v>122.74426889999999</v>
      </c>
      <c r="E1325">
        <v>2.4728962189999999</v>
      </c>
      <c r="F1325">
        <v>0.822491419</v>
      </c>
      <c r="G1325">
        <v>56.091138559999997</v>
      </c>
      <c r="H1325">
        <v>49.63583509</v>
      </c>
      <c r="I1325">
        <v>10.80031816</v>
      </c>
      <c r="J1325">
        <v>8.8482430680000004</v>
      </c>
      <c r="K1325">
        <v>3.6589999999999998</v>
      </c>
      <c r="L1325">
        <v>3.8010000000000002</v>
      </c>
      <c r="M1325">
        <v>63.04107535</v>
      </c>
      <c r="N1325">
        <v>58.32596968</v>
      </c>
      <c r="O1325">
        <v>0.33260248100000001</v>
      </c>
      <c r="P1325">
        <v>52.804000000000002</v>
      </c>
      <c r="Q1325">
        <v>40.241</v>
      </c>
      <c r="R1325">
        <v>3.0539999999999998</v>
      </c>
      <c r="T1325">
        <v>2.89</v>
      </c>
      <c r="U1325">
        <v>3.8450000000000002</v>
      </c>
      <c r="V1325" s="1" t="str">
        <f>IF(Energy_data_1990___2020[[#This Row],[CO2 emissions from fuel combustion (MtCO2)]]&gt;Energy_data_1990___2020[[#Totals],[CO2 emissions from fuel combustion (MtCO2)]],"Above Average","")</f>
        <v/>
      </c>
      <c r="W1325" s="1">
        <f>SUM(Energy_data_1990___2020[[#This Row],[Coal and lignite production (Mt)]]-Energy_data_1990___2020[[#This Row],[Coal and lignite domestic consumption (Mt)]])</f>
        <v>0.79100000000000037</v>
      </c>
    </row>
    <row r="1326" spans="1:23">
      <c r="A1326" t="s">
        <v>72</v>
      </c>
      <c r="B1326">
        <v>2012</v>
      </c>
      <c r="C1326" t="s">
        <v>28</v>
      </c>
      <c r="D1326">
        <v>108.98467770000001</v>
      </c>
      <c r="E1326">
        <v>2.474458716</v>
      </c>
      <c r="F1326">
        <v>0.68012668600000004</v>
      </c>
      <c r="G1326">
        <v>55.098391800000002</v>
      </c>
      <c r="H1326">
        <v>44.04384563</v>
      </c>
      <c r="I1326">
        <v>12.5533039</v>
      </c>
      <c r="J1326">
        <v>10.456913269999999</v>
      </c>
      <c r="K1326">
        <v>3.4590000000000001</v>
      </c>
      <c r="L1326">
        <v>3.6150000000000002</v>
      </c>
      <c r="M1326">
        <v>61.530998439999998</v>
      </c>
      <c r="N1326">
        <v>50.367995989999997</v>
      </c>
      <c r="O1326">
        <v>0.274858773</v>
      </c>
      <c r="P1326">
        <v>52.997999999999998</v>
      </c>
      <c r="Q1326">
        <v>40.630000000000003</v>
      </c>
      <c r="R1326">
        <v>3.8839999999999999</v>
      </c>
      <c r="T1326">
        <v>3.0760000000000001</v>
      </c>
      <c r="U1326">
        <v>3.7530000000000001</v>
      </c>
      <c r="V1326" s="1" t="str">
        <f>IF(Energy_data_1990___2020[[#This Row],[CO2 emissions from fuel combustion (MtCO2)]]&gt;Energy_data_1990___2020[[#Totals],[CO2 emissions from fuel combustion (MtCO2)]],"Above Average","")</f>
        <v/>
      </c>
      <c r="W1326" s="1">
        <f>SUM(Energy_data_1990___2020[[#This Row],[Coal and lignite production (Mt)]]-Energy_data_1990___2020[[#This Row],[Coal and lignite domestic consumption (Mt)]])</f>
        <v>-0.13099999999999978</v>
      </c>
    </row>
    <row r="1327" spans="1:23">
      <c r="A1327" t="s">
        <v>72</v>
      </c>
      <c r="B1327">
        <v>2013</v>
      </c>
      <c r="C1327" t="s">
        <v>28</v>
      </c>
      <c r="D1327">
        <v>110.7890201</v>
      </c>
      <c r="E1327">
        <v>2.514028766</v>
      </c>
      <c r="F1327">
        <v>0.64264488900000005</v>
      </c>
      <c r="G1327">
        <v>52.758828190000003</v>
      </c>
      <c r="H1327">
        <v>44.068318410000003</v>
      </c>
      <c r="I1327">
        <v>10.443634769999999</v>
      </c>
      <c r="J1327">
        <v>10.82612935</v>
      </c>
      <c r="K1327">
        <v>3.891</v>
      </c>
      <c r="L1327">
        <v>4.0529999999999999</v>
      </c>
      <c r="M1327">
        <v>58.304930419999998</v>
      </c>
      <c r="N1327">
        <v>49.131062479999997</v>
      </c>
      <c r="O1327">
        <v>0.25562352300000002</v>
      </c>
      <c r="P1327">
        <v>54.616999999999997</v>
      </c>
      <c r="Q1327">
        <v>41.451999999999998</v>
      </c>
      <c r="R1327">
        <v>5.702</v>
      </c>
      <c r="T1327">
        <v>3.3260000000000001</v>
      </c>
      <c r="U1327">
        <v>4.09</v>
      </c>
      <c r="V1327" s="1" t="str">
        <f>IF(Energy_data_1990___2020[[#This Row],[CO2 emissions from fuel combustion (MtCO2)]]&gt;Energy_data_1990___2020[[#Totals],[CO2 emissions from fuel combustion (MtCO2)]],"Above Average","")</f>
        <v/>
      </c>
      <c r="W1327" s="1">
        <f>SUM(Energy_data_1990___2020[[#This Row],[Coal and lignite production (Mt)]]-Energy_data_1990___2020[[#This Row],[Coal and lignite domestic consumption (Mt)]])</f>
        <v>-1.6120000000000001</v>
      </c>
    </row>
    <row r="1328" spans="1:23">
      <c r="A1328" t="s">
        <v>72</v>
      </c>
      <c r="B1328">
        <v>2014</v>
      </c>
      <c r="C1328" t="s">
        <v>28</v>
      </c>
      <c r="D1328">
        <v>102.857913</v>
      </c>
      <c r="E1328">
        <v>2.5063900239999999</v>
      </c>
      <c r="F1328">
        <v>0.55667367899999998</v>
      </c>
      <c r="G1328">
        <v>49.214468840000002</v>
      </c>
      <c r="H1328">
        <v>41.038271000000002</v>
      </c>
      <c r="I1328">
        <v>10.894320609999999</v>
      </c>
      <c r="J1328">
        <v>12.33209574</v>
      </c>
      <c r="K1328">
        <v>3.5219999999999998</v>
      </c>
      <c r="L1328">
        <v>3.6259999999999999</v>
      </c>
      <c r="M1328">
        <v>54.161064789999998</v>
      </c>
      <c r="N1328">
        <v>45.743940160000001</v>
      </c>
      <c r="O1328">
        <v>0.222101777</v>
      </c>
      <c r="P1328">
        <v>55.762999999999998</v>
      </c>
      <c r="Q1328">
        <v>42.604999999999997</v>
      </c>
      <c r="R1328">
        <v>5.1859999999999999</v>
      </c>
      <c r="T1328">
        <v>3.0110000000000001</v>
      </c>
      <c r="U1328">
        <v>4.3970000000000002</v>
      </c>
      <c r="V1328" s="1" t="str">
        <f>IF(Energy_data_1990___2020[[#This Row],[CO2 emissions from fuel combustion (MtCO2)]]&gt;Energy_data_1990___2020[[#Totals],[CO2 emissions from fuel combustion (MtCO2)]],"Above Average","")</f>
        <v/>
      </c>
      <c r="W1328" s="1">
        <f>SUM(Energy_data_1990___2020[[#This Row],[Coal and lignite production (Mt)]]-Energy_data_1990___2020[[#This Row],[Coal and lignite domestic consumption (Mt)]])</f>
        <v>-0.7889999999999997</v>
      </c>
    </row>
    <row r="1329" spans="1:23">
      <c r="A1329" t="s">
        <v>72</v>
      </c>
      <c r="B1329">
        <v>2015</v>
      </c>
      <c r="C1329" t="s">
        <v>28</v>
      </c>
      <c r="D1329">
        <v>97.496190729999995</v>
      </c>
      <c r="E1329">
        <v>2.4797243369999999</v>
      </c>
      <c r="F1329">
        <v>0.49108153999999998</v>
      </c>
      <c r="G1329">
        <v>49.194353059999997</v>
      </c>
      <c r="H1329">
        <v>39.317350419999997</v>
      </c>
      <c r="I1329">
        <v>12.260649369999999</v>
      </c>
      <c r="J1329">
        <v>13.66575156</v>
      </c>
      <c r="K1329">
        <v>3.49</v>
      </c>
      <c r="L1329">
        <v>3.6309999999999998</v>
      </c>
      <c r="M1329">
        <v>54.600005809999999</v>
      </c>
      <c r="N1329">
        <v>43.759996409999999</v>
      </c>
      <c r="O1329">
        <v>0.19803876300000001</v>
      </c>
      <c r="P1329">
        <v>57.655999999999999</v>
      </c>
      <c r="Q1329">
        <v>44.085999999999999</v>
      </c>
      <c r="R1329">
        <v>4.1280000000000001</v>
      </c>
      <c r="T1329">
        <v>2.8650000000000002</v>
      </c>
      <c r="U1329">
        <v>3.488</v>
      </c>
      <c r="V1329" s="1" t="str">
        <f>IF(Energy_data_1990___2020[[#This Row],[CO2 emissions from fuel combustion (MtCO2)]]&gt;Energy_data_1990___2020[[#Totals],[CO2 emissions from fuel combustion (MtCO2)]],"Above Average","")</f>
        <v/>
      </c>
      <c r="W1329" s="1">
        <f>SUM(Energy_data_1990___2020[[#This Row],[Coal and lignite production (Mt)]]-Energy_data_1990___2020[[#This Row],[Coal and lignite domestic consumption (Mt)]])</f>
        <v>-0.64000000000000012</v>
      </c>
    </row>
    <row r="1330" spans="1:23">
      <c r="A1330" t="s">
        <v>72</v>
      </c>
      <c r="B1330">
        <v>2016</v>
      </c>
      <c r="C1330" t="s">
        <v>28</v>
      </c>
      <c r="D1330">
        <v>103.3354633</v>
      </c>
      <c r="E1330">
        <v>2.4891468560000001</v>
      </c>
      <c r="F1330">
        <v>0.49059568599999998</v>
      </c>
      <c r="G1330">
        <v>50.480154919999997</v>
      </c>
      <c r="H1330">
        <v>41.514410079999998</v>
      </c>
      <c r="I1330">
        <v>12.38003514</v>
      </c>
      <c r="J1330">
        <v>13.16351319</v>
      </c>
      <c r="K1330">
        <v>3.62</v>
      </c>
      <c r="L1330">
        <v>3.6920000000000002</v>
      </c>
      <c r="M1330">
        <v>56.132069989999998</v>
      </c>
      <c r="N1330">
        <v>46.092971820000002</v>
      </c>
      <c r="O1330">
        <v>0.19709391000000001</v>
      </c>
      <c r="P1330">
        <v>59.183999999999997</v>
      </c>
      <c r="Q1330">
        <v>45.161999999999999</v>
      </c>
      <c r="R1330">
        <v>4.907</v>
      </c>
      <c r="T1330">
        <v>2.746</v>
      </c>
      <c r="U1330">
        <v>3.867</v>
      </c>
      <c r="V1330" s="1" t="str">
        <f>IF(Energy_data_1990___2020[[#This Row],[CO2 emissions from fuel combustion (MtCO2)]]&gt;Energy_data_1990___2020[[#Totals],[CO2 emissions from fuel combustion (MtCO2)]],"Above Average","")</f>
        <v/>
      </c>
      <c r="W1330" s="1">
        <f>SUM(Energy_data_1990___2020[[#This Row],[Coal and lignite production (Mt)]]-Energy_data_1990___2020[[#This Row],[Coal and lignite domestic consumption (Mt)]])</f>
        <v>-1.04</v>
      </c>
    </row>
    <row r="1331" spans="1:23">
      <c r="A1331" t="s">
        <v>72</v>
      </c>
      <c r="B1331">
        <v>2017</v>
      </c>
      <c r="C1331" t="s">
        <v>28</v>
      </c>
      <c r="D1331">
        <v>107.57763989999999</v>
      </c>
      <c r="E1331">
        <v>2.4592126859999999</v>
      </c>
      <c r="F1331">
        <v>0.48892238700000001</v>
      </c>
      <c r="G1331">
        <v>51.206935059999999</v>
      </c>
      <c r="H1331">
        <v>43.744748280000003</v>
      </c>
      <c r="I1331">
        <v>13.74384083</v>
      </c>
      <c r="J1331">
        <v>12.959475380000001</v>
      </c>
      <c r="K1331">
        <v>3.617105</v>
      </c>
      <c r="L1331">
        <v>3.7396660000000002</v>
      </c>
      <c r="M1331">
        <v>56.642200010000003</v>
      </c>
      <c r="N1331">
        <v>48.69681361</v>
      </c>
      <c r="O1331">
        <v>0.198812567</v>
      </c>
      <c r="P1331">
        <v>61.317954</v>
      </c>
      <c r="Q1331">
        <v>46.835635000000003</v>
      </c>
      <c r="R1331">
        <v>4.652482</v>
      </c>
      <c r="T1331">
        <v>2.9052199999999999</v>
      </c>
      <c r="U1331">
        <v>4.0386300000000004</v>
      </c>
      <c r="V1331" s="1" t="str">
        <f>IF(Energy_data_1990___2020[[#This Row],[CO2 emissions from fuel combustion (MtCO2)]]&gt;Energy_data_1990___2020[[#Totals],[CO2 emissions from fuel combustion (MtCO2)]],"Above Average","")</f>
        <v/>
      </c>
      <c r="W1331" s="1">
        <f>SUM(Energy_data_1990___2020[[#This Row],[Coal and lignite production (Mt)]]-Energy_data_1990___2020[[#This Row],[Coal and lignite domestic consumption (Mt)]])</f>
        <v>-0.61385199999999962</v>
      </c>
    </row>
    <row r="1332" spans="1:23">
      <c r="A1332" t="s">
        <v>72</v>
      </c>
      <c r="B1332">
        <v>2018</v>
      </c>
      <c r="C1332" t="s">
        <v>28</v>
      </c>
      <c r="D1332">
        <v>108.2528265</v>
      </c>
      <c r="E1332">
        <v>2.333357989</v>
      </c>
      <c r="F1332">
        <v>0.46801853500000001</v>
      </c>
      <c r="G1332">
        <v>55.197865749999998</v>
      </c>
      <c r="H1332">
        <v>46.393578290000001</v>
      </c>
      <c r="I1332">
        <v>9.3762098720000004</v>
      </c>
      <c r="J1332">
        <v>15.71624643</v>
      </c>
      <c r="K1332">
        <v>3.9522520000000001</v>
      </c>
      <c r="L1332">
        <v>4.0229689999999998</v>
      </c>
      <c r="M1332">
        <v>61.585446959999999</v>
      </c>
      <c r="N1332">
        <v>47.572778380000003</v>
      </c>
      <c r="O1332">
        <v>0.20057725300000001</v>
      </c>
      <c r="P1332">
        <v>62.896619000000001</v>
      </c>
      <c r="Q1332">
        <v>55.292693999999997</v>
      </c>
      <c r="R1332">
        <v>6.6411540000000002</v>
      </c>
      <c r="T1332">
        <v>3.0340729999999998</v>
      </c>
      <c r="U1332">
        <v>4.1744000000000003</v>
      </c>
      <c r="V1332" s="1" t="str">
        <f>IF(Energy_data_1990___2020[[#This Row],[CO2 emissions from fuel combustion (MtCO2)]]&gt;Energy_data_1990___2020[[#Totals],[CO2 emissions from fuel combustion (MtCO2)]],"Above Average","")</f>
        <v/>
      </c>
      <c r="W1332" s="1">
        <f>SUM(Energy_data_1990___2020[[#This Row],[Coal and lignite production (Mt)]]-Energy_data_1990___2020[[#This Row],[Coal and lignite domestic consumption (Mt)]])</f>
        <v>-2.4667539999999999</v>
      </c>
    </row>
    <row r="1333" spans="1:23">
      <c r="A1333" t="s">
        <v>72</v>
      </c>
      <c r="B1333">
        <v>2019</v>
      </c>
      <c r="C1333" t="s">
        <v>28</v>
      </c>
      <c r="D1333">
        <v>111.54092679999999</v>
      </c>
      <c r="E1333">
        <v>2.3521133390000002</v>
      </c>
      <c r="F1333">
        <v>0.45681695900000002</v>
      </c>
      <c r="G1333">
        <v>54.503019090000002</v>
      </c>
      <c r="H1333">
        <v>47.421578250000003</v>
      </c>
      <c r="I1333">
        <v>10.26672904</v>
      </c>
      <c r="J1333">
        <v>15.21243769</v>
      </c>
      <c r="K1333">
        <v>4.1503283839999998</v>
      </c>
      <c r="L1333">
        <v>3.6517852610000001</v>
      </c>
      <c r="M1333">
        <v>60.55834926</v>
      </c>
      <c r="N1333">
        <v>49.923796019999997</v>
      </c>
      <c r="O1333">
        <v>0.19421553899999999</v>
      </c>
      <c r="P1333">
        <v>63.090924950000002</v>
      </c>
      <c r="Q1333">
        <v>55.629875570000003</v>
      </c>
      <c r="R1333">
        <v>6.6011756869999996</v>
      </c>
      <c r="T1333">
        <v>3.1599996529999999</v>
      </c>
      <c r="U1333">
        <v>4.1119894480000001</v>
      </c>
      <c r="V1333" s="1" t="str">
        <f>IF(Energy_data_1990___2020[[#This Row],[CO2 emissions from fuel combustion (MtCO2)]]&gt;Energy_data_1990___2020[[#Totals],[CO2 emissions from fuel combustion (MtCO2)]],"Above Average","")</f>
        <v/>
      </c>
      <c r="W1333" s="1">
        <f>SUM(Energy_data_1990___2020[[#This Row],[Coal and lignite production (Mt)]]-Energy_data_1990___2020[[#This Row],[Coal and lignite domestic consumption (Mt)]])</f>
        <v>-2.4891862389999995</v>
      </c>
    </row>
    <row r="1334" spans="1:23">
      <c r="A1334" t="s">
        <v>72</v>
      </c>
      <c r="B1334">
        <v>2020</v>
      </c>
      <c r="C1334" t="s">
        <v>28</v>
      </c>
      <c r="D1334">
        <v>106.8211881</v>
      </c>
      <c r="E1334">
        <v>2.4211782159999999</v>
      </c>
      <c r="F1334">
        <v>0.43444610099999997</v>
      </c>
      <c r="G1334">
        <v>45.903279679999997</v>
      </c>
      <c r="H1334">
        <v>44.119506540000003</v>
      </c>
      <c r="I1334">
        <v>10.26672904</v>
      </c>
      <c r="J1334">
        <v>16.107902790000001</v>
      </c>
      <c r="K1334">
        <v>3.9313400490000001</v>
      </c>
      <c r="L1334">
        <v>3.4591021049999999</v>
      </c>
      <c r="M1334">
        <v>49.755830119999999</v>
      </c>
      <c r="N1334">
        <v>47.546670409999997</v>
      </c>
      <c r="O1334">
        <v>0.179435821</v>
      </c>
      <c r="P1334">
        <v>64.971735730000006</v>
      </c>
      <c r="Q1334">
        <v>57.253200749999998</v>
      </c>
      <c r="R1334">
        <v>6.7315899779999997</v>
      </c>
      <c r="T1334">
        <v>3.314046812</v>
      </c>
      <c r="U1334">
        <v>4.1897654810000002</v>
      </c>
      <c r="V1334" s="1" t="str">
        <f>IF(Energy_data_1990___2020[[#This Row],[CO2 emissions from fuel combustion (MtCO2)]]&gt;Energy_data_1990___2020[[#Totals],[CO2 emissions from fuel combustion (MtCO2)]],"Above Average","")</f>
        <v/>
      </c>
      <c r="W1334" s="1">
        <f>SUM(Energy_data_1990___2020[[#This Row],[Coal and lignite production (Mt)]]-Energy_data_1990___2020[[#This Row],[Coal and lignite domestic consumption (Mt)]])</f>
        <v>-2.5418244969999995</v>
      </c>
    </row>
    <row r="1335" spans="1:23">
      <c r="A1335" t="s">
        <v>73</v>
      </c>
      <c r="B1335">
        <v>1990</v>
      </c>
      <c r="C1335" t="s">
        <v>26</v>
      </c>
      <c r="D1335">
        <v>93.59039095</v>
      </c>
      <c r="E1335">
        <v>2.3629932619999998</v>
      </c>
      <c r="F1335">
        <v>0.30540731399999999</v>
      </c>
      <c r="G1335">
        <v>144.84381819999999</v>
      </c>
      <c r="H1335">
        <v>39.606710880000001</v>
      </c>
      <c r="I1335">
        <v>62.343857989999997</v>
      </c>
      <c r="J1335">
        <v>14.881082749999999</v>
      </c>
      <c r="K1335">
        <v>17.713999999999999</v>
      </c>
      <c r="L1335">
        <v>50.536999999999999</v>
      </c>
      <c r="M1335">
        <v>17.556014709999999</v>
      </c>
      <c r="N1335">
        <v>16.772984040000001</v>
      </c>
      <c r="O1335">
        <v>0.129245952</v>
      </c>
      <c r="P1335">
        <v>59.320999999999998</v>
      </c>
      <c r="Q1335">
        <v>47.148000000000003</v>
      </c>
      <c r="R1335">
        <v>0.64600000000000002</v>
      </c>
      <c r="S1335">
        <v>0</v>
      </c>
      <c r="T1335">
        <v>115.187</v>
      </c>
      <c r="U1335">
        <v>2.1890000000000001</v>
      </c>
      <c r="V1335" s="1" t="str">
        <f>IF(Energy_data_1990___2020[[#This Row],[CO2 emissions from fuel combustion (MtCO2)]]&gt;Energy_data_1990___2020[[#Totals],[CO2 emissions from fuel combustion (MtCO2)]],"Above Average","")</f>
        <v/>
      </c>
      <c r="W1335" s="1">
        <f>SUM(Energy_data_1990___2020[[#This Row],[Coal and lignite production (Mt)]]-Energy_data_1990___2020[[#This Row],[Coal and lignite domestic consumption (Mt)]])</f>
        <v>1.5430000000000001</v>
      </c>
    </row>
    <row r="1336" spans="1:23">
      <c r="A1336" t="s">
        <v>73</v>
      </c>
      <c r="B1336">
        <v>1991</v>
      </c>
      <c r="C1336" t="s">
        <v>26</v>
      </c>
      <c r="D1336">
        <v>93.085035059999996</v>
      </c>
      <c r="E1336">
        <v>2.2501693779999998</v>
      </c>
      <c r="F1336">
        <v>0.27682359400000001</v>
      </c>
      <c r="G1336">
        <v>160.50972519999999</v>
      </c>
      <c r="H1336">
        <v>41.368012550000003</v>
      </c>
      <c r="I1336">
        <v>70.325402209999993</v>
      </c>
      <c r="J1336">
        <v>14.98495447</v>
      </c>
      <c r="K1336">
        <v>17.431000000000001</v>
      </c>
      <c r="L1336">
        <v>54.014000000000003</v>
      </c>
      <c r="M1336">
        <v>18.02901829</v>
      </c>
      <c r="N1336">
        <v>17.6029825</v>
      </c>
      <c r="O1336">
        <v>0.12302344799999999</v>
      </c>
      <c r="P1336">
        <v>63.337000000000003</v>
      </c>
      <c r="Q1336">
        <v>50.448</v>
      </c>
      <c r="R1336">
        <v>0</v>
      </c>
      <c r="S1336">
        <v>0</v>
      </c>
      <c r="T1336">
        <v>129.15199999999999</v>
      </c>
      <c r="U1336">
        <v>2.1749999999999998</v>
      </c>
      <c r="V1336" s="1" t="str">
        <f>IF(Energy_data_1990___2020[[#This Row],[CO2 emissions from fuel combustion (MtCO2)]]&gt;Energy_data_1990___2020[[#Totals],[CO2 emissions from fuel combustion (MtCO2)]],"Above Average","")</f>
        <v/>
      </c>
      <c r="W1336" s="1">
        <f>SUM(Energy_data_1990___2020[[#This Row],[Coal and lignite production (Mt)]]-Energy_data_1990___2020[[#This Row],[Coal and lignite domestic consumption (Mt)]])</f>
        <v>2.1749999999999998</v>
      </c>
    </row>
    <row r="1337" spans="1:23">
      <c r="A1337" t="s">
        <v>73</v>
      </c>
      <c r="B1337">
        <v>1992</v>
      </c>
      <c r="C1337" t="s">
        <v>26</v>
      </c>
      <c r="D1337">
        <v>95.052502950000004</v>
      </c>
      <c r="E1337">
        <v>2.0542649979999998</v>
      </c>
      <c r="F1337">
        <v>0.26652210399999998</v>
      </c>
      <c r="G1337">
        <v>161.68309110000001</v>
      </c>
      <c r="H1337">
        <v>46.270808789999997</v>
      </c>
      <c r="I1337">
        <v>70.09341637</v>
      </c>
      <c r="J1337">
        <v>15.836187519999999</v>
      </c>
      <c r="K1337">
        <v>18.616</v>
      </c>
      <c r="L1337">
        <v>48.393000000000001</v>
      </c>
      <c r="M1337">
        <v>17.950000559999999</v>
      </c>
      <c r="N1337">
        <v>17.79098222</v>
      </c>
      <c r="O1337">
        <v>0.12974085799999999</v>
      </c>
      <c r="P1337">
        <v>67.44</v>
      </c>
      <c r="Q1337">
        <v>54.048000000000002</v>
      </c>
      <c r="R1337">
        <v>5.0000000000000001E-3</v>
      </c>
      <c r="S1337">
        <v>0</v>
      </c>
      <c r="T1337">
        <v>130.071</v>
      </c>
      <c r="U1337">
        <v>2.4500000000000002</v>
      </c>
      <c r="V1337" s="1" t="str">
        <f>IF(Energy_data_1990___2020[[#This Row],[CO2 emissions from fuel combustion (MtCO2)]]&gt;Energy_data_1990___2020[[#Totals],[CO2 emissions from fuel combustion (MtCO2)]],"Above Average","")</f>
        <v/>
      </c>
      <c r="W1337" s="1">
        <f>SUM(Energy_data_1990___2020[[#This Row],[Coal and lignite production (Mt)]]-Energy_data_1990___2020[[#This Row],[Coal and lignite domestic consumption (Mt)]])</f>
        <v>2.4450000000000003</v>
      </c>
    </row>
    <row r="1338" spans="1:23">
      <c r="A1338" t="s">
        <v>73</v>
      </c>
      <c r="B1338">
        <v>1993</v>
      </c>
      <c r="C1338" t="s">
        <v>26</v>
      </c>
      <c r="D1338">
        <v>100.61172639999999</v>
      </c>
      <c r="E1338">
        <v>2.3345714700000002</v>
      </c>
      <c r="F1338">
        <v>0.281335104</v>
      </c>
      <c r="G1338">
        <v>170.65666580000001</v>
      </c>
      <c r="H1338">
        <v>43.096443069999999</v>
      </c>
      <c r="I1338">
        <v>68.429852120000007</v>
      </c>
      <c r="J1338">
        <v>15.653626429999999</v>
      </c>
      <c r="K1338">
        <v>19.172999999999998</v>
      </c>
      <c r="L1338">
        <v>50.539000000000001</v>
      </c>
      <c r="M1338">
        <v>18.762001550000001</v>
      </c>
      <c r="N1338">
        <v>18.626019039999999</v>
      </c>
      <c r="O1338">
        <v>0.120508242</v>
      </c>
      <c r="P1338">
        <v>69.382000000000005</v>
      </c>
      <c r="Q1338">
        <v>55.511000000000003</v>
      </c>
      <c r="R1338">
        <v>3.9E-2</v>
      </c>
      <c r="S1338">
        <v>0</v>
      </c>
      <c r="T1338">
        <v>137.065</v>
      </c>
      <c r="U1338">
        <v>3.8149999999999999</v>
      </c>
      <c r="V1338" s="1" t="str">
        <f>IF(Energy_data_1990___2020[[#This Row],[CO2 emissions from fuel combustion (MtCO2)]]&gt;Energy_data_1990___2020[[#Totals],[CO2 emissions from fuel combustion (MtCO2)]],"Above Average","")</f>
        <v/>
      </c>
      <c r="W1338" s="1">
        <f>SUM(Energy_data_1990___2020[[#This Row],[Coal and lignite production (Mt)]]-Energy_data_1990___2020[[#This Row],[Coal and lignite domestic consumption (Mt)]])</f>
        <v>3.7759999999999998</v>
      </c>
    </row>
    <row r="1339" spans="1:23">
      <c r="A1339" t="s">
        <v>73</v>
      </c>
      <c r="B1339">
        <v>1994</v>
      </c>
      <c r="C1339" t="s">
        <v>26</v>
      </c>
      <c r="D1339">
        <v>100.6282374</v>
      </c>
      <c r="E1339">
        <v>2.0146007560000001</v>
      </c>
      <c r="F1339">
        <v>0.28815141300000002</v>
      </c>
      <c r="G1339">
        <v>177.8841529</v>
      </c>
      <c r="H1339">
        <v>49.949468680000003</v>
      </c>
      <c r="I1339">
        <v>72.006851909999995</v>
      </c>
      <c r="J1339">
        <v>15.5794456</v>
      </c>
      <c r="K1339">
        <v>18.661000000000001</v>
      </c>
      <c r="L1339">
        <v>52.006</v>
      </c>
      <c r="M1339">
        <v>19.792000900000001</v>
      </c>
      <c r="N1339">
        <v>19.469997070000002</v>
      </c>
      <c r="O1339">
        <v>0.14303152199999999</v>
      </c>
      <c r="P1339">
        <v>71.221000000000004</v>
      </c>
      <c r="Q1339">
        <v>55.927</v>
      </c>
      <c r="R1339">
        <v>7.5999999999999998E-2</v>
      </c>
      <c r="S1339">
        <v>0</v>
      </c>
      <c r="T1339">
        <v>142.535</v>
      </c>
      <c r="U1339">
        <v>4.2779999999999996</v>
      </c>
      <c r="V1339" s="1" t="str">
        <f>IF(Energy_data_1990___2020[[#This Row],[CO2 emissions from fuel combustion (MtCO2)]]&gt;Energy_data_1990___2020[[#Totals],[CO2 emissions from fuel combustion (MtCO2)]],"Above Average","")</f>
        <v/>
      </c>
      <c r="W1339" s="1">
        <f>SUM(Energy_data_1990___2020[[#This Row],[Coal and lignite production (Mt)]]-Energy_data_1990___2020[[#This Row],[Coal and lignite domestic consumption (Mt)]])</f>
        <v>4.202</v>
      </c>
    </row>
    <row r="1340" spans="1:23">
      <c r="A1340" t="s">
        <v>73</v>
      </c>
      <c r="B1340">
        <v>1995</v>
      </c>
      <c r="C1340" t="s">
        <v>26</v>
      </c>
      <c r="D1340">
        <v>106.8643636</v>
      </c>
      <c r="E1340">
        <v>2.2805380039999998</v>
      </c>
      <c r="F1340">
        <v>0.29437596799999999</v>
      </c>
      <c r="G1340">
        <v>192.46738830000001</v>
      </c>
      <c r="H1340">
        <v>46.859277710000001</v>
      </c>
      <c r="I1340">
        <v>70.051466379999994</v>
      </c>
      <c r="J1340">
        <v>14.88406283</v>
      </c>
      <c r="K1340">
        <v>20.152999999999999</v>
      </c>
      <c r="L1340">
        <v>53.585999999999999</v>
      </c>
      <c r="M1340">
        <v>21.131012200000001</v>
      </c>
      <c r="N1340">
        <v>21.131012200000001</v>
      </c>
      <c r="O1340">
        <v>0.12908180699999999</v>
      </c>
      <c r="P1340">
        <v>73.445999999999998</v>
      </c>
      <c r="Q1340">
        <v>57.454000000000001</v>
      </c>
      <c r="R1340">
        <v>7.0000000000000001E-3</v>
      </c>
      <c r="S1340">
        <v>0</v>
      </c>
      <c r="T1340">
        <v>155.739</v>
      </c>
      <c r="U1340">
        <v>4.0640000000000001</v>
      </c>
      <c r="V1340" s="1" t="str">
        <f>IF(Energy_data_1990___2020[[#This Row],[CO2 emissions from fuel combustion (MtCO2)]]&gt;Energy_data_1990___2020[[#Totals],[CO2 emissions from fuel combustion (MtCO2)]],"Above Average","")</f>
        <v/>
      </c>
      <c r="W1340" s="1">
        <f>SUM(Energy_data_1990___2020[[#This Row],[Coal and lignite production (Mt)]]-Energy_data_1990___2020[[#This Row],[Coal and lignite domestic consumption (Mt)]])</f>
        <v>4.0570000000000004</v>
      </c>
    </row>
    <row r="1341" spans="1:23">
      <c r="A1341" t="s">
        <v>73</v>
      </c>
      <c r="B1341">
        <v>1996</v>
      </c>
      <c r="C1341" t="s">
        <v>26</v>
      </c>
      <c r="D1341">
        <v>114.90234770000001</v>
      </c>
      <c r="E1341">
        <v>2.3008348829999998</v>
      </c>
      <c r="F1341">
        <v>0.31714538599999997</v>
      </c>
      <c r="G1341">
        <v>217.1387934</v>
      </c>
      <c r="H1341">
        <v>49.939414839999998</v>
      </c>
      <c r="I1341">
        <v>71.237498020000004</v>
      </c>
      <c r="J1341">
        <v>14.52947532</v>
      </c>
      <c r="K1341">
        <v>20.225000000000001</v>
      </c>
      <c r="L1341">
        <v>56.170999999999999</v>
      </c>
      <c r="M1341">
        <v>23.794021090000001</v>
      </c>
      <c r="N1341">
        <v>24.42202653</v>
      </c>
      <c r="O1341">
        <v>0.13783926399999999</v>
      </c>
      <c r="P1341">
        <v>75.587999999999994</v>
      </c>
      <c r="Q1341">
        <v>58.679000000000002</v>
      </c>
      <c r="R1341">
        <v>2.1999999999999999E-2</v>
      </c>
      <c r="S1341">
        <v>0</v>
      </c>
      <c r="T1341">
        <v>176.55199999999999</v>
      </c>
      <c r="U1341">
        <v>3.6389999999999998</v>
      </c>
      <c r="V1341" s="1" t="str">
        <f>IF(Energy_data_1990___2020[[#This Row],[CO2 emissions from fuel combustion (MtCO2)]]&gt;Energy_data_1990___2020[[#Totals],[CO2 emissions from fuel combustion (MtCO2)]],"Above Average","")</f>
        <v/>
      </c>
      <c r="W1341" s="1">
        <f>SUM(Energy_data_1990___2020[[#This Row],[Coal and lignite production (Mt)]]-Energy_data_1990___2020[[#This Row],[Coal and lignite domestic consumption (Mt)]])</f>
        <v>3.617</v>
      </c>
    </row>
    <row r="1342" spans="1:23">
      <c r="A1342" t="s">
        <v>73</v>
      </c>
      <c r="B1342">
        <v>1997</v>
      </c>
      <c r="C1342" t="s">
        <v>26</v>
      </c>
      <c r="D1342">
        <v>119.5134585</v>
      </c>
      <c r="E1342">
        <v>2.4031718980000001</v>
      </c>
      <c r="F1342">
        <v>0.31011540999999998</v>
      </c>
      <c r="G1342">
        <v>229.17791740000001</v>
      </c>
      <c r="H1342">
        <v>49.73154795</v>
      </c>
      <c r="I1342">
        <v>73.359380000000002</v>
      </c>
      <c r="J1342">
        <v>15.15937624</v>
      </c>
      <c r="K1342">
        <v>21.754000000000001</v>
      </c>
      <c r="L1342">
        <v>58.034999999999997</v>
      </c>
      <c r="M1342">
        <v>24.27501436</v>
      </c>
      <c r="N1342">
        <v>24.483973819999999</v>
      </c>
      <c r="O1342">
        <v>0.12904420599999999</v>
      </c>
      <c r="P1342">
        <v>78.064999999999998</v>
      </c>
      <c r="Q1342">
        <v>60.085000000000001</v>
      </c>
      <c r="R1342">
        <v>4.7E-2</v>
      </c>
      <c r="S1342">
        <v>0</v>
      </c>
      <c r="T1342">
        <v>186.12899999999999</v>
      </c>
      <c r="U1342">
        <v>5.1459999999999999</v>
      </c>
      <c r="V1342" s="1" t="str">
        <f>IF(Energy_data_1990___2020[[#This Row],[CO2 emissions from fuel combustion (MtCO2)]]&gt;Energy_data_1990___2020[[#Totals],[CO2 emissions from fuel combustion (MtCO2)]],"Above Average","")</f>
        <v/>
      </c>
      <c r="W1342" s="1">
        <f>SUM(Energy_data_1990___2020[[#This Row],[Coal and lignite production (Mt)]]-Energy_data_1990___2020[[#This Row],[Coal and lignite domestic consumption (Mt)]])</f>
        <v>5.0990000000000002</v>
      </c>
    </row>
    <row r="1343" spans="1:23">
      <c r="A1343" t="s">
        <v>73</v>
      </c>
      <c r="B1343">
        <v>1998</v>
      </c>
      <c r="C1343" t="s">
        <v>26</v>
      </c>
      <c r="D1343">
        <v>115.951483</v>
      </c>
      <c r="E1343">
        <v>2.2145729379999999</v>
      </c>
      <c r="F1343">
        <v>0.299990602</v>
      </c>
      <c r="G1343">
        <v>226.66330099999999</v>
      </c>
      <c r="H1343">
        <v>52.358394250000003</v>
      </c>
      <c r="I1343">
        <v>71.596499469999998</v>
      </c>
      <c r="J1343">
        <v>15.260453310000001</v>
      </c>
      <c r="K1343">
        <v>20.004000000000001</v>
      </c>
      <c r="L1343">
        <v>57.808</v>
      </c>
      <c r="M1343">
        <v>25.039983419999999</v>
      </c>
      <c r="N1343">
        <v>25.21897646</v>
      </c>
      <c r="O1343">
        <v>0.135462055</v>
      </c>
      <c r="P1343">
        <v>80.902000000000001</v>
      </c>
      <c r="Q1343">
        <v>61.167000000000002</v>
      </c>
      <c r="R1343">
        <v>4.9000000000000002E-2</v>
      </c>
      <c r="S1343">
        <v>0</v>
      </c>
      <c r="T1343">
        <v>181.45599999999999</v>
      </c>
      <c r="U1343">
        <v>7.4560000000000004</v>
      </c>
      <c r="V1343" s="1" t="str">
        <f>IF(Energy_data_1990___2020[[#This Row],[CO2 emissions from fuel combustion (MtCO2)]]&gt;Energy_data_1990___2020[[#Totals],[CO2 emissions from fuel combustion (MtCO2)]],"Above Average","")</f>
        <v/>
      </c>
      <c r="W1343" s="1">
        <f>SUM(Energy_data_1990___2020[[#This Row],[Coal and lignite production (Mt)]]-Energy_data_1990___2020[[#This Row],[Coal and lignite domestic consumption (Mt)]])</f>
        <v>7.407</v>
      </c>
    </row>
    <row r="1344" spans="1:23">
      <c r="A1344" t="s">
        <v>73</v>
      </c>
      <c r="B1344">
        <v>1999</v>
      </c>
      <c r="C1344" t="s">
        <v>26</v>
      </c>
      <c r="D1344">
        <v>115.5795368</v>
      </c>
      <c r="E1344">
        <v>2.001654673</v>
      </c>
      <c r="F1344">
        <v>0.31801526800000002</v>
      </c>
      <c r="G1344">
        <v>209.86383549999999</v>
      </c>
      <c r="H1344">
        <v>57.74199634</v>
      </c>
      <c r="I1344">
        <v>75.164655249999996</v>
      </c>
      <c r="J1344">
        <v>15.372512860000001</v>
      </c>
      <c r="K1344">
        <v>23.245000000000001</v>
      </c>
      <c r="L1344">
        <v>62.51</v>
      </c>
      <c r="M1344">
        <v>21.953001780000001</v>
      </c>
      <c r="N1344">
        <v>22.131993420000001</v>
      </c>
      <c r="O1344">
        <v>0.15887619</v>
      </c>
      <c r="P1344">
        <v>80.623000000000005</v>
      </c>
      <c r="Q1344">
        <v>60.344999999999999</v>
      </c>
      <c r="R1344">
        <v>0.05</v>
      </c>
      <c r="S1344">
        <v>0</v>
      </c>
      <c r="T1344">
        <v>172.101</v>
      </c>
      <c r="U1344">
        <v>6.9790000000000001</v>
      </c>
      <c r="V1344" s="1" t="str">
        <f>IF(Energy_data_1990___2020[[#This Row],[CO2 emissions from fuel combustion (MtCO2)]]&gt;Energy_data_1990___2020[[#Totals],[CO2 emissions from fuel combustion (MtCO2)]],"Above Average","")</f>
        <v/>
      </c>
      <c r="W1344" s="1">
        <f>SUM(Energy_data_1990___2020[[#This Row],[Coal and lignite production (Mt)]]-Energy_data_1990___2020[[#This Row],[Coal and lignite domestic consumption (Mt)]])</f>
        <v>6.9290000000000003</v>
      </c>
    </row>
    <row r="1345" spans="1:23">
      <c r="A1345" t="s">
        <v>73</v>
      </c>
      <c r="B1345">
        <v>2000</v>
      </c>
      <c r="C1345" t="s">
        <v>26</v>
      </c>
      <c r="D1345">
        <v>122.5649916</v>
      </c>
      <c r="E1345">
        <v>2.0896318680000001</v>
      </c>
      <c r="F1345">
        <v>0.32524406900000002</v>
      </c>
      <c r="G1345">
        <v>219.31156139999999</v>
      </c>
      <c r="H1345">
        <v>58.653867900000002</v>
      </c>
      <c r="I1345">
        <v>73.748402150000004</v>
      </c>
      <c r="J1345">
        <v>15.859221010000001</v>
      </c>
      <c r="K1345">
        <v>24.748999999999999</v>
      </c>
      <c r="L1345">
        <v>65.623000000000005</v>
      </c>
      <c r="M1345">
        <v>22.904978969999998</v>
      </c>
      <c r="N1345">
        <v>23.084005170000001</v>
      </c>
      <c r="O1345">
        <v>0.155646587</v>
      </c>
      <c r="P1345">
        <v>85.271000000000001</v>
      </c>
      <c r="Q1345">
        <v>63.21</v>
      </c>
      <c r="R1345">
        <v>0.18099999999999999</v>
      </c>
      <c r="S1345">
        <v>0</v>
      </c>
      <c r="T1345">
        <v>179.24199999999999</v>
      </c>
      <c r="U1345">
        <v>7.8849999999999998</v>
      </c>
      <c r="V1345" s="1" t="str">
        <f>IF(Energy_data_1990___2020[[#This Row],[CO2 emissions from fuel combustion (MtCO2)]]&gt;Energy_data_1990___2020[[#Totals],[CO2 emissions from fuel combustion (MtCO2)]],"Above Average","")</f>
        <v/>
      </c>
      <c r="W1345" s="1">
        <f>SUM(Energy_data_1990___2020[[#This Row],[Coal and lignite production (Mt)]]-Energy_data_1990___2020[[#This Row],[Coal and lignite domestic consumption (Mt)]])</f>
        <v>7.7039999999999997</v>
      </c>
    </row>
    <row r="1346" spans="1:23">
      <c r="A1346" t="s">
        <v>73</v>
      </c>
      <c r="B1346">
        <v>2001</v>
      </c>
      <c r="C1346" t="s">
        <v>26</v>
      </c>
      <c r="D1346">
        <v>127.8129867</v>
      </c>
      <c r="E1346">
        <v>2.3380595959999999</v>
      </c>
      <c r="F1346">
        <v>0.32803607099999998</v>
      </c>
      <c r="G1346">
        <v>227.53060980000001</v>
      </c>
      <c r="H1346">
        <v>54.666265529999997</v>
      </c>
      <c r="I1346">
        <v>67.067987880000004</v>
      </c>
      <c r="J1346">
        <v>15.94236368</v>
      </c>
      <c r="K1346">
        <v>27.331</v>
      </c>
      <c r="L1346">
        <v>64.953999999999994</v>
      </c>
      <c r="M1346">
        <v>21.3960112</v>
      </c>
      <c r="N1346">
        <v>21.61201281</v>
      </c>
      <c r="O1346">
        <v>0.140302699</v>
      </c>
      <c r="P1346">
        <v>90.119</v>
      </c>
      <c r="Q1346">
        <v>65.709999999999994</v>
      </c>
      <c r="R1346">
        <v>6.7000000000000004E-2</v>
      </c>
      <c r="S1346">
        <v>0</v>
      </c>
      <c r="T1346">
        <v>186.85</v>
      </c>
      <c r="U1346">
        <v>7.585</v>
      </c>
      <c r="V1346" s="1" t="str">
        <f>IF(Energy_data_1990___2020[[#This Row],[CO2 emissions from fuel combustion (MtCO2)]]&gt;Energy_data_1990___2020[[#Totals],[CO2 emissions from fuel combustion (MtCO2)]],"Above Average","")</f>
        <v/>
      </c>
      <c r="W1346" s="1">
        <f>SUM(Energy_data_1990___2020[[#This Row],[Coal and lignite production (Mt)]]-Energy_data_1990___2020[[#This Row],[Coal and lignite domestic consumption (Mt)]])</f>
        <v>7.5179999999999998</v>
      </c>
    </row>
    <row r="1347" spans="1:23">
      <c r="A1347" t="s">
        <v>73</v>
      </c>
      <c r="B1347">
        <v>2002</v>
      </c>
      <c r="C1347" t="s">
        <v>26</v>
      </c>
      <c r="D1347">
        <v>134.62396960000001</v>
      </c>
      <c r="E1347">
        <v>1.9981190360000001</v>
      </c>
      <c r="F1347">
        <v>0.37908730899999998</v>
      </c>
      <c r="G1347">
        <v>209.88142149999999</v>
      </c>
      <c r="H1347">
        <v>67.375350130000001</v>
      </c>
      <c r="I1347">
        <v>64.815137390000004</v>
      </c>
      <c r="J1347">
        <v>15.373353160000001</v>
      </c>
      <c r="K1347">
        <v>28.917999999999999</v>
      </c>
      <c r="L1347">
        <v>62.710999999999999</v>
      </c>
      <c r="M1347">
        <v>25.518006700000001</v>
      </c>
      <c r="N1347">
        <v>22.065008219999999</v>
      </c>
      <c r="O1347">
        <v>0.18972208500000001</v>
      </c>
      <c r="P1347">
        <v>91.852000000000004</v>
      </c>
      <c r="Q1347">
        <v>67.061999999999998</v>
      </c>
      <c r="R1347">
        <v>2.5000000000000001E-2</v>
      </c>
      <c r="S1347">
        <v>0</v>
      </c>
      <c r="T1347">
        <v>166.84800000000001</v>
      </c>
      <c r="U1347">
        <v>7.3689999999999998</v>
      </c>
      <c r="V1347" s="1" t="str">
        <f>IF(Energy_data_1990___2020[[#This Row],[CO2 emissions from fuel combustion (MtCO2)]]&gt;Energy_data_1990___2020[[#Totals],[CO2 emissions from fuel combustion (MtCO2)]],"Above Average","")</f>
        <v/>
      </c>
      <c r="W1347" s="1">
        <f>SUM(Energy_data_1990___2020[[#This Row],[Coal and lignite production (Mt)]]-Energy_data_1990___2020[[#This Row],[Coal and lignite domestic consumption (Mt)]])</f>
        <v>7.3439999999999994</v>
      </c>
    </row>
    <row r="1348" spans="1:23">
      <c r="A1348" t="s">
        <v>73</v>
      </c>
      <c r="B1348">
        <v>2003</v>
      </c>
      <c r="C1348" t="s">
        <v>26</v>
      </c>
      <c r="D1348">
        <v>129.42718310000001</v>
      </c>
      <c r="E1348">
        <v>2.055181068</v>
      </c>
      <c r="F1348">
        <v>0.39509445100000001</v>
      </c>
      <c r="G1348">
        <v>197.83209489999999</v>
      </c>
      <c r="H1348">
        <v>62.976048759999998</v>
      </c>
      <c r="I1348">
        <v>65.835726089999994</v>
      </c>
      <c r="J1348">
        <v>16.136431779999999</v>
      </c>
      <c r="K1348">
        <v>25.532</v>
      </c>
      <c r="L1348">
        <v>53.871000000000002</v>
      </c>
      <c r="M1348">
        <v>23.7379903</v>
      </c>
      <c r="N1348">
        <v>23.45997418</v>
      </c>
      <c r="O1348">
        <v>0.19224313500000001</v>
      </c>
      <c r="P1348">
        <v>91.944000000000003</v>
      </c>
      <c r="Q1348">
        <v>66.47</v>
      </c>
      <c r="R1348">
        <v>5.8999999999999997E-2</v>
      </c>
      <c r="S1348">
        <v>0</v>
      </c>
      <c r="T1348">
        <v>157.39099999999999</v>
      </c>
      <c r="U1348">
        <v>6.8070000000000004</v>
      </c>
      <c r="V1348" s="1" t="str">
        <f>IF(Energy_data_1990___2020[[#This Row],[CO2 emissions from fuel combustion (MtCO2)]]&gt;Energy_data_1990___2020[[#Totals],[CO2 emissions from fuel combustion (MtCO2)]],"Above Average","")</f>
        <v/>
      </c>
      <c r="W1348" s="1">
        <f>SUM(Energy_data_1990___2020[[#This Row],[Coal and lignite production (Mt)]]-Energy_data_1990___2020[[#This Row],[Coal and lignite domestic consumption (Mt)]])</f>
        <v>6.7480000000000002</v>
      </c>
    </row>
    <row r="1349" spans="1:23">
      <c r="A1349" t="s">
        <v>73</v>
      </c>
      <c r="B1349">
        <v>2004</v>
      </c>
      <c r="C1349" t="s">
        <v>26</v>
      </c>
      <c r="D1349">
        <v>133.97763320000001</v>
      </c>
      <c r="E1349">
        <v>2.2065827769999999</v>
      </c>
      <c r="F1349">
        <v>0.34575793700000002</v>
      </c>
      <c r="G1349">
        <v>218.59116320000001</v>
      </c>
      <c r="H1349">
        <v>60.717247759999999</v>
      </c>
      <c r="I1349">
        <v>71.10459453</v>
      </c>
      <c r="J1349">
        <v>16.436186670000001</v>
      </c>
      <c r="K1349">
        <v>27.376999999999999</v>
      </c>
      <c r="L1349">
        <v>66.293999999999997</v>
      </c>
      <c r="M1349">
        <v>23.40698463</v>
      </c>
      <c r="N1349">
        <v>23.087003639999999</v>
      </c>
      <c r="O1349">
        <v>0.156693844</v>
      </c>
      <c r="P1349">
        <v>98.552000000000007</v>
      </c>
      <c r="Q1349">
        <v>71.628</v>
      </c>
      <c r="R1349">
        <v>0</v>
      </c>
      <c r="S1349">
        <v>0</v>
      </c>
      <c r="T1349">
        <v>175.48099999999999</v>
      </c>
      <c r="U1349">
        <v>6.7480000000000002</v>
      </c>
      <c r="V1349" s="1" t="str">
        <f>IF(Energy_data_1990___2020[[#This Row],[CO2 emissions from fuel combustion (MtCO2)]]&gt;Energy_data_1990___2020[[#Totals],[CO2 emissions from fuel combustion (MtCO2)]],"Above Average","")</f>
        <v/>
      </c>
      <c r="W1349" s="1">
        <f>SUM(Energy_data_1990___2020[[#This Row],[Coal and lignite production (Mt)]]-Energy_data_1990___2020[[#This Row],[Coal and lignite domestic consumption (Mt)]])</f>
        <v>6.7480000000000002</v>
      </c>
    </row>
    <row r="1350" spans="1:23">
      <c r="A1350" t="s">
        <v>73</v>
      </c>
      <c r="B1350">
        <v>2005</v>
      </c>
      <c r="C1350" t="s">
        <v>26</v>
      </c>
      <c r="D1350">
        <v>142.11737690000001</v>
      </c>
      <c r="E1350">
        <v>2.2371239680000001</v>
      </c>
      <c r="F1350">
        <v>0.332461224</v>
      </c>
      <c r="G1350">
        <v>224.06152599999999</v>
      </c>
      <c r="H1350">
        <v>63.526822350000003</v>
      </c>
      <c r="I1350">
        <v>73.283420629999995</v>
      </c>
      <c r="J1350">
        <v>15.07555726</v>
      </c>
      <c r="K1350">
        <v>30.140999999999998</v>
      </c>
      <c r="L1350">
        <v>58.335999999999999</v>
      </c>
      <c r="M1350">
        <v>20.30300162</v>
      </c>
      <c r="N1350">
        <v>23.92398931</v>
      </c>
      <c r="O1350">
        <v>0.14861099699999999</v>
      </c>
      <c r="P1350">
        <v>105.384</v>
      </c>
      <c r="Q1350">
        <v>73.100999999999999</v>
      </c>
      <c r="R1350">
        <v>5.0999999999999997E-2</v>
      </c>
      <c r="S1350">
        <v>0</v>
      </c>
      <c r="T1350">
        <v>182.196</v>
      </c>
      <c r="U1350">
        <v>7.1950000000000003</v>
      </c>
      <c r="V1350" s="1" t="str">
        <f>IF(Energy_data_1990___2020[[#This Row],[CO2 emissions from fuel combustion (MtCO2)]]&gt;Energy_data_1990___2020[[#Totals],[CO2 emissions from fuel combustion (MtCO2)]],"Above Average","")</f>
        <v/>
      </c>
      <c r="W1350" s="1">
        <f>SUM(Energy_data_1990___2020[[#This Row],[Coal and lignite production (Mt)]]-Energy_data_1990___2020[[#This Row],[Coal and lignite domestic consumption (Mt)]])</f>
        <v>7.1440000000000001</v>
      </c>
    </row>
    <row r="1351" spans="1:23">
      <c r="A1351" t="s">
        <v>73</v>
      </c>
      <c r="B1351">
        <v>2006</v>
      </c>
      <c r="C1351" t="s">
        <v>26</v>
      </c>
      <c r="D1351">
        <v>140.20331849999999</v>
      </c>
      <c r="E1351">
        <v>2.168111246</v>
      </c>
      <c r="F1351">
        <v>0.298513853</v>
      </c>
      <c r="G1351">
        <v>223.4307891</v>
      </c>
      <c r="H1351">
        <v>64.666109149999997</v>
      </c>
      <c r="I1351">
        <v>73.898317359999993</v>
      </c>
      <c r="J1351">
        <v>16.77696706</v>
      </c>
      <c r="K1351">
        <v>30.123999999999999</v>
      </c>
      <c r="L1351">
        <v>62.773000000000003</v>
      </c>
      <c r="M1351">
        <v>20.947017150000001</v>
      </c>
      <c r="N1351">
        <v>23.24000406</v>
      </c>
      <c r="O1351">
        <v>0.13768382700000001</v>
      </c>
      <c r="P1351">
        <v>110.422</v>
      </c>
      <c r="Q1351">
        <v>77.367000000000004</v>
      </c>
      <c r="R1351">
        <v>0.33900000000000002</v>
      </c>
      <c r="S1351">
        <v>0</v>
      </c>
      <c r="T1351">
        <v>180.13200000000001</v>
      </c>
      <c r="U1351">
        <v>6.9829999999999997</v>
      </c>
      <c r="V1351" s="1" t="str">
        <f>IF(Energy_data_1990___2020[[#This Row],[CO2 emissions from fuel combustion (MtCO2)]]&gt;Energy_data_1990___2020[[#Totals],[CO2 emissions from fuel combustion (MtCO2)]],"Above Average","")</f>
        <v/>
      </c>
      <c r="W1351" s="1">
        <f>SUM(Energy_data_1990___2020[[#This Row],[Coal and lignite production (Mt)]]-Energy_data_1990___2020[[#This Row],[Coal and lignite domestic consumption (Mt)]])</f>
        <v>6.6439999999999992</v>
      </c>
    </row>
    <row r="1352" spans="1:23">
      <c r="A1352" t="s">
        <v>73</v>
      </c>
      <c r="B1352">
        <v>2007</v>
      </c>
      <c r="C1352" t="s">
        <v>26</v>
      </c>
      <c r="D1352">
        <v>136.0231484</v>
      </c>
      <c r="E1352">
        <v>2.0570581049999999</v>
      </c>
      <c r="F1352">
        <v>0.26630263399999998</v>
      </c>
      <c r="G1352">
        <v>218.45145729999999</v>
      </c>
      <c r="H1352">
        <v>66.125088079999998</v>
      </c>
      <c r="I1352">
        <v>72.722258220000001</v>
      </c>
      <c r="J1352">
        <v>17.52269115</v>
      </c>
      <c r="K1352">
        <v>30.928999999999998</v>
      </c>
      <c r="L1352">
        <v>60.137</v>
      </c>
      <c r="M1352">
        <v>21.32601167</v>
      </c>
      <c r="N1352">
        <v>21.592985160000001</v>
      </c>
      <c r="O1352">
        <v>0.12945800299999999</v>
      </c>
      <c r="P1352">
        <v>114.214</v>
      </c>
      <c r="Q1352">
        <v>78.17</v>
      </c>
      <c r="R1352">
        <v>0.19</v>
      </c>
      <c r="S1352">
        <v>0</v>
      </c>
      <c r="T1352">
        <v>174.25899999999999</v>
      </c>
      <c r="U1352">
        <v>6.0970000000000004</v>
      </c>
      <c r="V1352" s="1" t="str">
        <f>IF(Energy_data_1990___2020[[#This Row],[CO2 emissions from fuel combustion (MtCO2)]]&gt;Energy_data_1990___2020[[#Totals],[CO2 emissions from fuel combustion (MtCO2)]],"Above Average","")</f>
        <v/>
      </c>
      <c r="W1352" s="1">
        <f>SUM(Energy_data_1990___2020[[#This Row],[Coal and lignite production (Mt)]]-Energy_data_1990___2020[[#This Row],[Coal and lignite domestic consumption (Mt)]])</f>
        <v>5.907</v>
      </c>
    </row>
    <row r="1353" spans="1:23">
      <c r="A1353" t="s">
        <v>73</v>
      </c>
      <c r="B1353">
        <v>2008</v>
      </c>
      <c r="C1353" t="s">
        <v>26</v>
      </c>
      <c r="D1353">
        <v>143.48354499999999</v>
      </c>
      <c r="E1353">
        <v>2.188356835</v>
      </c>
      <c r="F1353">
        <v>0.26682573500000001</v>
      </c>
      <c r="G1353">
        <v>222.9887622</v>
      </c>
      <c r="H1353">
        <v>65.566795450000001</v>
      </c>
      <c r="I1353">
        <v>72.793951230000005</v>
      </c>
      <c r="J1353">
        <v>17.752911739999998</v>
      </c>
      <c r="K1353">
        <v>30.866</v>
      </c>
      <c r="L1353">
        <v>63.404000000000003</v>
      </c>
      <c r="M1353">
        <v>19.416011359999999</v>
      </c>
      <c r="N1353">
        <v>21.810012870000001</v>
      </c>
      <c r="O1353">
        <v>0.12192971900000001</v>
      </c>
      <c r="P1353">
        <v>119.297</v>
      </c>
      <c r="Q1353">
        <v>79.94</v>
      </c>
      <c r="R1353">
        <v>0.193</v>
      </c>
      <c r="S1353">
        <v>0</v>
      </c>
      <c r="T1353">
        <v>180.696</v>
      </c>
      <c r="U1353">
        <v>4.9219999999999997</v>
      </c>
      <c r="V1353" s="1" t="str">
        <f>IF(Energy_data_1990___2020[[#This Row],[CO2 emissions from fuel combustion (MtCO2)]]&gt;Energy_data_1990___2020[[#Totals],[CO2 emissions from fuel combustion (MtCO2)]],"Above Average","")</f>
        <v/>
      </c>
      <c r="W1353" s="1">
        <f>SUM(Energy_data_1990___2020[[#This Row],[Coal and lignite production (Mt)]]-Energy_data_1990___2020[[#This Row],[Coal and lignite domestic consumption (Mt)]])</f>
        <v>4.7290000000000001</v>
      </c>
    </row>
    <row r="1354" spans="1:23">
      <c r="A1354" t="s">
        <v>73</v>
      </c>
      <c r="B1354">
        <v>2009</v>
      </c>
      <c r="C1354" t="s">
        <v>26</v>
      </c>
      <c r="D1354">
        <v>144.68505930000001</v>
      </c>
      <c r="E1354">
        <v>2.2892643220000002</v>
      </c>
      <c r="F1354">
        <v>0.27796126300000001</v>
      </c>
      <c r="G1354">
        <v>204.35476700000001</v>
      </c>
      <c r="H1354">
        <v>63.201552530000001</v>
      </c>
      <c r="I1354">
        <v>71.886603109999996</v>
      </c>
      <c r="J1354">
        <v>18.224537049999999</v>
      </c>
      <c r="K1354">
        <v>31.088000000000001</v>
      </c>
      <c r="L1354">
        <v>61.854999999999997</v>
      </c>
      <c r="M1354">
        <v>18.578990059999999</v>
      </c>
      <c r="N1354">
        <v>21.296987309999999</v>
      </c>
      <c r="O1354">
        <v>0.121419471</v>
      </c>
      <c r="P1354">
        <v>119.58</v>
      </c>
      <c r="Q1354">
        <v>82.738</v>
      </c>
      <c r="R1354">
        <v>0.32500000000000001</v>
      </c>
      <c r="S1354">
        <v>0</v>
      </c>
      <c r="T1354">
        <v>166.16499999999999</v>
      </c>
      <c r="U1354">
        <v>3.282</v>
      </c>
      <c r="V1354" s="1" t="str">
        <f>IF(Energy_data_1990___2020[[#This Row],[CO2 emissions from fuel combustion (MtCO2)]]&gt;Energy_data_1990___2020[[#Totals],[CO2 emissions from fuel combustion (MtCO2)]],"Above Average","")</f>
        <v/>
      </c>
      <c r="W1354" s="1">
        <f>SUM(Energy_data_1990___2020[[#This Row],[Coal and lignite production (Mt)]]-Energy_data_1990___2020[[#This Row],[Coal and lignite domestic consumption (Mt)]])</f>
        <v>2.9569999999999999</v>
      </c>
    </row>
    <row r="1355" spans="1:23">
      <c r="A1355" t="s">
        <v>73</v>
      </c>
      <c r="B1355">
        <v>2010</v>
      </c>
      <c r="C1355" t="s">
        <v>26</v>
      </c>
      <c r="D1355">
        <v>156.66038080000001</v>
      </c>
      <c r="E1355">
        <v>2.0792726309999998</v>
      </c>
      <c r="F1355">
        <v>0.30551611200000001</v>
      </c>
      <c r="G1355">
        <v>201.183412</v>
      </c>
      <c r="H1355">
        <v>75.343838230000003</v>
      </c>
      <c r="I1355">
        <v>67.490572839999999</v>
      </c>
      <c r="J1355">
        <v>16.525190989999999</v>
      </c>
      <c r="K1355">
        <v>34.838999999999999</v>
      </c>
      <c r="L1355">
        <v>56.976999999999997</v>
      </c>
      <c r="M1355">
        <v>22.01202121</v>
      </c>
      <c r="N1355">
        <v>23.455996559999999</v>
      </c>
      <c r="O1355">
        <v>0.146934129</v>
      </c>
      <c r="P1355">
        <v>113.767</v>
      </c>
      <c r="Q1355">
        <v>83.51</v>
      </c>
      <c r="R1355">
        <v>0.27300000000000002</v>
      </c>
      <c r="S1355">
        <v>1.757979E-3</v>
      </c>
      <c r="T1355">
        <v>164.577</v>
      </c>
      <c r="U1355">
        <v>2.73</v>
      </c>
      <c r="V1355" s="1" t="str">
        <f>IF(Energy_data_1990___2020[[#This Row],[CO2 emissions from fuel combustion (MtCO2)]]&gt;Energy_data_1990___2020[[#Totals],[CO2 emissions from fuel combustion (MtCO2)]],"Above Average","")</f>
        <v/>
      </c>
      <c r="W1355" s="1">
        <f>SUM(Energy_data_1990___2020[[#This Row],[Coal and lignite production (Mt)]]-Energy_data_1990___2020[[#This Row],[Coal and lignite domestic consumption (Mt)]])</f>
        <v>2.4569999999999999</v>
      </c>
    </row>
    <row r="1356" spans="1:23">
      <c r="A1356" t="s">
        <v>73</v>
      </c>
      <c r="B1356">
        <v>2011</v>
      </c>
      <c r="C1356" t="s">
        <v>26</v>
      </c>
      <c r="D1356">
        <v>150.87122450000001</v>
      </c>
      <c r="E1356">
        <v>2.2431959250000002</v>
      </c>
      <c r="F1356">
        <v>0.28243070199999998</v>
      </c>
      <c r="G1356">
        <v>202.98032230000001</v>
      </c>
      <c r="H1356">
        <v>67.257265790000005</v>
      </c>
      <c r="I1356">
        <v>70.930715559999996</v>
      </c>
      <c r="J1356">
        <v>17.025664020000001</v>
      </c>
      <c r="K1356">
        <v>34.533999999999999</v>
      </c>
      <c r="L1356">
        <v>59.805999999999997</v>
      </c>
      <c r="M1356">
        <v>22.17100877</v>
      </c>
      <c r="N1356">
        <v>21.291977920000001</v>
      </c>
      <c r="O1356">
        <v>0.125905499</v>
      </c>
      <c r="P1356">
        <v>117.96299999999999</v>
      </c>
      <c r="Q1356">
        <v>86.715000000000003</v>
      </c>
      <c r="R1356">
        <v>0.28100000000000003</v>
      </c>
      <c r="S1356">
        <v>1.6954470000000001E-3</v>
      </c>
      <c r="T1356">
        <v>165.66</v>
      </c>
      <c r="U1356">
        <v>2.1</v>
      </c>
      <c r="V1356" s="1" t="str">
        <f>IF(Energy_data_1990___2020[[#This Row],[CO2 emissions from fuel combustion (MtCO2)]]&gt;Energy_data_1990___2020[[#Totals],[CO2 emissions from fuel combustion (MtCO2)]],"Above Average","")</f>
        <v/>
      </c>
      <c r="W1356" s="1">
        <f>SUM(Energy_data_1990___2020[[#This Row],[Coal and lignite production (Mt)]]-Energy_data_1990___2020[[#This Row],[Coal and lignite domestic consumption (Mt)]])</f>
        <v>1.819</v>
      </c>
    </row>
    <row r="1357" spans="1:23">
      <c r="A1357" t="s">
        <v>73</v>
      </c>
      <c r="B1357">
        <v>2012</v>
      </c>
      <c r="C1357" t="s">
        <v>26</v>
      </c>
      <c r="D1357">
        <v>162.3695907</v>
      </c>
      <c r="E1357">
        <v>2.361587455</v>
      </c>
      <c r="F1357">
        <v>0.28776603299999998</v>
      </c>
      <c r="G1357">
        <v>199.12362769999999</v>
      </c>
      <c r="H1357">
        <v>68.754426309999999</v>
      </c>
      <c r="I1357">
        <v>67.420513279999994</v>
      </c>
      <c r="J1357">
        <v>16.365228850000001</v>
      </c>
      <c r="K1357">
        <v>37.511000000000003</v>
      </c>
      <c r="L1357">
        <v>56.529000000000003</v>
      </c>
      <c r="M1357">
        <v>23.34498069</v>
      </c>
      <c r="N1357">
        <v>22.86097406</v>
      </c>
      <c r="O1357">
        <v>0.121852795</v>
      </c>
      <c r="P1357">
        <v>121.687</v>
      </c>
      <c r="Q1357">
        <v>89.662999999999997</v>
      </c>
      <c r="R1357">
        <v>0.28899999999999998</v>
      </c>
      <c r="S1357">
        <v>2.7940535999999998E-2</v>
      </c>
      <c r="T1357">
        <v>161.52600000000001</v>
      </c>
      <c r="U1357">
        <v>1.2</v>
      </c>
      <c r="V1357" s="1" t="str">
        <f>IF(Energy_data_1990___2020[[#This Row],[CO2 emissions from fuel combustion (MtCO2)]]&gt;Energy_data_1990___2020[[#Totals],[CO2 emissions from fuel combustion (MtCO2)]],"Above Average","")</f>
        <v/>
      </c>
      <c r="W1357" s="1">
        <f>SUM(Energy_data_1990___2020[[#This Row],[Coal and lignite production (Mt)]]-Energy_data_1990___2020[[#This Row],[Coal and lignite domestic consumption (Mt)]])</f>
        <v>0.91100000000000003</v>
      </c>
    </row>
    <row r="1358" spans="1:23">
      <c r="A1358" t="s">
        <v>73</v>
      </c>
      <c r="B1358">
        <v>2013</v>
      </c>
      <c r="C1358" t="s">
        <v>26</v>
      </c>
      <c r="D1358">
        <v>159.2643995</v>
      </c>
      <c r="E1358">
        <v>2.0919033630000001</v>
      </c>
      <c r="F1358">
        <v>0.27852192100000001</v>
      </c>
      <c r="G1358">
        <v>198.91630169999999</v>
      </c>
      <c r="H1358">
        <v>76.133726960000004</v>
      </c>
      <c r="I1358">
        <v>67.854099890000001</v>
      </c>
      <c r="J1358">
        <v>18.386086649999999</v>
      </c>
      <c r="K1358">
        <v>36.997999999999998</v>
      </c>
      <c r="L1358">
        <v>54.524000000000001</v>
      </c>
      <c r="M1358">
        <v>22.49802442</v>
      </c>
      <c r="N1358">
        <v>22.53602377</v>
      </c>
      <c r="O1358">
        <v>0.13314282399999999</v>
      </c>
      <c r="P1358">
        <v>123.235</v>
      </c>
      <c r="Q1358">
        <v>99.018000000000001</v>
      </c>
      <c r="R1358">
        <v>0.28799999999999998</v>
      </c>
      <c r="S1358">
        <v>6.0859334000000001E-2</v>
      </c>
      <c r="T1358">
        <v>161.37700000000001</v>
      </c>
      <c r="U1358">
        <v>0.94699999999999995</v>
      </c>
      <c r="V1358" s="1" t="str">
        <f>IF(Energy_data_1990___2020[[#This Row],[CO2 emissions from fuel combustion (MtCO2)]]&gt;Energy_data_1990___2020[[#Totals],[CO2 emissions from fuel combustion (MtCO2)]],"Above Average","")</f>
        <v/>
      </c>
      <c r="W1358" s="1">
        <f>SUM(Energy_data_1990___2020[[#This Row],[Coal and lignite production (Mt)]]-Energy_data_1990___2020[[#This Row],[Coal and lignite domestic consumption (Mt)]])</f>
        <v>0.65900000000000003</v>
      </c>
    </row>
    <row r="1359" spans="1:23">
      <c r="A1359" t="s">
        <v>73</v>
      </c>
      <c r="B1359">
        <v>2014</v>
      </c>
      <c r="C1359" t="s">
        <v>26</v>
      </c>
      <c r="D1359">
        <v>156.88012370000001</v>
      </c>
      <c r="E1359">
        <v>2.3755912779999999</v>
      </c>
      <c r="F1359">
        <v>0.285469584</v>
      </c>
      <c r="G1359">
        <v>191.3592271</v>
      </c>
      <c r="H1359">
        <v>66.03834809</v>
      </c>
      <c r="I1359">
        <v>62.300000969999999</v>
      </c>
      <c r="J1359">
        <v>14.988086259999999</v>
      </c>
      <c r="K1359">
        <v>36.125999999999998</v>
      </c>
      <c r="L1359">
        <v>55.247999999999998</v>
      </c>
      <c r="M1359">
        <v>22.576990420000001</v>
      </c>
      <c r="N1359">
        <v>22.277001569999999</v>
      </c>
      <c r="O1359">
        <v>0.120167803</v>
      </c>
      <c r="P1359">
        <v>103.313</v>
      </c>
      <c r="Q1359">
        <v>74.197000000000003</v>
      </c>
      <c r="R1359">
        <v>0.27</v>
      </c>
      <c r="S1359">
        <v>7.3562862000000007E-2</v>
      </c>
      <c r="T1359">
        <v>155.351</v>
      </c>
      <c r="U1359">
        <v>1.2</v>
      </c>
      <c r="V1359" s="1" t="str">
        <f>IF(Energy_data_1990___2020[[#This Row],[CO2 emissions from fuel combustion (MtCO2)]]&gt;Energy_data_1990___2020[[#Totals],[CO2 emissions from fuel combustion (MtCO2)]],"Above Average","")</f>
        <v/>
      </c>
      <c r="W1359" s="1">
        <f>SUM(Energy_data_1990___2020[[#This Row],[Coal and lignite production (Mt)]]-Energy_data_1990___2020[[#This Row],[Coal and lignite domestic consumption (Mt)]])</f>
        <v>0.92999999999999994</v>
      </c>
    </row>
    <row r="1360" spans="1:23">
      <c r="A1360" t="s">
        <v>73</v>
      </c>
      <c r="B1360">
        <v>2015</v>
      </c>
      <c r="C1360" t="s">
        <v>26</v>
      </c>
      <c r="D1360">
        <v>142.00945920000001</v>
      </c>
      <c r="E1360">
        <v>2.208584331</v>
      </c>
      <c r="F1360">
        <v>0.27555201699999998</v>
      </c>
      <c r="G1360">
        <v>184.03861470000001</v>
      </c>
      <c r="H1360">
        <v>64.298862029999995</v>
      </c>
      <c r="I1360">
        <v>61.056686130000003</v>
      </c>
      <c r="J1360">
        <v>19.707677459999999</v>
      </c>
      <c r="K1360">
        <v>31.291</v>
      </c>
      <c r="L1360">
        <v>50.402000000000001</v>
      </c>
      <c r="M1360">
        <v>22.957004250000001</v>
      </c>
      <c r="N1360">
        <v>22.963973599999999</v>
      </c>
      <c r="O1360">
        <v>0.12476409099999999</v>
      </c>
      <c r="P1360">
        <v>122.79900000000001</v>
      </c>
      <c r="Q1360">
        <v>84.272999999999996</v>
      </c>
      <c r="R1360">
        <v>0.18</v>
      </c>
      <c r="S1360">
        <v>6.3518432999999999E-2</v>
      </c>
      <c r="T1360">
        <v>146.61000000000001</v>
      </c>
      <c r="U1360">
        <v>0.80200000000000005</v>
      </c>
      <c r="V1360" s="1" t="str">
        <f>IF(Energy_data_1990___2020[[#This Row],[CO2 emissions from fuel combustion (MtCO2)]]&gt;Energy_data_1990___2020[[#Totals],[CO2 emissions from fuel combustion (MtCO2)]],"Above Average","")</f>
        <v/>
      </c>
      <c r="W1360" s="1">
        <f>SUM(Energy_data_1990___2020[[#This Row],[Coal and lignite production (Mt)]]-Energy_data_1990___2020[[#This Row],[Coal and lignite domestic consumption (Mt)]])</f>
        <v>0.62200000000000011</v>
      </c>
    </row>
    <row r="1361" spans="1:23">
      <c r="A1361" t="s">
        <v>73</v>
      </c>
      <c r="B1361">
        <v>2016</v>
      </c>
      <c r="C1361" t="s">
        <v>26</v>
      </c>
      <c r="D1361">
        <v>130.24413490000001</v>
      </c>
      <c r="E1361">
        <v>2.2147428589999998</v>
      </c>
      <c r="F1361">
        <v>0.30463216300000001</v>
      </c>
      <c r="G1361">
        <v>169.1247429</v>
      </c>
      <c r="H1361">
        <v>58.807790900000001</v>
      </c>
      <c r="I1361">
        <v>58.37786277</v>
      </c>
      <c r="J1361">
        <v>19.308332270000001</v>
      </c>
      <c r="K1361">
        <v>27.675000000000001</v>
      </c>
      <c r="L1361">
        <v>42.06</v>
      </c>
      <c r="M1361">
        <v>24.475999030000001</v>
      </c>
      <c r="N1361">
        <v>22.692979189999999</v>
      </c>
      <c r="O1361">
        <v>0.137547418</v>
      </c>
      <c r="P1361">
        <v>107.98099999999999</v>
      </c>
      <c r="Q1361">
        <v>73.42</v>
      </c>
      <c r="R1361">
        <v>0.20200000000000001</v>
      </c>
      <c r="S1361">
        <v>7.2234930000000003E-2</v>
      </c>
      <c r="T1361">
        <v>131.988</v>
      </c>
      <c r="U1361">
        <v>0.9</v>
      </c>
      <c r="V1361" s="1" t="str">
        <f>IF(Energy_data_1990___2020[[#This Row],[CO2 emissions from fuel combustion (MtCO2)]]&gt;Energy_data_1990___2020[[#Totals],[CO2 emissions from fuel combustion (MtCO2)]],"Above Average","")</f>
        <v/>
      </c>
      <c r="W1361" s="1">
        <f>SUM(Energy_data_1990___2020[[#This Row],[Coal and lignite production (Mt)]]-Energy_data_1990___2020[[#This Row],[Coal and lignite domestic consumption (Mt)]])</f>
        <v>0.69799999999999995</v>
      </c>
    </row>
    <row r="1362" spans="1:23">
      <c r="A1362" t="s">
        <v>73</v>
      </c>
      <c r="B1362">
        <v>2017</v>
      </c>
      <c r="C1362" t="s">
        <v>26</v>
      </c>
      <c r="D1362">
        <v>124.1061229</v>
      </c>
      <c r="E1362">
        <v>2.2229891519999998</v>
      </c>
      <c r="F1362">
        <v>0.344218205</v>
      </c>
      <c r="G1362">
        <v>148.97695239999999</v>
      </c>
      <c r="H1362">
        <v>55.828487879999997</v>
      </c>
      <c r="I1362">
        <v>58.379585919999997</v>
      </c>
      <c r="J1362">
        <v>19.658548889999999</v>
      </c>
      <c r="K1362">
        <v>25.275155999999999</v>
      </c>
      <c r="L1362">
        <v>36.647685000000003</v>
      </c>
      <c r="M1362">
        <v>24.007552690000001</v>
      </c>
      <c r="N1362">
        <v>22.803576190000001</v>
      </c>
      <c r="O1362">
        <v>0.154844753</v>
      </c>
      <c r="P1362">
        <v>103.777449</v>
      </c>
      <c r="Q1362">
        <v>70.153699000000003</v>
      </c>
      <c r="R1362">
        <v>0.112222</v>
      </c>
      <c r="S1362">
        <v>7.5160837999999994E-2</v>
      </c>
      <c r="T1362">
        <v>113.22011000000001</v>
      </c>
      <c r="U1362">
        <v>0.5</v>
      </c>
      <c r="V1362" s="1" t="str">
        <f>IF(Energy_data_1990___2020[[#This Row],[CO2 emissions from fuel combustion (MtCO2)]]&gt;Energy_data_1990___2020[[#Totals],[CO2 emissions from fuel combustion (MtCO2)]],"Above Average","")</f>
        <v/>
      </c>
      <c r="W1362" s="1">
        <f>SUM(Energy_data_1990___2020[[#This Row],[Coal and lignite production (Mt)]]-Energy_data_1990___2020[[#This Row],[Coal and lignite domestic consumption (Mt)]])</f>
        <v>0.38777800000000001</v>
      </c>
    </row>
    <row r="1363" spans="1:23">
      <c r="A1363" t="s">
        <v>73</v>
      </c>
      <c r="B1363">
        <v>2018</v>
      </c>
      <c r="C1363" t="s">
        <v>26</v>
      </c>
      <c r="D1363">
        <v>113.2495533</v>
      </c>
      <c r="E1363">
        <v>2.70164625</v>
      </c>
      <c r="F1363">
        <v>0.39078197799999997</v>
      </c>
      <c r="G1363">
        <v>115.3127484</v>
      </c>
      <c r="H1363">
        <v>41.918720219999997</v>
      </c>
      <c r="I1363">
        <v>58.3805318</v>
      </c>
      <c r="J1363">
        <v>20.319222329999999</v>
      </c>
      <c r="K1363">
        <v>22.891801999999998</v>
      </c>
      <c r="L1363">
        <v>31.411686</v>
      </c>
      <c r="M1363">
        <v>23.709981429999999</v>
      </c>
      <c r="N1363">
        <v>23.828481320000002</v>
      </c>
      <c r="O1363">
        <v>0.14464587200000001</v>
      </c>
      <c r="P1363">
        <v>99.738223000000005</v>
      </c>
      <c r="Q1363">
        <v>66.530344999999997</v>
      </c>
      <c r="R1363">
        <v>4.4888999999999998E-2</v>
      </c>
      <c r="S1363">
        <v>7.7432701000000007E-2</v>
      </c>
      <c r="T1363">
        <v>84.860872999999998</v>
      </c>
      <c r="U1363">
        <v>0.2</v>
      </c>
      <c r="V1363" s="1" t="str">
        <f>IF(Energy_data_1990___2020[[#This Row],[CO2 emissions from fuel combustion (MtCO2)]]&gt;Energy_data_1990___2020[[#Totals],[CO2 emissions from fuel combustion (MtCO2)]],"Above Average","")</f>
        <v/>
      </c>
      <c r="W1363" s="1">
        <f>SUM(Energy_data_1990___2020[[#This Row],[Coal and lignite production (Mt)]]-Energy_data_1990___2020[[#This Row],[Coal and lignite domestic consumption (Mt)]])</f>
        <v>0.155111</v>
      </c>
    </row>
    <row r="1364" spans="1:23">
      <c r="A1364" t="s">
        <v>73</v>
      </c>
      <c r="B1364">
        <v>2019</v>
      </c>
      <c r="C1364" t="s">
        <v>26</v>
      </c>
      <c r="D1364">
        <v>101.20020580000001</v>
      </c>
      <c r="E1364">
        <v>2.7936237180000001</v>
      </c>
      <c r="F1364">
        <v>0.53723718899999995</v>
      </c>
      <c r="G1364">
        <v>81.895068609999996</v>
      </c>
      <c r="H1364">
        <v>36.225424760000003</v>
      </c>
      <c r="I1364">
        <v>58.377039859999996</v>
      </c>
      <c r="J1364">
        <v>21.292363160000001</v>
      </c>
      <c r="K1364">
        <v>20.825057940000001</v>
      </c>
      <c r="L1364">
        <v>29.023761350000001</v>
      </c>
      <c r="M1364">
        <v>19.59998465</v>
      </c>
      <c r="N1364">
        <v>21.197943219999999</v>
      </c>
      <c r="O1364">
        <v>0.19230835700000001</v>
      </c>
      <c r="P1364">
        <v>96.463747979999994</v>
      </c>
      <c r="Q1364">
        <v>64.427278240000007</v>
      </c>
      <c r="R1364">
        <v>2.9469014000000002E-2</v>
      </c>
      <c r="S1364">
        <v>7.3940760999999994E-2</v>
      </c>
      <c r="T1364">
        <v>56.900108799999998</v>
      </c>
      <c r="U1364">
        <v>0.29820421000000003</v>
      </c>
      <c r="V1364" s="1" t="str">
        <f>IF(Energy_data_1990___2020[[#This Row],[CO2 emissions from fuel combustion (MtCO2)]]&gt;Energy_data_1990___2020[[#Totals],[CO2 emissions from fuel combustion (MtCO2)]],"Above Average","")</f>
        <v/>
      </c>
      <c r="W1364" s="1">
        <f>SUM(Energy_data_1990___2020[[#This Row],[Coal and lignite production (Mt)]]-Energy_data_1990___2020[[#This Row],[Coal and lignite domestic consumption (Mt)]])</f>
        <v>0.26873519600000001</v>
      </c>
    </row>
    <row r="1365" spans="1:23">
      <c r="A1365" t="s">
        <v>73</v>
      </c>
      <c r="B1365">
        <v>2020</v>
      </c>
      <c r="C1365" t="s">
        <v>26</v>
      </c>
      <c r="D1365">
        <v>85.048355959999995</v>
      </c>
      <c r="E1365">
        <v>2.9164783399999998</v>
      </c>
      <c r="F1365">
        <v>0.60199007599999999</v>
      </c>
      <c r="G1365">
        <v>51.397629700000003</v>
      </c>
      <c r="H1365">
        <v>29.161319259999999</v>
      </c>
      <c r="I1365">
        <v>60.94418357</v>
      </c>
      <c r="J1365">
        <v>23.787544189999998</v>
      </c>
      <c r="K1365">
        <v>17.910153439999998</v>
      </c>
      <c r="L1365">
        <v>25.405931469999999</v>
      </c>
      <c r="M1365">
        <v>14.62158855</v>
      </c>
      <c r="N1365">
        <v>17.81366564</v>
      </c>
      <c r="O1365">
        <v>0.20640992499999999</v>
      </c>
      <c r="P1365">
        <v>92.816466860000006</v>
      </c>
      <c r="Q1365">
        <v>61.944911019999999</v>
      </c>
      <c r="R1365">
        <v>1.9346004E-2</v>
      </c>
      <c r="S1365">
        <v>7.6846310000000001E-2</v>
      </c>
      <c r="T1365">
        <v>32.229087960000001</v>
      </c>
      <c r="U1365">
        <v>0.19576697900000001</v>
      </c>
      <c r="V1365" s="1" t="str">
        <f>IF(Energy_data_1990___2020[[#This Row],[CO2 emissions from fuel combustion (MtCO2)]]&gt;Energy_data_1990___2020[[#Totals],[CO2 emissions from fuel combustion (MtCO2)]],"Above Average","")</f>
        <v/>
      </c>
      <c r="W1365" s="1">
        <f>SUM(Energy_data_1990___2020[[#This Row],[Coal and lignite production (Mt)]]-Energy_data_1990___2020[[#This Row],[Coal and lignite domestic consumption (Mt)]])</f>
        <v>0.17642097500000001</v>
      </c>
    </row>
    <row r="1366" spans="1:23">
      <c r="D1366">
        <f>AVERAGE(Energy_data_1990___2020[CO2 emissions from fuel combustion (MtCO2)])</f>
        <v>550.37517840309454</v>
      </c>
    </row>
  </sheetData>
  <conditionalFormatting sqref="D1:D1048576">
    <cfRule type="top10" dxfId="11" priority="1" percent="1" rank="10"/>
    <cfRule type="top10" dxfId="10" priority="3" percent="1" bottom="1" rank="10"/>
    <cfRule type="top10" dxfId="9" priority="4" percent="1" rank="10"/>
    <cfRule type="colorScale" priority="5">
      <colorScale>
        <cfvo type="percent" val="&quot;top 10%&quot;"/>
        <cfvo type="percent" val="&quot;bottom 10%&quot;"/>
        <color rgb="FFFF0000"/>
        <color theme="9" tint="-0.249977111117893"/>
      </colorScale>
    </cfRule>
    <cfRule type="top10" priority="6" percent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ED1E-2CD2-42EB-96F4-07CAB91EE2BA}">
  <sheetPr codeName="Sheet3"/>
  <dimension ref="A1:P2376"/>
  <sheetViews>
    <sheetView topLeftCell="A11" workbookViewId="0">
      <selection activeCell="C2" sqref="C2:D2"/>
    </sheetView>
  </sheetViews>
  <sheetFormatPr defaultRowHeight="15"/>
  <sheetData>
    <row r="1" spans="1:16">
      <c r="A1" s="6" t="s">
        <v>74</v>
      </c>
      <c r="B1" s="6"/>
      <c r="C1" s="6" t="s">
        <v>75</v>
      </c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>
        <f>SUM('Energy data 1990 - 2020'!D2:E2)</f>
        <v>55.369776442000003</v>
      </c>
      <c r="B2" s="5"/>
      <c r="C2" s="5">
        <f>AVERAGE('Energy data 1990 - 2020'!H2)</f>
        <v>22.188078220000001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5">
        <f>SUM('Energy data 1990 - 2020'!D3:E3)</f>
        <v>59.584997270000002</v>
      </c>
      <c r="B3" s="5"/>
      <c r="C3" s="5">
        <f>AVERAGE('Energy data 1990 - 2020'!H3)</f>
        <v>23.469958949999999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5">
        <f>SUM('Energy data 1990 - 2020'!D4:E4)</f>
        <v>59.645946991999999</v>
      </c>
      <c r="B4" s="5"/>
      <c r="C4" s="5">
        <f>AVERAGE('Energy data 1990 - 2020'!H4)</f>
        <v>24.024343099999999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5">
        <f>SUM('Energy data 1990 - 2020'!D5:E5)</f>
        <v>61.654036796</v>
      </c>
      <c r="B5" s="5"/>
      <c r="C5" s="5">
        <f>AVERAGE('Energy data 1990 - 2020'!H5)</f>
        <v>24.110238089999999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5">
        <f>SUM('Energy data 1990 - 2020'!D6:E6)</f>
        <v>58.772576042000004</v>
      </c>
      <c r="B6" s="5"/>
      <c r="C6" s="5">
        <f>AVERAGE('Energy data 1990 - 2020'!H6)</f>
        <v>23.239626609999998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>
        <f>SUM('Energy data 1990 - 2020'!D7:E7)</f>
        <v>59.172496342000002</v>
      </c>
      <c r="B7" s="5"/>
      <c r="C7" s="5">
        <f>AVERAGE('Energy data 1990 - 2020'!H7)</f>
        <v>24.247643050000001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>
        <f>SUM('Energy data 1990 - 2020'!D8:E8)</f>
        <v>58.557980295999997</v>
      </c>
      <c r="B8" s="5"/>
      <c r="C8" s="5">
        <f>AVERAGE('Energy data 1990 - 2020'!H8)</f>
        <v>23.478104259999999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>
        <f>SUM('Energy data 1990 - 2020'!D9:E9)</f>
        <v>60.488537708000003</v>
      </c>
      <c r="B9" s="5"/>
      <c r="C9" s="5">
        <f>AVERAGE('Energy data 1990 - 2020'!H9)</f>
        <v>24.058809159999999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>
        <f>SUM('Energy data 1990 - 2020'!D10:E10)</f>
        <v>61.883869971999999</v>
      </c>
      <c r="B10" s="5"/>
      <c r="C10" s="5">
        <f>AVERAGE('Energy data 1990 - 2020'!H10)</f>
        <v>24.898894460000001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>
        <f>SUM('Energy data 1990 - 2020'!D11:E11)</f>
        <v>65.626629585000003</v>
      </c>
      <c r="B11" s="5"/>
      <c r="C11" s="5">
        <f>AVERAGE('Energy data 1990 - 2020'!H11)</f>
        <v>26.57925573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>
        <f>SUM('Energy data 1990 - 2020'!D12:E12)</f>
        <v>66.608778629</v>
      </c>
      <c r="B12" s="5"/>
      <c r="C12" s="5">
        <f>AVERAGE('Energy data 1990 - 2020'!H12)</f>
        <v>26.998921209999999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>
        <f>SUM('Energy data 1990 - 2020'!D13:E13)</f>
        <v>68.171692798000009</v>
      </c>
      <c r="B13" s="5"/>
      <c r="C13" s="5">
        <f>AVERAGE('Energy data 1990 - 2020'!H13)</f>
        <v>27.05377713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>
        <f>SUM('Energy data 1990 - 2020'!D14:E14)</f>
        <v>74.153669531000006</v>
      </c>
      <c r="B14" s="5"/>
      <c r="C14" s="5">
        <f>AVERAGE('Energy data 1990 - 2020'!H14)</f>
        <v>28.938373800000001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>
        <f>SUM('Energy data 1990 - 2020'!D15:E15)</f>
        <v>77.330640427000006</v>
      </c>
      <c r="B15" s="5"/>
      <c r="C15" s="5">
        <f>AVERAGE('Energy data 1990 - 2020'!H15)</f>
        <v>30.75453663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>
        <f>SUM('Energy data 1990 - 2020'!D16:E16)</f>
        <v>78.422328882999992</v>
      </c>
      <c r="B16" s="5"/>
      <c r="C16" s="5">
        <f>AVERAGE('Energy data 1990 - 2020'!H16)</f>
        <v>31.136516319999998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>
        <f>SUM('Energy data 1990 - 2020'!D17:E17)</f>
        <v>82.813828373000007</v>
      </c>
      <c r="B17" s="5"/>
      <c r="C17" s="5">
        <f>AVERAGE('Energy data 1990 - 2020'!H17)</f>
        <v>32.424159459999998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>
        <f>SUM('Energy data 1990 - 2020'!D18:E18)</f>
        <v>85.843982606000012</v>
      </c>
      <c r="B18" s="5"/>
      <c r="C18" s="5">
        <f>AVERAGE('Energy data 1990 - 2020'!H18)</f>
        <v>34.720351180000002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>
        <f>SUM('Energy data 1990 - 2020'!D19:E19)</f>
        <v>89.817145977999999</v>
      </c>
      <c r="B19" s="5"/>
      <c r="C19" s="5">
        <f>AVERAGE('Energy data 1990 - 2020'!H19)</f>
        <v>36.843905169999999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>
        <f>SUM('Energy data 1990 - 2020'!D20:E20)</f>
        <v>94.466913491</v>
      </c>
      <c r="B20" s="5"/>
      <c r="C20" s="5">
        <f>AVERAGE('Energy data 1990 - 2020'!H20)</f>
        <v>37.27887973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>
        <f>SUM('Energy data 1990 - 2020'!D21:E21)</f>
        <v>99.542294171000009</v>
      </c>
      <c r="B21" s="5"/>
      <c r="C21" s="5">
        <f>AVERAGE('Energy data 1990 - 2020'!H21)</f>
        <v>40.769670810000001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>
        <f>SUM('Energy data 1990 - 2020'!D22:E22)</f>
        <v>99.931167633999991</v>
      </c>
      <c r="B22" s="5"/>
      <c r="C22" s="5">
        <f>AVERAGE('Energy data 1990 - 2020'!H22)</f>
        <v>41.657536399999998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>
        <f>SUM('Energy data 1990 - 2020'!D23:E23)</f>
        <v>107.243912718</v>
      </c>
      <c r="B23" s="5"/>
      <c r="C23" s="5">
        <f>AVERAGE('Energy data 1990 - 2020'!H23)</f>
        <v>43.334288309999998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>
        <f>SUM('Energy data 1990 - 2020'!D24:E24)</f>
        <v>117.916180768</v>
      </c>
      <c r="B24" s="5"/>
      <c r="C24" s="5">
        <f>AVERAGE('Energy data 1990 - 2020'!H24)</f>
        <v>47.390226920000003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>
        <f>SUM('Energy data 1990 - 2020'!D25:E25)</f>
        <v>120.77572743499999</v>
      </c>
      <c r="B25" s="5"/>
      <c r="C25" s="5">
        <f>AVERAGE('Energy data 1990 - 2020'!H25)</f>
        <v>49.092328879999997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>
        <f>SUM('Energy data 1990 - 2020'!D26:E26)</f>
        <v>129.74689410299999</v>
      </c>
      <c r="B26" s="5"/>
      <c r="C26" s="5">
        <f>AVERAGE('Energy data 1990 - 2020'!H26)</f>
        <v>53.555730799999999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>
        <f>SUM('Energy data 1990 - 2020'!D27:E27)</f>
        <v>137.87846912399999</v>
      </c>
      <c r="B27" s="5"/>
      <c r="C27" s="5">
        <f>AVERAGE('Energy data 1990 - 2020'!H27)</f>
        <v>56.03365986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>
        <f>SUM('Energy data 1990 - 2020'!D28:E28)</f>
        <v>135.81855793599999</v>
      </c>
      <c r="B28" s="5"/>
      <c r="C28" s="5">
        <f>AVERAGE('Energy data 1990 - 2020'!H28)</f>
        <v>55.57343762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>
        <f>SUM('Energy data 1990 - 2020'!D29:E29)</f>
        <v>137.06662004499998</v>
      </c>
      <c r="B29" s="5"/>
      <c r="C29" s="5">
        <f>AVERAGE('Energy data 1990 - 2020'!H29)</f>
        <v>57.193533979999998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>
        <f>SUM('Energy data 1990 - 2020'!D30:E30)</f>
        <v>145.78058614699998</v>
      </c>
      <c r="B30" s="5"/>
      <c r="C30" s="5">
        <f>AVERAGE('Energy data 1990 - 2020'!H30)</f>
        <v>60.946147940000003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>
        <f>SUM('Energy data 1990 - 2020'!D31:E31)</f>
        <v>150.661458732</v>
      </c>
      <c r="B31" s="5"/>
      <c r="C31" s="5">
        <f>AVERAGE('Energy data 1990 - 2020'!H31)</f>
        <v>65.262738769999999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>
        <f>SUM('Energy data 1990 - 2020'!D32:E32)</f>
        <v>137.37138301499999</v>
      </c>
      <c r="B32" s="5"/>
      <c r="C32" s="5">
        <f>AVERAGE('Energy data 1990 - 2020'!H32)</f>
        <v>59.190365669999998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>
        <f>SUM('Energy data 1990 - 2020'!D33:E33)</f>
        <v>95.583222451000012</v>
      </c>
      <c r="B33" s="5"/>
      <c r="C33" s="5">
        <f>AVERAGE('Energy data 1990 - 2020'!H33)</f>
        <v>43.879788099999999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>
        <f>SUM('Energy data 1990 - 2020'!D34:E34)</f>
        <v>101.283918837</v>
      </c>
      <c r="B34" s="5"/>
      <c r="C34" s="5">
        <f>AVERAGE('Energy data 1990 - 2020'!H34)</f>
        <v>45.683524550000001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>
        <f>SUM('Energy data 1990 - 2020'!D35:E35)</f>
        <v>103.24443719199999</v>
      </c>
      <c r="B35" s="5"/>
      <c r="C35" s="5">
        <f>AVERAGE('Energy data 1990 - 2020'!H35)</f>
        <v>46.995331579999998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>
        <f>SUM('Energy data 1990 - 2020'!D36:E36)</f>
        <v>107.52186771299999</v>
      </c>
      <c r="B36" s="5"/>
      <c r="C36" s="5">
        <f>AVERAGE('Energy data 1990 - 2020'!H36)</f>
        <v>48.408987449999998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>
        <f>SUM('Energy data 1990 - 2020'!D37:E37)</f>
        <v>110.034033142</v>
      </c>
      <c r="B37" s="5"/>
      <c r="C37" s="5">
        <f>AVERAGE('Energy data 1990 - 2020'!H37)</f>
        <v>52.382950000000001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>
        <f>SUM('Energy data 1990 - 2020'!D38:E38)</f>
        <v>110.90801731399999</v>
      </c>
      <c r="B38" s="5"/>
      <c r="C38" s="5">
        <f>AVERAGE('Energy data 1990 - 2020'!H38)</f>
        <v>52.278029660000001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>
        <f>SUM('Energy data 1990 - 2020'!D39:E39)</f>
        <v>121.10062521500001</v>
      </c>
      <c r="B39" s="5"/>
      <c r="C39" s="5">
        <f>AVERAGE('Energy data 1990 - 2020'!H39)</f>
        <v>53.988153269999998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>
        <f>SUM('Energy data 1990 - 2020'!D40:E40)</f>
        <v>123.591692272</v>
      </c>
      <c r="B40" s="5"/>
      <c r="C40" s="5">
        <f>AVERAGE('Energy data 1990 - 2020'!H40)</f>
        <v>55.739477200000003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>
        <f>SUM('Energy data 1990 - 2020'!D41:E41)</f>
        <v>129.190870305</v>
      </c>
      <c r="B41" s="5"/>
      <c r="C41" s="5">
        <f>AVERAGE('Energy data 1990 - 2020'!H41)</f>
        <v>59.375707409999997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>
        <f>SUM('Energy data 1990 - 2020'!D42:E42)</f>
        <v>130.59050449900002</v>
      </c>
      <c r="B42" s="5"/>
      <c r="C42" s="5">
        <f>AVERAGE('Energy data 1990 - 2020'!H42)</f>
        <v>60.864823090000002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>
        <f>SUM('Energy data 1990 - 2020'!D43:E43)</f>
        <v>128.77086733100001</v>
      </c>
      <c r="B43" s="5"/>
      <c r="C43" s="5">
        <f>AVERAGE('Energy data 1990 - 2020'!H43)</f>
        <v>60.53529623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>
        <f>SUM('Energy data 1990 - 2020'!D44:E44)</f>
        <v>122.586246917</v>
      </c>
      <c r="B44" s="5"/>
      <c r="C44" s="5">
        <f>AVERAGE('Energy data 1990 - 2020'!H44)</f>
        <v>56.336325899999999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>
        <f>SUM('Energy data 1990 - 2020'!D45:E45)</f>
        <v>115.978362261</v>
      </c>
      <c r="B45" s="5"/>
      <c r="C45" s="5">
        <f>AVERAGE('Energy data 1990 - 2020'!H45)</f>
        <v>55.737135500000001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>
        <f>SUM('Energy data 1990 - 2020'!D46:E46)</f>
        <v>126.362588887</v>
      </c>
      <c r="B46" s="5"/>
      <c r="C46" s="5">
        <f>AVERAGE('Energy data 1990 - 2020'!H46)</f>
        <v>60.328898379999998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>
        <f>SUM('Energy data 1990 - 2020'!D47:E47)</f>
        <v>140.68667973200002</v>
      </c>
      <c r="B47" s="5"/>
      <c r="C47" s="5">
        <f>AVERAGE('Energy data 1990 - 2020'!H47)</f>
        <v>66.987415089999999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>
        <f>SUM('Energy data 1990 - 2020'!D48:E48)</f>
        <v>143.68772879599999</v>
      </c>
      <c r="B48" s="5"/>
      <c r="C48" s="5">
        <f>AVERAGE('Energy data 1990 - 2020'!H48)</f>
        <v>66.485473810000002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>
        <f>SUM('Energy data 1990 - 2020'!D49:E49)</f>
        <v>152.09458863500001</v>
      </c>
      <c r="B49" s="5"/>
      <c r="C49" s="5">
        <f>AVERAGE('Energy data 1990 - 2020'!H49)</f>
        <v>69.932284449999997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>
        <f>SUM('Energy data 1990 - 2020'!D50:E50)</f>
        <v>160.93240597300002</v>
      </c>
      <c r="B50" s="5"/>
      <c r="C50" s="5">
        <f>AVERAGE('Energy data 1990 - 2020'!H50)</f>
        <v>73.399060989999995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>
        <f>SUM('Energy data 1990 - 2020'!D51:E51)</f>
        <v>166.42179622500001</v>
      </c>
      <c r="B51" s="5"/>
      <c r="C51" s="5">
        <f>AVERAGE('Energy data 1990 - 2020'!H51)</f>
        <v>75.839095830000005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>
        <f>SUM('Energy data 1990 - 2020'!D52:E52)</f>
        <v>154.75540153100002</v>
      </c>
      <c r="B52" s="5"/>
      <c r="C52" s="5">
        <f>AVERAGE('Energy data 1990 - 2020'!H52)</f>
        <v>69.690217739999994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>
        <f>SUM('Energy data 1990 - 2020'!D53:E53)</f>
        <v>165.00979712999998</v>
      </c>
      <c r="B53" s="5"/>
      <c r="C53" s="5">
        <f>AVERAGE('Energy data 1990 - 2020'!H53)</f>
        <v>74.817818869999996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>
        <f>SUM('Energy data 1990 - 2020'!D54:E54)</f>
        <v>172.96982289500002</v>
      </c>
      <c r="B54" s="5"/>
      <c r="C54" s="5">
        <f>AVERAGE('Energy data 1990 - 2020'!H54)</f>
        <v>77.360083689999996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>
        <f>SUM('Energy data 1990 - 2020'!D55:E55)</f>
        <v>175.00640001299999</v>
      </c>
      <c r="B55" s="5"/>
      <c r="C55" s="5">
        <f>AVERAGE('Energy data 1990 - 2020'!H55)</f>
        <v>79.547892939999997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>
        <f>SUM('Energy data 1990 - 2020'!D56:E56)</f>
        <v>179.849699899</v>
      </c>
      <c r="B56" s="5"/>
      <c r="C56" s="5">
        <f>AVERAGE('Energy data 1990 - 2020'!H56)</f>
        <v>81.532568749999996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>
        <f>SUM('Energy data 1990 - 2020'!D57:E57)</f>
        <v>176.23439362400001</v>
      </c>
      <c r="B57" s="5"/>
      <c r="C57" s="5">
        <f>AVERAGE('Energy data 1990 - 2020'!H57)</f>
        <v>81.708218919999993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>
        <f>SUM('Energy data 1990 - 2020'!D58:E58)</f>
        <v>182.40531989800002</v>
      </c>
      <c r="B58" s="5"/>
      <c r="C58" s="5">
        <f>AVERAGE('Energy data 1990 - 2020'!H58)</f>
        <v>82.941803199999995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>
        <f>SUM('Energy data 1990 - 2020'!D59:E59)</f>
        <v>181.24880154299998</v>
      </c>
      <c r="B59" s="5"/>
      <c r="C59" s="5">
        <f>AVERAGE('Energy data 1990 - 2020'!H59)</f>
        <v>82.460922929999995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>
        <f>SUM('Energy data 1990 - 2020'!D60:E60)</f>
        <v>176.92974802700002</v>
      </c>
      <c r="B60" s="5"/>
      <c r="C60" s="5">
        <f>AVERAGE('Energy data 1990 - 2020'!H60)</f>
        <v>82.461596409999999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>
        <f>SUM('Energy data 1990 - 2020'!D61:E61)</f>
        <v>173.55159601599999</v>
      </c>
      <c r="B61" s="5"/>
      <c r="C61" s="5">
        <f>AVERAGE('Energy data 1990 - 2020'!H61)</f>
        <v>80.109389969999995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>
        <f>SUM('Energy data 1990 - 2020'!D62:E62)</f>
        <v>194.64949932099998</v>
      </c>
      <c r="B62" s="5"/>
      <c r="C62" s="5">
        <f>AVERAGE('Energy data 1990 - 2020'!H62)</f>
        <v>78.954908689999996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>
        <f>SUM('Energy data 1990 - 2020'!D63:E63)</f>
        <v>169.167614281</v>
      </c>
      <c r="B63" s="5"/>
      <c r="C63" s="5">
        <f>AVERAGE('Energy data 1990 - 2020'!H63)</f>
        <v>71.999143099999998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>
        <f>SUM('Energy data 1990 - 2020'!D64:E64)</f>
        <v>264.41923669799996</v>
      </c>
      <c r="B64" s="5"/>
      <c r="C64" s="5">
        <f>AVERAGE('Energy data 1990 - 2020'!H64)</f>
        <v>86.145761059999998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>
        <f>SUM('Energy data 1990 - 2020'!D65:E65)</f>
        <v>265.80676584499997</v>
      </c>
      <c r="B65" s="5"/>
      <c r="C65" s="5">
        <f>AVERAGE('Energy data 1990 - 2020'!H65)</f>
        <v>85.1312657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>
        <f>SUM('Energy data 1990 - 2020'!D66:E66)</f>
        <v>269.78582350099998</v>
      </c>
      <c r="B66" s="5"/>
      <c r="C66" s="5">
        <f>AVERAGE('Energy data 1990 - 2020'!H66)</f>
        <v>86.697048249999995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>
        <f>SUM('Energy data 1990 - 2020'!D67:E67)</f>
        <v>273.674346093</v>
      </c>
      <c r="B67" s="5"/>
      <c r="C67" s="5">
        <f>AVERAGE('Energy data 1990 - 2020'!H67)</f>
        <v>91.170370349999999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>
        <f>SUM('Energy data 1990 - 2020'!D68:E68)</f>
        <v>278.26291024400001</v>
      </c>
      <c r="B68" s="5"/>
      <c r="C68" s="5">
        <f>AVERAGE('Energy data 1990 - 2020'!H68)</f>
        <v>91.283517680000003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>
        <f>SUM('Energy data 1990 - 2020'!D69:E69)</f>
        <v>288.484645441</v>
      </c>
      <c r="B69" s="5"/>
      <c r="C69" s="5">
        <f>AVERAGE('Energy data 1990 - 2020'!H69)</f>
        <v>92.544514669999998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>
        <f>SUM('Energy data 1990 - 2020'!D70:E70)</f>
        <v>298.33986021599998</v>
      </c>
      <c r="B70" s="5"/>
      <c r="C70" s="5">
        <f>AVERAGE('Energy data 1990 - 2020'!H70)</f>
        <v>98.989492499999997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>
        <f>SUM('Energy data 1990 - 2020'!D71:E71)</f>
        <v>307.25260341499995</v>
      </c>
      <c r="B71" s="5"/>
      <c r="C71" s="5">
        <f>AVERAGE('Energy data 1990 - 2020'!H71)</f>
        <v>101.3397251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>
        <f>SUM('Energy data 1990 - 2020'!D72:E72)</f>
        <v>327.211785706</v>
      </c>
      <c r="B72" s="5"/>
      <c r="C72" s="5">
        <f>AVERAGE('Energy data 1990 - 2020'!H72)</f>
        <v>103.9724058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>
        <f>SUM('Energy data 1990 - 2020'!D73:E73)</f>
        <v>332.814409318</v>
      </c>
      <c r="B73" s="5"/>
      <c r="C73" s="5">
        <f>AVERAGE('Energy data 1990 - 2020'!H73)</f>
        <v>106.23013210000001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>
        <f>SUM('Energy data 1990 - 2020'!D74:E74)</f>
        <v>338.95976373000002</v>
      </c>
      <c r="B74" s="5"/>
      <c r="C74" s="5">
        <f>AVERAGE('Energy data 1990 - 2020'!H74)</f>
        <v>108.1533574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>
        <f>SUM('Energy data 1990 - 2020'!D75:E75)</f>
        <v>345.34673416600003</v>
      </c>
      <c r="B75" s="5"/>
      <c r="C75" s="5">
        <f>AVERAGE('Energy data 1990 - 2020'!H75)</f>
        <v>105.8008913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>
        <f>SUM('Energy data 1990 - 2020'!D76:E76)</f>
        <v>357.33791451000002</v>
      </c>
      <c r="B76" s="5"/>
      <c r="C76" s="5">
        <f>AVERAGE('Energy data 1990 - 2020'!H76)</f>
        <v>109.46115450000001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>
        <f>SUM('Energy data 1990 - 2020'!D77:E77)</f>
        <v>357.10026606600002</v>
      </c>
      <c r="B77" s="5"/>
      <c r="C77" s="5">
        <f>AVERAGE('Energy data 1990 - 2020'!H77)</f>
        <v>110.7450079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>
        <f>SUM('Energy data 1990 - 2020'!D78:E78)</f>
        <v>370.58161069900001</v>
      </c>
      <c r="B78" s="5"/>
      <c r="C78" s="5">
        <f>AVERAGE('Energy data 1990 - 2020'!H78)</f>
        <v>112.6630993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>
        <f>SUM('Energy data 1990 - 2020'!D79:E79)</f>
        <v>375.99867170700003</v>
      </c>
      <c r="B79" s="5"/>
      <c r="C79" s="5">
        <f>AVERAGE('Energy data 1990 - 2020'!H79)</f>
        <v>113.485214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>
        <f>SUM('Energy data 1990 - 2020'!D80:E80)</f>
        <v>379.62527758300001</v>
      </c>
      <c r="B80" s="5"/>
      <c r="C80" s="5">
        <f>AVERAGE('Energy data 1990 - 2020'!H80)</f>
        <v>117.9406961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>
        <f>SUM('Energy data 1990 - 2020'!D81:E81)</f>
        <v>390.251413571</v>
      </c>
      <c r="B81" s="5"/>
      <c r="C81" s="5">
        <f>AVERAGE('Energy data 1990 - 2020'!H81)</f>
        <v>121.1721682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>
        <f>SUM('Energy data 1990 - 2020'!D82:E82)</f>
        <v>393.43939124500002</v>
      </c>
      <c r="B82" s="5"/>
      <c r="C82" s="5">
        <f>AVERAGE('Energy data 1990 - 2020'!H82)</f>
        <v>125.7518852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>
        <f>SUM('Energy data 1990 - 2020'!D83:E83)</f>
        <v>396.35718923299999</v>
      </c>
      <c r="B83" s="5"/>
      <c r="C83" s="5">
        <f>AVERAGE('Energy data 1990 - 2020'!H83)</f>
        <v>125.9320755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>
        <f>SUM('Energy data 1990 - 2020'!D84:E84)</f>
        <v>394.28640201499996</v>
      </c>
      <c r="B84" s="5"/>
      <c r="C84" s="5">
        <f>AVERAGE('Energy data 1990 - 2020'!H84)</f>
        <v>126.2414165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>
        <f>SUM('Energy data 1990 - 2020'!D85:E85)</f>
        <v>392.45752305100001</v>
      </c>
      <c r="B85" s="5"/>
      <c r="C85" s="5">
        <f>AVERAGE('Energy data 1990 - 2020'!H85)</f>
        <v>126.9730974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>
        <f>SUM('Energy data 1990 - 2020'!D86:E86)</f>
        <v>391.09335893100001</v>
      </c>
      <c r="B86" s="5"/>
      <c r="C86" s="5">
        <f>AVERAGE('Energy data 1990 - 2020'!H86)</f>
        <v>125.5919442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>
        <f>SUM('Energy data 1990 - 2020'!D87:E87)</f>
        <v>388.06188424100003</v>
      </c>
      <c r="B87" s="5"/>
      <c r="C87" s="5">
        <f>AVERAGE('Energy data 1990 - 2020'!H87)</f>
        <v>127.4888017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>
        <f>SUM('Energy data 1990 - 2020'!D88:E88)</f>
        <v>378.28993734299996</v>
      </c>
      <c r="B88" s="5"/>
      <c r="C88" s="5">
        <f>AVERAGE('Energy data 1990 - 2020'!H88)</f>
        <v>126.85592870000001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>
        <f>SUM('Energy data 1990 - 2020'!D89:E89)</f>
        <v>383.82844907100002</v>
      </c>
      <c r="B89" s="5"/>
      <c r="C89" s="5">
        <f>AVERAGE('Energy data 1990 - 2020'!H89)</f>
        <v>126.67040729999999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>
        <f>SUM('Energy data 1990 - 2020'!D90:E90)</f>
        <v>393.79723160000003</v>
      </c>
      <c r="B90" s="5"/>
      <c r="C90" s="5">
        <f>AVERAGE('Energy data 1990 - 2020'!H90)</f>
        <v>126.524271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>
        <f>SUM('Energy data 1990 - 2020'!D91:E91)</f>
        <v>396.59354813299996</v>
      </c>
      <c r="B91" s="5"/>
      <c r="C91" s="5">
        <f>AVERAGE('Energy data 1990 - 2020'!H91)</f>
        <v>127.62098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>
        <f>SUM('Energy data 1990 - 2020'!D92:E92)</f>
        <v>395.181998857</v>
      </c>
      <c r="B92" s="5"/>
      <c r="C92" s="5">
        <f>AVERAGE('Energy data 1990 - 2020'!H92)</f>
        <v>128.02811819999999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>
        <f>SUM('Energy data 1990 - 2020'!D93:E93)</f>
        <v>390.32672224300001</v>
      </c>
      <c r="B93" s="5"/>
      <c r="C93" s="5">
        <f>AVERAGE('Energy data 1990 - 2020'!H93)</f>
        <v>128.65839020000001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>
        <f>SUM('Energy data 1990 - 2020'!D94:E94)</f>
        <v>374.71823511899998</v>
      </c>
      <c r="B94" s="5"/>
      <c r="C94" s="5">
        <f>AVERAGE('Energy data 1990 - 2020'!H94)</f>
        <v>126.10530009999999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>
        <f>SUM('Energy data 1990 - 2020'!D95:E95)</f>
        <v>108.66818272499999</v>
      </c>
      <c r="B95" s="5"/>
      <c r="C95" s="5">
        <f>AVERAGE('Energy data 1990 - 2020'!H95)</f>
        <v>47.888722989999998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>
        <f>SUM('Energy data 1990 - 2020'!D96:E96)</f>
        <v>113.35085722400001</v>
      </c>
      <c r="B96" s="5"/>
      <c r="C96" s="5">
        <f>AVERAGE('Energy data 1990 - 2020'!H96)</f>
        <v>50.048559679999997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>
        <f>SUM('Energy data 1990 - 2020'!D97:E97)</f>
        <v>111.99937643300001</v>
      </c>
      <c r="B97" s="5"/>
      <c r="C97" s="5">
        <f>AVERAGE('Energy data 1990 - 2020'!H97)</f>
        <v>50.652292119999998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>
        <f>SUM('Energy data 1990 - 2020'!D98:E98)</f>
        <v>110.40897420899999</v>
      </c>
      <c r="B98" s="5"/>
      <c r="C98" s="5">
        <f>AVERAGE('Energy data 1990 - 2020'!H98)</f>
        <v>49.405886780000003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>
        <f>SUM('Energy data 1990 - 2020'!D99:E99)</f>
        <v>115.716054249</v>
      </c>
      <c r="B99" s="5"/>
      <c r="C99" s="5">
        <f>AVERAGE('Energy data 1990 - 2020'!H99)</f>
        <v>52.465594639999999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>
        <f>SUM('Energy data 1990 - 2020'!D100:E100)</f>
        <v>116.09702022500001</v>
      </c>
      <c r="B100" s="5"/>
      <c r="C100" s="5">
        <f>AVERAGE('Energy data 1990 - 2020'!H100)</f>
        <v>53.341983999999997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>
        <f>SUM('Energy data 1990 - 2020'!D101:E101)</f>
        <v>121.55123309599999</v>
      </c>
      <c r="B101" s="5"/>
      <c r="C101" s="5">
        <f>AVERAGE('Energy data 1990 - 2020'!H101)</f>
        <v>56.14346381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>
        <f>SUM('Energy data 1990 - 2020'!D102:E102)</f>
        <v>118.020198364</v>
      </c>
      <c r="B102" s="5"/>
      <c r="C102" s="5">
        <f>AVERAGE('Energy data 1990 - 2020'!H102)</f>
        <v>56.34177845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>
        <f>SUM('Energy data 1990 - 2020'!D103:E103)</f>
        <v>120.62370545100001</v>
      </c>
      <c r="B103" s="5"/>
      <c r="C103" s="5">
        <f>AVERAGE('Energy data 1990 - 2020'!H103)</f>
        <v>57.345042749999998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>
        <f>SUM('Energy data 1990 - 2020'!D104:E104)</f>
        <v>116.2673297</v>
      </c>
      <c r="B104" s="5"/>
      <c r="C104" s="5">
        <f>AVERAGE('Energy data 1990 - 2020'!H104)</f>
        <v>57.38444063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>
        <f>SUM('Energy data 1990 - 2020'!D105:E105)</f>
        <v>118.37056426700001</v>
      </c>
      <c r="B105" s="5"/>
      <c r="C105" s="5">
        <f>AVERAGE('Energy data 1990 - 2020'!H105)</f>
        <v>58.047890459999998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>
        <f>SUM('Energy data 1990 - 2020'!D106:E106)</f>
        <v>118.141209786</v>
      </c>
      <c r="B106" s="5"/>
      <c r="C106" s="5">
        <f>AVERAGE('Energy data 1990 - 2020'!H106)</f>
        <v>57.66994236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>
        <f>SUM('Energy data 1990 - 2020'!D107:E107)</f>
        <v>112.640664008</v>
      </c>
      <c r="B107" s="5"/>
      <c r="C107" s="5">
        <f>AVERAGE('Energy data 1990 - 2020'!H107)</f>
        <v>55.774238990000001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>
        <f>SUM('Energy data 1990 - 2020'!D108:E108)</f>
        <v>116.29033822699999</v>
      </c>
      <c r="B108" s="5"/>
      <c r="C108" s="5">
        <f>AVERAGE('Energy data 1990 - 2020'!H108)</f>
        <v>58.206223790000003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>
        <f>SUM('Energy data 1990 - 2020'!D109:E109)</f>
        <v>115.95583236900001</v>
      </c>
      <c r="B109" s="5"/>
      <c r="C109" s="5">
        <f>AVERAGE('Energy data 1990 - 2020'!H109)</f>
        <v>58.398025910000001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>
        <f>SUM('Energy data 1990 - 2020'!D110:E110)</f>
        <v>113.129025465</v>
      </c>
      <c r="B110" s="5"/>
      <c r="C110" s="5">
        <f>AVERAGE('Energy data 1990 - 2020'!H110)</f>
        <v>58.07939975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>
        <f>SUM('Energy data 1990 - 2020'!D111:E111)</f>
        <v>111.839047687</v>
      </c>
      <c r="B111" s="5"/>
      <c r="C111" s="5">
        <f>AVERAGE('Energy data 1990 - 2020'!H111)</f>
        <v>57.373158199999999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>
        <f>SUM('Energy data 1990 - 2020'!D112:E112)</f>
        <v>107.93648734300001</v>
      </c>
      <c r="B112" s="5"/>
      <c r="C112" s="5">
        <f>AVERAGE('Energy data 1990 - 2020'!H112)</f>
        <v>56.2559355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>
        <f>SUM('Energy data 1990 - 2020'!D113:E113)</f>
        <v>111.305946756</v>
      </c>
      <c r="B113" s="5"/>
      <c r="C113" s="5">
        <f>AVERAGE('Energy data 1990 - 2020'!H113)</f>
        <v>57.974398020000002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>
        <f>SUM('Energy data 1990 - 2020'!D114:E114)</f>
        <v>107.15060287999999</v>
      </c>
      <c r="B114" s="5"/>
      <c r="C114" s="5">
        <f>AVERAGE('Energy data 1990 - 2020'!H114)</f>
        <v>55.610514369999997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>
        <f>SUM('Energy data 1990 - 2020'!D115:E115)</f>
        <v>116.14078392899999</v>
      </c>
      <c r="B115" s="5"/>
      <c r="C115" s="5">
        <f>AVERAGE('Energy data 1990 - 2020'!H115)</f>
        <v>59.822939290000001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>
        <f>SUM('Energy data 1990 - 2020'!D116:E116)</f>
        <v>107.50208426900001</v>
      </c>
      <c r="B116" s="5"/>
      <c r="C116" s="5">
        <f>AVERAGE('Energy data 1990 - 2020'!H116)</f>
        <v>55.975563630000003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>
        <f>SUM('Energy data 1990 - 2020'!D117:E117)</f>
        <v>101.013521715</v>
      </c>
      <c r="B117" s="5"/>
      <c r="C117" s="5">
        <f>AVERAGE('Energy data 1990 - 2020'!H117)</f>
        <v>53.496722140000003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>
        <f>SUM('Energy data 1990 - 2020'!D118:E118)</f>
        <v>102.011212656</v>
      </c>
      <c r="B118" s="5"/>
      <c r="C118" s="5">
        <f>AVERAGE('Energy data 1990 - 2020'!H118)</f>
        <v>55.779431299999999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>
        <f>SUM('Energy data 1990 - 2020'!D119:E119)</f>
        <v>95.256864363000005</v>
      </c>
      <c r="B119" s="5"/>
      <c r="C119" s="5">
        <f>AVERAGE('Energy data 1990 - 2020'!H119)</f>
        <v>52.6192256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>
        <f>SUM('Energy data 1990 - 2020'!D120:E120)</f>
        <v>101.437355615</v>
      </c>
      <c r="B120" s="5"/>
      <c r="C120" s="5">
        <f>AVERAGE('Energy data 1990 - 2020'!H120)</f>
        <v>52.482108660000002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>
        <f>SUM('Energy data 1990 - 2020'!D121:E121)</f>
        <v>98.064263881000002</v>
      </c>
      <c r="B121" s="5"/>
      <c r="C121" s="5">
        <f>AVERAGE('Energy data 1990 - 2020'!H121)</f>
        <v>55.600933240000003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>
        <f>SUM('Energy data 1990 - 2020'!D122:E122)</f>
        <v>97.556496972000005</v>
      </c>
      <c r="B122" s="5"/>
      <c r="C122" s="5">
        <f>AVERAGE('Energy data 1990 - 2020'!H122)</f>
        <v>55.294702460000003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>
        <f>SUM('Energy data 1990 - 2020'!D123:E123)</f>
        <v>99.591476475000007</v>
      </c>
      <c r="B123" s="5"/>
      <c r="C123" s="5">
        <f>AVERAGE('Energy data 1990 - 2020'!H123)</f>
        <v>53.243991080000001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>
        <f>SUM('Energy data 1990 - 2020'!D124:E124)</f>
        <v>100.451147576</v>
      </c>
      <c r="B124" s="5"/>
      <c r="C124" s="5">
        <f>AVERAGE('Energy data 1990 - 2020'!H124)</f>
        <v>55.309902829999999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>
        <f>SUM('Energy data 1990 - 2020'!D125:E125)</f>
        <v>92.439879800999989</v>
      </c>
      <c r="B125" s="5"/>
      <c r="C125" s="5">
        <f>AVERAGE('Energy data 1990 - 2020'!H125)</f>
        <v>51.36475927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>
        <f>SUM('Energy data 1990 - 2020'!D126:E126)</f>
        <v>195.143124097</v>
      </c>
      <c r="B126" s="5"/>
      <c r="C126" s="5">
        <f>AVERAGE('Energy data 1990 - 2020'!H126)</f>
        <v>140.6778754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>
        <f>SUM('Energy data 1990 - 2020'!D127:E127)</f>
        <v>200.381353241</v>
      </c>
      <c r="B127" s="5"/>
      <c r="C127" s="5">
        <f>AVERAGE('Energy data 1990 - 2020'!H127)</f>
        <v>143.3297906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>
        <f>SUM('Energy data 1990 - 2020'!D128:E128)</f>
        <v>205.098417582</v>
      </c>
      <c r="B128" s="5"/>
      <c r="C128" s="5">
        <f>AVERAGE('Energy data 1990 - 2020'!H128)</f>
        <v>144.79450700000001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>
        <f>SUM('Energy data 1990 - 2020'!D129:E129)</f>
        <v>212.52369148400001</v>
      </c>
      <c r="B129" s="5"/>
      <c r="C129" s="5">
        <f>AVERAGE('Energy data 1990 - 2020'!H129)</f>
        <v>148.4256815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>
        <f>SUM('Energy data 1990 - 2020'!D130:E130)</f>
        <v>220.367511439</v>
      </c>
      <c r="B130" s="5"/>
      <c r="C130" s="5">
        <f>AVERAGE('Energy data 1990 - 2020'!H130)</f>
        <v>156.23705000000001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>
        <f>SUM('Energy data 1990 - 2020'!D131:E131)</f>
        <v>237.18753043700002</v>
      </c>
      <c r="B131" s="5"/>
      <c r="C131" s="5">
        <f>AVERAGE('Energy data 1990 - 2020'!H131)</f>
        <v>161.58296540000001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>
        <f>SUM('Energy data 1990 - 2020'!D132:E132)</f>
        <v>255.744297864</v>
      </c>
      <c r="B132" s="5"/>
      <c r="C132" s="5">
        <f>AVERAGE('Energy data 1990 - 2020'!H132)</f>
        <v>170.15941119999999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>
        <f>SUM('Energy data 1990 - 2020'!D133:E133)</f>
        <v>272.79736768000004</v>
      </c>
      <c r="B133" s="5"/>
      <c r="C133" s="5">
        <f>AVERAGE('Energy data 1990 - 2020'!H133)</f>
        <v>178.73229470000001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>
        <f>SUM('Energy data 1990 - 2020'!D134:E134)</f>
        <v>280.29059345000002</v>
      </c>
      <c r="B134" s="5"/>
      <c r="C134" s="5">
        <f>AVERAGE('Energy data 1990 - 2020'!H134)</f>
        <v>182.99588030000001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>
        <f>SUM('Energy data 1990 - 2020'!D135:E135)</f>
        <v>289.48736242500001</v>
      </c>
      <c r="B135" s="5"/>
      <c r="C135" s="5">
        <f>AVERAGE('Energy data 1990 - 2020'!H135)</f>
        <v>187.12697199999999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>
        <f>SUM('Energy data 1990 - 2020'!D136:E136)</f>
        <v>300.06685950400004</v>
      </c>
      <c r="B136" s="5"/>
      <c r="C136" s="5">
        <f>AVERAGE('Energy data 1990 - 2020'!H136)</f>
        <v>187.86999130000001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>
        <f>SUM('Energy data 1990 - 2020'!D137:E137)</f>
        <v>306.43020570800002</v>
      </c>
      <c r="B137" s="5"/>
      <c r="C137" s="5">
        <f>AVERAGE('Energy data 1990 - 2020'!H137)</f>
        <v>191.15660930000001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>
        <f>SUM('Energy data 1990 - 2020'!D138:E138)</f>
        <v>304.37372713399998</v>
      </c>
      <c r="B138" s="5"/>
      <c r="C138" s="5">
        <f>AVERAGE('Energy data 1990 - 2020'!H138)</f>
        <v>196.27425650000001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>
        <f>SUM('Energy data 1990 - 2020'!D139:E139)</f>
        <v>299.38035991300001</v>
      </c>
      <c r="B139" s="5"/>
      <c r="C139" s="5">
        <f>AVERAGE('Energy data 1990 - 2020'!H139)</f>
        <v>199.48415170000001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>
        <f>SUM('Energy data 1990 - 2020'!D140:E140)</f>
        <v>316.25306438199999</v>
      </c>
      <c r="B140" s="5"/>
      <c r="C140" s="5">
        <f>AVERAGE('Energy data 1990 - 2020'!H140)</f>
        <v>210.67244450000001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>
        <f>SUM('Energy data 1990 - 2020'!D141:E141)</f>
        <v>319.72365839599996</v>
      </c>
      <c r="B141" s="5"/>
      <c r="C141" s="5">
        <f>AVERAGE('Energy data 1990 - 2020'!H141)</f>
        <v>216.02059439999999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>
        <f>SUM('Energy data 1990 - 2020'!D142:E142)</f>
        <v>323.60330057300001</v>
      </c>
      <c r="B142" s="5"/>
      <c r="C142" s="5">
        <f>AVERAGE('Energy data 1990 - 2020'!H142)</f>
        <v>223.57788790000001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>
        <f>SUM('Energy data 1990 - 2020'!D143:E143)</f>
        <v>338.606433885</v>
      </c>
      <c r="B143" s="5"/>
      <c r="C143" s="5">
        <f>AVERAGE('Energy data 1990 - 2020'!H143)</f>
        <v>236.34842509999999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>
        <f>SUM('Energy data 1990 - 2020'!D144:E144)</f>
        <v>356.74081168200001</v>
      </c>
      <c r="B144" s="5"/>
      <c r="C144" s="5">
        <f>AVERAGE('Energy data 1990 - 2020'!H144)</f>
        <v>249.70689300000001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>
        <f>SUM('Energy data 1990 - 2020'!D145:E145)</f>
        <v>334.21899458999997</v>
      </c>
      <c r="B145" s="5"/>
      <c r="C145" s="5">
        <f>AVERAGE('Energy data 1990 - 2020'!H145)</f>
        <v>241.54020589999999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>
        <f>SUM('Energy data 1990 - 2020'!D146:E146)</f>
        <v>378.380301583</v>
      </c>
      <c r="B146" s="5"/>
      <c r="C146" s="5">
        <f>AVERAGE('Energy data 1990 - 2020'!H146)</f>
        <v>267.13421520000003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>
        <f>SUM('Energy data 1990 - 2020'!D147:E147)</f>
        <v>398.38774560899998</v>
      </c>
      <c r="B147" s="5"/>
      <c r="C147" s="5">
        <f>AVERAGE('Energy data 1990 - 2020'!H147)</f>
        <v>270.90855449999998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>
        <f>SUM('Energy data 1990 - 2020'!D148:E148)</f>
        <v>431.38103728999999</v>
      </c>
      <c r="B148" s="5"/>
      <c r="C148" s="5">
        <f>AVERAGE('Energy data 1990 - 2020'!H148)</f>
        <v>281.5035949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>
        <f>SUM('Energy data 1990 - 2020'!D149:E149)</f>
        <v>463.20374825100004</v>
      </c>
      <c r="B149" s="5"/>
      <c r="C149" s="5">
        <f>AVERAGE('Energy data 1990 - 2020'!H149)</f>
        <v>294.13203199999998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>
        <f>SUM('Energy data 1990 - 2020'!D150:E150)</f>
        <v>488.56413403200003</v>
      </c>
      <c r="B150" s="5"/>
      <c r="C150" s="5">
        <f>AVERAGE('Energy data 1990 - 2020'!H150)</f>
        <v>303.2818479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>
        <f>SUM('Energy data 1990 - 2020'!D151:E151)</f>
        <v>464.34639730200001</v>
      </c>
      <c r="B151" s="5"/>
      <c r="C151" s="5">
        <f>AVERAGE('Energy data 1990 - 2020'!H151)</f>
        <v>297.37268310000002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>
        <f>SUM('Energy data 1990 - 2020'!D152:E152)</f>
        <v>431.22768403699996</v>
      </c>
      <c r="B152" s="5"/>
      <c r="C152" s="5">
        <f>AVERAGE('Energy data 1990 - 2020'!H152)</f>
        <v>286.65258699999998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>
        <f>SUM('Energy data 1990 - 2020'!D153:E153)</f>
        <v>437.931775491</v>
      </c>
      <c r="B153" s="5"/>
      <c r="C153" s="5">
        <f>AVERAGE('Energy data 1990 - 2020'!H153)</f>
        <v>291.94870859999997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>
        <f>SUM('Energy data 1990 - 2020'!D154:E154)</f>
        <v>412.55316413399999</v>
      </c>
      <c r="B154" s="5"/>
      <c r="C154" s="5">
        <f>AVERAGE('Energy data 1990 - 2020'!H154)</f>
        <v>288.05907960000002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>
        <f>SUM('Energy data 1990 - 2020'!D155:E155)</f>
        <v>414.47897133399999</v>
      </c>
      <c r="B155" s="5"/>
      <c r="C155" s="5">
        <f>AVERAGE('Energy data 1990 - 2020'!H155)</f>
        <v>292.7073714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>
        <f>SUM('Energy data 1990 - 2020'!D156:E156)</f>
        <v>386.78366472900001</v>
      </c>
      <c r="B156" s="5"/>
      <c r="C156" s="5">
        <f>AVERAGE('Energy data 1990 - 2020'!H156)</f>
        <v>286.23505310000002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>
        <f>SUM('Energy data 1990 - 2020'!D157:E157)</f>
        <v>431.171538441</v>
      </c>
      <c r="B157" s="5"/>
      <c r="C157" s="5">
        <f>AVERAGE('Energy data 1990 - 2020'!H157)</f>
        <v>211.06460680000001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>
        <f>SUM('Energy data 1990 - 2020'!D158:E158)</f>
        <v>424.17734565400002</v>
      </c>
      <c r="B158" s="5"/>
      <c r="C158" s="5">
        <f>AVERAGE('Energy data 1990 - 2020'!H158)</f>
        <v>210.45236249999999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>
        <f>SUM('Energy data 1990 - 2020'!D159:E159)</f>
        <v>436.87254268000004</v>
      </c>
      <c r="B159" s="5"/>
      <c r="C159" s="5">
        <f>AVERAGE('Energy data 1990 - 2020'!H159)</f>
        <v>215.54237130000001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>
        <f>SUM('Energy data 1990 - 2020'!D160:E160)</f>
        <v>436.46839559099999</v>
      </c>
      <c r="B160" s="5"/>
      <c r="C160" s="5">
        <f>AVERAGE('Energy data 1990 - 2020'!H160)</f>
        <v>222.91243689999999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>
        <f>SUM('Energy data 1990 - 2020'!D161:E161)</f>
        <v>452.91687972899996</v>
      </c>
      <c r="B161" s="5"/>
      <c r="C161" s="5">
        <f>AVERAGE('Energy data 1990 - 2020'!H161)</f>
        <v>230.94400329999999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>
        <f>SUM('Energy data 1990 - 2020'!D162:E162)</f>
        <v>462.30951325900003</v>
      </c>
      <c r="B162" s="5"/>
      <c r="C162" s="5">
        <f>AVERAGE('Energy data 1990 - 2020'!H162)</f>
        <v>234.23798930000001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>
        <f>SUM('Energy data 1990 - 2020'!D163:E163)</f>
        <v>477.53205498800003</v>
      </c>
      <c r="B163" s="5"/>
      <c r="C163" s="5">
        <f>AVERAGE('Energy data 1990 - 2020'!H163)</f>
        <v>238.95075829999999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>
        <f>SUM('Energy data 1990 - 2020'!D164:E164)</f>
        <v>494.256313095</v>
      </c>
      <c r="B164" s="5"/>
      <c r="C164" s="5">
        <f>AVERAGE('Energy data 1990 - 2020'!H164)</f>
        <v>241.51743490000001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>
        <f>SUM('Energy data 1990 - 2020'!D165:E165)</f>
        <v>499.18161430200001</v>
      </c>
      <c r="B165" s="5"/>
      <c r="C165" s="5">
        <f>AVERAGE('Energy data 1990 - 2020'!H165)</f>
        <v>240.3129931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>
        <f>SUM('Energy data 1990 - 2020'!D166:E166)</f>
        <v>510.46253405699997</v>
      </c>
      <c r="B166" s="5"/>
      <c r="C166" s="5">
        <f>AVERAGE('Energy data 1990 - 2020'!H166)</f>
        <v>247.0617153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>
        <f>SUM('Energy data 1990 - 2020'!D167:E167)</f>
        <v>531.12066400699996</v>
      </c>
      <c r="B167" s="5"/>
      <c r="C167" s="5">
        <f>AVERAGE('Energy data 1990 - 2020'!H167)</f>
        <v>254.19938239999999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>
        <f>SUM('Energy data 1990 - 2020'!D168:E168)</f>
        <v>524.93736472800003</v>
      </c>
      <c r="B168" s="5"/>
      <c r="C168" s="5">
        <f>AVERAGE('Energy data 1990 - 2020'!H168)</f>
        <v>250.1765858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>
        <f>SUM('Energy data 1990 - 2020'!D169:E169)</f>
        <v>531.71324228100002</v>
      </c>
      <c r="B169" s="5"/>
      <c r="C169" s="5">
        <f>AVERAGE('Energy data 1990 - 2020'!H169)</f>
        <v>250.98249319999999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>
        <f>SUM('Energy data 1990 - 2020'!D170:E170)</f>
        <v>553.16618344800008</v>
      </c>
      <c r="B170" s="5"/>
      <c r="C170" s="5">
        <f>AVERAGE('Energy data 1990 - 2020'!H170)</f>
        <v>264.2284492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>
        <f>SUM('Energy data 1990 - 2020'!D171:E171)</f>
        <v>546.49372618500001</v>
      </c>
      <c r="B171" s="5"/>
      <c r="C171" s="5">
        <f>AVERAGE('Energy data 1990 - 2020'!H171)</f>
        <v>270.80950719999998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>
        <f>SUM('Energy data 1990 - 2020'!D172:E172)</f>
        <v>556.665919809</v>
      </c>
      <c r="B172" s="5"/>
      <c r="C172" s="5">
        <f>AVERAGE('Energy data 1990 - 2020'!H172)</f>
        <v>274.27296719999998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>
        <f>SUM('Energy data 1990 - 2020'!D173:E173)</f>
        <v>549.44816262500001</v>
      </c>
      <c r="B173" s="5"/>
      <c r="C173" s="5">
        <f>AVERAGE('Energy data 1990 - 2020'!H173)</f>
        <v>278.45221950000001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>
        <f>SUM('Energy data 1990 - 2020'!D174:E174)</f>
        <v>581.04256164900005</v>
      </c>
      <c r="B174" s="5"/>
      <c r="C174" s="5">
        <f>AVERAGE('Energy data 1990 - 2020'!H174)</f>
        <v>278.21918299999999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>
        <f>SUM('Energy data 1990 - 2020'!D175:E175)</f>
        <v>559.35955021699999</v>
      </c>
      <c r="B175" s="5"/>
      <c r="C175" s="5">
        <f>AVERAGE('Energy data 1990 - 2020'!H175)</f>
        <v>271.28383689999998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>
        <f>SUM('Energy data 1990 - 2020'!D176:E176)</f>
        <v>532.10228998500008</v>
      </c>
      <c r="B176" s="5"/>
      <c r="C176" s="5">
        <f>AVERAGE('Energy data 1990 - 2020'!H176)</f>
        <v>261.0508423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>
        <f>SUM('Energy data 1990 - 2020'!D177:E177)</f>
        <v>547.593388559</v>
      </c>
      <c r="B177" s="5"/>
      <c r="C177" s="5">
        <f>AVERAGE('Energy data 1990 - 2020'!H177)</f>
        <v>261.54569120000002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>
        <f>SUM('Energy data 1990 - 2020'!D178:E178)</f>
        <v>559.87615136199997</v>
      </c>
      <c r="B178" s="5"/>
      <c r="C178" s="5">
        <f>AVERAGE('Energy data 1990 - 2020'!H178)</f>
        <v>267.27898349999998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>
        <f>SUM('Energy data 1990 - 2020'!D179:E179)</f>
        <v>561.18757909999999</v>
      </c>
      <c r="B179" s="5"/>
      <c r="C179" s="5">
        <f>AVERAGE('Energy data 1990 - 2020'!H179)</f>
        <v>269.39956869999997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>
        <f>SUM('Energy data 1990 - 2020'!D180:E180)</f>
        <v>569.27761799699999</v>
      </c>
      <c r="B180" s="5"/>
      <c r="C180" s="5">
        <f>AVERAGE('Energy data 1990 - 2020'!H180)</f>
        <v>274.93729000000002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>
        <f>SUM('Energy data 1990 - 2020'!D181:E181)</f>
        <v>571.41528596900002</v>
      </c>
      <c r="B181" s="5"/>
      <c r="C181" s="5">
        <f>AVERAGE('Energy data 1990 - 2020'!H181)</f>
        <v>282.02346540000002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>
        <f>SUM('Energy data 1990 - 2020'!D182:E182)</f>
        <v>571.40322683900001</v>
      </c>
      <c r="B182" s="5"/>
      <c r="C182" s="5">
        <f>AVERAGE('Energy data 1990 - 2020'!H182)</f>
        <v>282.95996009999999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>
        <f>SUM('Energy data 1990 - 2020'!D183:E183)</f>
        <v>562.29679721900004</v>
      </c>
      <c r="B183" s="5"/>
      <c r="C183" s="5">
        <f>AVERAGE('Energy data 1990 - 2020'!H183)</f>
        <v>287.30559720000002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>
        <f>SUM('Energy data 1990 - 2020'!D184:E184)</f>
        <v>573.20299855000007</v>
      </c>
      <c r="B184" s="5"/>
      <c r="C184" s="5">
        <f>AVERAGE('Energy data 1990 - 2020'!H184)</f>
        <v>295.16456829999998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>
        <f>SUM('Energy data 1990 - 2020'!D185:E185)</f>
        <v>583.20969359200001</v>
      </c>
      <c r="B185" s="5"/>
      <c r="C185" s="5">
        <f>AVERAGE('Energy data 1990 - 2020'!H185)</f>
        <v>298.08052459999999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>
        <f>SUM('Energy data 1990 - 2020'!D186:E186)</f>
        <v>580.679919606</v>
      </c>
      <c r="B186" s="5"/>
      <c r="C186" s="5">
        <f>AVERAGE('Energy data 1990 - 2020'!H186)</f>
        <v>301.1183168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>
        <f>SUM('Energy data 1990 - 2020'!D187:E187)</f>
        <v>516.58552460599992</v>
      </c>
      <c r="B187" s="5"/>
      <c r="C187" s="5">
        <f>AVERAGE('Energy data 1990 - 2020'!H187)</f>
        <v>280.81130639999998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>
        <f>SUM('Energy data 1990 - 2020'!D188:E188)</f>
        <v>33.163713596000001</v>
      </c>
      <c r="B188" s="5"/>
      <c r="C188" s="5">
        <f>AVERAGE('Energy data 1990 - 2020'!H188)</f>
        <v>14.01052518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>
        <f>SUM('Energy data 1990 - 2020'!D189:E189)</f>
        <v>31.522088177000001</v>
      </c>
      <c r="B189" s="5"/>
      <c r="C189" s="5">
        <f>AVERAGE('Energy data 1990 - 2020'!H189)</f>
        <v>14.32633641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>
        <f>SUM('Energy data 1990 - 2020'!D190:E190)</f>
        <v>32.582625714000002</v>
      </c>
      <c r="B190" s="5"/>
      <c r="C190" s="5">
        <f>AVERAGE('Energy data 1990 - 2020'!H190)</f>
        <v>15.49247901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>
        <f>SUM('Energy data 1990 - 2020'!D191:E191)</f>
        <v>34.443359686999997</v>
      </c>
      <c r="B191" s="5"/>
      <c r="C191" s="5">
        <f>AVERAGE('Energy data 1990 - 2020'!H191)</f>
        <v>15.877346559999999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>
        <f>SUM('Energy data 1990 - 2020'!D192:E192)</f>
        <v>37.717094306</v>
      </c>
      <c r="B192" s="5"/>
      <c r="C192" s="5">
        <f>AVERAGE('Energy data 1990 - 2020'!H192)</f>
        <v>17.070972980000001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>
        <f>SUM('Energy data 1990 - 2020'!D193:E193)</f>
        <v>40.904311578999994</v>
      </c>
      <c r="B193" s="5"/>
      <c r="C193" s="5">
        <f>AVERAGE('Energy data 1990 - 2020'!H193)</f>
        <v>18.343690290000001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>
        <f>SUM('Energy data 1990 - 2020'!D194:E194)</f>
        <v>46.940812383999997</v>
      </c>
      <c r="B194" s="5"/>
      <c r="C194" s="5">
        <f>AVERAGE('Energy data 1990 - 2020'!H194)</f>
        <v>20.31768125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>
        <f>SUM('Energy data 1990 - 2020'!D195:E195)</f>
        <v>54.224880215999995</v>
      </c>
      <c r="B195" s="5"/>
      <c r="C195" s="5">
        <f>AVERAGE('Energy data 1990 - 2020'!H195)</f>
        <v>22.750861400000002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>
        <f>SUM('Energy data 1990 - 2020'!D196:E196)</f>
        <v>55.287359166999998</v>
      </c>
      <c r="B196" s="5"/>
      <c r="C196" s="5">
        <f>AVERAGE('Energy data 1990 - 2020'!H196)</f>
        <v>23.55805024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>
        <f>SUM('Energy data 1990 - 2020'!D197:E197)</f>
        <v>58.947171879999999</v>
      </c>
      <c r="B197" s="5"/>
      <c r="C197" s="5">
        <f>AVERAGE('Energy data 1990 - 2020'!H197)</f>
        <v>25.030717549999999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>
        <f>SUM('Energy data 1990 - 2020'!D198:E198)</f>
        <v>54.838771776999998</v>
      </c>
      <c r="B198" s="5"/>
      <c r="C198" s="5">
        <f>AVERAGE('Energy data 1990 - 2020'!H198)</f>
        <v>25.17061824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>
        <f>SUM('Energy data 1990 - 2020'!D199:E199)</f>
        <v>52.555665415999997</v>
      </c>
      <c r="B199" s="5"/>
      <c r="C199" s="5">
        <f>AVERAGE('Energy data 1990 - 2020'!H199)</f>
        <v>24.700575600000001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>
        <f>SUM('Energy data 1990 - 2020'!D200:E200)</f>
        <v>53.412318092</v>
      </c>
      <c r="B200" s="5"/>
      <c r="C200" s="5">
        <f>AVERAGE('Energy data 1990 - 2020'!H200)</f>
        <v>25.570699470000001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>
        <f>SUM('Energy data 1990 - 2020'!D201:E201)</f>
        <v>54.782964296999999</v>
      </c>
      <c r="B201" s="5"/>
      <c r="C201" s="5">
        <f>AVERAGE('Energy data 1990 - 2020'!H201)</f>
        <v>25.836526840000001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>
        <f>SUM('Energy data 1990 - 2020'!D202:E202)</f>
        <v>59.624859544000003</v>
      </c>
      <c r="B202" s="5"/>
      <c r="C202" s="5">
        <f>AVERAGE('Energy data 1990 - 2020'!H202)</f>
        <v>27.514713830000002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>
        <f>SUM('Energy data 1990 - 2020'!D203:E203)</f>
        <v>60.387704055</v>
      </c>
      <c r="B203" s="5"/>
      <c r="C203" s="5">
        <f>AVERAGE('Energy data 1990 - 2020'!H203)</f>
        <v>28.367371160000001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>
        <f>SUM('Energy data 1990 - 2020'!D204:E204)</f>
        <v>62.125715779000004</v>
      </c>
      <c r="B204" s="5"/>
      <c r="C204" s="5">
        <f>AVERAGE('Energy data 1990 - 2020'!H204)</f>
        <v>29.526651619999999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>
        <f>SUM('Energy data 1990 - 2020'!D205:E205)</f>
        <v>67.912365895999997</v>
      </c>
      <c r="B205" s="5"/>
      <c r="C205" s="5">
        <f>AVERAGE('Energy data 1990 - 2020'!H205)</f>
        <v>30.62525041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>
        <f>SUM('Energy data 1990 - 2020'!D206:E206)</f>
        <v>70.587895821000004</v>
      </c>
      <c r="B206" s="5"/>
      <c r="C206" s="5">
        <f>AVERAGE('Energy data 1990 - 2020'!H206)</f>
        <v>30.332300159999999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>
        <f>SUM('Energy data 1990 - 2020'!D207:E207)</f>
        <v>68.001829732000004</v>
      </c>
      <c r="B207" s="5"/>
      <c r="C207" s="5">
        <f>AVERAGE('Energy data 1990 - 2020'!H207)</f>
        <v>29.535072230000001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>
        <f>SUM('Energy data 1990 - 2020'!D208:E208)</f>
        <v>72.526703991999995</v>
      </c>
      <c r="B208" s="5"/>
      <c r="C208" s="5">
        <f>AVERAGE('Energy data 1990 - 2020'!H208)</f>
        <v>30.862435569999999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>
        <f>SUM('Energy data 1990 - 2020'!D209:E209)</f>
        <v>78.576251886999998</v>
      </c>
      <c r="B209" s="5"/>
      <c r="C209" s="5">
        <f>AVERAGE('Energy data 1990 - 2020'!H209)</f>
        <v>33.616280420000002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>
        <f>SUM('Energy data 1990 - 2020'!D210:E210)</f>
        <v>80.839000974000001</v>
      </c>
      <c r="B210" s="5"/>
      <c r="C210" s="5">
        <f>AVERAGE('Energy data 1990 - 2020'!H210)</f>
        <v>37.201626660000002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>
        <f>SUM('Energy data 1990 - 2020'!D211:E211)</f>
        <v>84.760147781000001</v>
      </c>
      <c r="B211" s="5"/>
      <c r="C211" s="5">
        <f>AVERAGE('Energy data 1990 - 2020'!H211)</f>
        <v>38.492488369999997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>
        <f>SUM('Energy data 1990 - 2020'!D212:E212)</f>
        <v>78.900900264000001</v>
      </c>
      <c r="B212" s="5"/>
      <c r="C212" s="5">
        <f>AVERAGE('Energy data 1990 - 2020'!H212)</f>
        <v>34.750262820000003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>
        <f>SUM('Energy data 1990 - 2020'!D213:E213)</f>
        <v>83.790096816000002</v>
      </c>
      <c r="B213" s="5"/>
      <c r="C213" s="5">
        <f>AVERAGE('Energy data 1990 - 2020'!H213)</f>
        <v>35.515117709999998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>
        <f>SUM('Energy data 1990 - 2020'!D214:E214)</f>
        <v>88.394816917</v>
      </c>
      <c r="B214" s="5"/>
      <c r="C214" s="5">
        <f>AVERAGE('Energy data 1990 - 2020'!H214)</f>
        <v>37.814281110000003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>
        <f>SUM('Energy data 1990 - 2020'!D215:E215)</f>
        <v>89.201789547999994</v>
      </c>
      <c r="B215" s="5"/>
      <c r="C215" s="5">
        <f>AVERAGE('Energy data 1990 - 2020'!H215)</f>
        <v>38.388916539999997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>
        <f>SUM('Energy data 1990 - 2020'!D216:E216)</f>
        <v>89.036745026999995</v>
      </c>
      <c r="B216" s="5"/>
      <c r="C216" s="5">
        <f>AVERAGE('Energy data 1990 - 2020'!H216)</f>
        <v>39.061561689999998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>
        <f>SUM('Energy data 1990 - 2020'!D217:E217)</f>
        <v>87.402100078999993</v>
      </c>
      <c r="B217" s="5"/>
      <c r="C217" s="5">
        <f>AVERAGE('Energy data 1990 - 2020'!H217)</f>
        <v>39.664071759999999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>
        <f>SUM('Energy data 1990 - 2020'!D218:E218)</f>
        <v>81.730088985999998</v>
      </c>
      <c r="B218" s="5"/>
      <c r="C218" s="5">
        <f>AVERAGE('Energy data 1990 - 2020'!H218)</f>
        <v>37.862660929999997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>
        <f>SUM('Energy data 1990 - 2020'!D219:E219)</f>
        <v>2257.9739549279998</v>
      </c>
      <c r="B219" s="5"/>
      <c r="C219" s="5">
        <f>AVERAGE('Energy data 1990 - 2020'!H219)</f>
        <v>874.16676719999998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>
        <f>SUM('Energy data 1990 - 2020'!D220:E220)</f>
        <v>2372.9802645340001</v>
      </c>
      <c r="B220" s="5"/>
      <c r="C220" s="5">
        <f>AVERAGE('Energy data 1990 - 2020'!H220)</f>
        <v>847.89558969999996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>
        <f>SUM('Energy data 1990 - 2020'!D221:E221)</f>
        <v>2464.7934312999996</v>
      </c>
      <c r="B221" s="5"/>
      <c r="C221" s="5">
        <f>AVERAGE('Energy data 1990 - 2020'!H221)</f>
        <v>876.89227219999998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>
        <f>SUM('Energy data 1990 - 2020'!D222:E222)</f>
        <v>2634.0407639070004</v>
      </c>
      <c r="B222" s="5"/>
      <c r="C222" s="5">
        <f>AVERAGE('Energy data 1990 - 2020'!H222)</f>
        <v>929.20132160000003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>
        <f>SUM('Energy data 1990 - 2020'!D223:E223)</f>
        <v>2759.3576008589998</v>
      </c>
      <c r="B223" s="5"/>
      <c r="C223" s="5">
        <f>AVERAGE('Energy data 1990 - 2020'!H223)</f>
        <v>973.05850429999998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>
        <f>SUM('Energy data 1990 - 2020'!D224:E224)</f>
        <v>2947.2699813429999</v>
      </c>
      <c r="B224" s="5"/>
      <c r="C224" s="5">
        <f>AVERAGE('Energy data 1990 - 2020'!H224)</f>
        <v>1044.564128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>
        <f>SUM('Energy data 1990 - 2020'!D225:E225)</f>
        <v>2941.2985510500002</v>
      </c>
      <c r="B225" s="5"/>
      <c r="C225" s="5">
        <f>AVERAGE('Energy data 1990 - 2020'!H225)</f>
        <v>1073.5482119999999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>
        <f>SUM('Energy data 1990 - 2020'!D226:E226)</f>
        <v>2970.271988465</v>
      </c>
      <c r="B226" s="5"/>
      <c r="C226" s="5">
        <f>AVERAGE('Energy data 1990 - 2020'!H226)</f>
        <v>1072.887747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>
        <f>SUM('Energy data 1990 - 2020'!D227:E227)</f>
        <v>3087.616707009</v>
      </c>
      <c r="B227" s="5"/>
      <c r="C227" s="5">
        <f>AVERAGE('Energy data 1990 - 2020'!H227)</f>
        <v>1078.6240069999999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>
        <f>SUM('Energy data 1990 - 2020'!D228:E228)</f>
        <v>2998.2803921899999</v>
      </c>
      <c r="B228" s="5"/>
      <c r="C228" s="5">
        <f>AVERAGE('Energy data 1990 - 2020'!H228)</f>
        <v>1099.0961600000001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>
        <f>SUM('Energy data 1990 - 2020'!D229:E229)</f>
        <v>3143.0905878560002</v>
      </c>
      <c r="B229" s="5"/>
      <c r="C229" s="5">
        <f>AVERAGE('Energy data 1990 - 2020'!H229)</f>
        <v>1129.737934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>
        <f>SUM('Energy data 1990 - 2020'!D230:E230)</f>
        <v>3277.488722733</v>
      </c>
      <c r="B230" s="5"/>
      <c r="C230" s="5">
        <f>AVERAGE('Energy data 1990 - 2020'!H230)</f>
        <v>1168.3503370000001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>
        <f>SUM('Energy data 1990 - 2020'!D231:E231)</f>
        <v>3536.9209787130003</v>
      </c>
      <c r="B231" s="5"/>
      <c r="C231" s="5">
        <f>AVERAGE('Energy data 1990 - 2020'!H231)</f>
        <v>1245.9658380000001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>
        <f>SUM('Energy data 1990 - 2020'!D232:E232)</f>
        <v>4111.2705761329998</v>
      </c>
      <c r="B232" s="5"/>
      <c r="C232" s="5">
        <f>AVERAGE('Energy data 1990 - 2020'!H232)</f>
        <v>1420.0984109999999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>
        <f>SUM('Energy data 1990 - 2020'!D233:E233)</f>
        <v>4838.5894543199993</v>
      </c>
      <c r="B233" s="5"/>
      <c r="C233" s="5">
        <f>AVERAGE('Energy data 1990 - 2020'!H233)</f>
        <v>1614.6925960000001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>
        <f>SUM('Energy data 1990 - 2020'!D234:E234)</f>
        <v>5473.5845649900002</v>
      </c>
      <c r="B234" s="5"/>
      <c r="C234" s="5">
        <f>AVERAGE('Energy data 1990 - 2020'!H234)</f>
        <v>1782.018339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>
        <f>SUM('Energy data 1990 - 2020'!D235:E235)</f>
        <v>6055.248578189</v>
      </c>
      <c r="B235" s="5"/>
      <c r="C235" s="5">
        <f>AVERAGE('Energy data 1990 - 2020'!H235)</f>
        <v>1949.9251159999999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>
        <f>SUM('Energy data 1990 - 2020'!D236:E236)</f>
        <v>6516.6573487530004</v>
      </c>
      <c r="B236" s="5"/>
      <c r="C236" s="5">
        <f>AVERAGE('Energy data 1990 - 2020'!H236)</f>
        <v>2098.779689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>
        <f>SUM('Energy data 1990 - 2020'!D237:E237)</f>
        <v>6710.2310700389999</v>
      </c>
      <c r="B237" s="5"/>
      <c r="C237" s="5">
        <f>AVERAGE('Energy data 1990 - 2020'!H237)</f>
        <v>2154.652333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>
        <f>SUM('Energy data 1990 - 2020'!D238:E238)</f>
        <v>7221.2158703630002</v>
      </c>
      <c r="B238" s="5"/>
      <c r="C238" s="5">
        <f>AVERAGE('Energy data 1990 - 2020'!H238)</f>
        <v>2296.742049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>
        <f>SUM('Energy data 1990 - 2020'!D239:E239)</f>
        <v>7801.205566744</v>
      </c>
      <c r="B239" s="5"/>
      <c r="C239" s="5">
        <f>AVERAGE('Energy data 1990 - 2020'!H239)</f>
        <v>2536.3778349999998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>
        <f>SUM('Energy data 1990 - 2020'!D240:E240)</f>
        <v>8491.1396800830007</v>
      </c>
      <c r="B240" s="5"/>
      <c r="C240" s="5">
        <f>AVERAGE('Energy data 1990 - 2020'!H240)</f>
        <v>2722.6054079999999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>
        <f>SUM('Energy data 1990 - 2020'!D241:E241)</f>
        <v>8752.0689926739997</v>
      </c>
      <c r="B241" s="5"/>
      <c r="C241" s="5">
        <f>AVERAGE('Energy data 1990 - 2020'!H241)</f>
        <v>2820.6864190000001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>
        <f>SUM('Energy data 1990 - 2020'!D242:E242)</f>
        <v>9164.3283150399984</v>
      </c>
      <c r="B242" s="5"/>
      <c r="C242" s="5">
        <f>AVERAGE('Energy data 1990 - 2020'!H242)</f>
        <v>2911.6290869999998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>
        <f>SUM('Energy data 1990 - 2020'!D243:E243)</f>
        <v>9086.0059020389999</v>
      </c>
      <c r="B243" s="5"/>
      <c r="C243" s="5">
        <f>AVERAGE('Energy data 1990 - 2020'!H243)</f>
        <v>2965.952037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>
        <f>SUM('Energy data 1990 - 2020'!D244:E244)</f>
        <v>9079.6985478650004</v>
      </c>
      <c r="B244" s="5"/>
      <c r="C244" s="5">
        <f>AVERAGE('Energy data 1990 - 2020'!H244)</f>
        <v>2993.7214479999998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>
        <f>SUM('Energy data 1990 - 2020'!D245:E245)</f>
        <v>9035.8049826919996</v>
      </c>
      <c r="B245" s="5"/>
      <c r="C245" s="5">
        <f>AVERAGE('Energy data 1990 - 2020'!H245)</f>
        <v>2977.153116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>
        <f>SUM('Energy data 1990 - 2020'!D246:E246)</f>
        <v>9188.7101375530001</v>
      </c>
      <c r="B246" s="5"/>
      <c r="C246" s="5">
        <f>AVERAGE('Energy data 1990 - 2020'!H246)</f>
        <v>3070.0913660000001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>
        <f>SUM('Energy data 1990 - 2020'!D247:E247)</f>
        <v>9348.7082928920008</v>
      </c>
      <c r="B247" s="5"/>
      <c r="C247" s="5">
        <f>AVERAGE('Energy data 1990 - 2020'!H247)</f>
        <v>3201.2266730000001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>
        <f>SUM('Energy data 1990 - 2020'!D248:E248)</f>
        <v>9564.7799675839997</v>
      </c>
      <c r="B248" s="5"/>
      <c r="C248" s="5">
        <f>AVERAGE('Energy data 1990 - 2020'!H248)</f>
        <v>3309.2910160000001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>
        <f>SUM('Energy data 1990 - 2020'!D249:E249)</f>
        <v>9719.6460731380012</v>
      </c>
      <c r="B249" s="5"/>
      <c r="C249" s="5">
        <f>AVERAGE('Energy data 1990 - 2020'!H249)</f>
        <v>3381.3992619999999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>
        <f>SUM('Energy data 1990 - 2020'!D250:E250)</f>
        <v>48.009572099000003</v>
      </c>
      <c r="B250" s="5"/>
      <c r="C250" s="5">
        <f>AVERAGE('Energy data 1990 - 2020'!H250)</f>
        <v>24.224625629999998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>
        <f>SUM('Energy data 1990 - 2020'!D251:E251)</f>
        <v>49.704886713</v>
      </c>
      <c r="B251" s="5"/>
      <c r="C251" s="5">
        <f>AVERAGE('Energy data 1990 - 2020'!H251)</f>
        <v>24.488710609999998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>
        <f>SUM('Energy data 1990 - 2020'!D252:E252)</f>
        <v>51.459718555999999</v>
      </c>
      <c r="B252" s="5"/>
      <c r="C252" s="5">
        <f>AVERAGE('Energy data 1990 - 2020'!H252)</f>
        <v>25.0384061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>
        <f>SUM('Energy data 1990 - 2020'!D253:E253)</f>
        <v>53.749064825000005</v>
      </c>
      <c r="B253" s="5"/>
      <c r="C253" s="5">
        <f>AVERAGE('Energy data 1990 - 2020'!H253)</f>
        <v>26.104021280000001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>
        <f>SUM('Energy data 1990 - 2020'!D254:E254)</f>
        <v>53.645416457000003</v>
      </c>
      <c r="B254" s="5"/>
      <c r="C254" s="5">
        <f>AVERAGE('Energy data 1990 - 2020'!H254)</f>
        <v>27.179078629999999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>
        <f>SUM('Energy data 1990 - 2020'!D255:E255)</f>
        <v>56.244449024999994</v>
      </c>
      <c r="B255" s="5"/>
      <c r="C255" s="5">
        <f>AVERAGE('Energy data 1990 - 2020'!H255)</f>
        <v>27.615171279999998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>
        <f>SUM('Energy data 1990 - 2020'!D256:E256)</f>
        <v>55.887335028999999</v>
      </c>
      <c r="B256" s="5"/>
      <c r="C256" s="5">
        <f>AVERAGE('Energy data 1990 - 2020'!H256)</f>
        <v>28.236613179999999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>
        <f>SUM('Energy data 1990 - 2020'!D257:E257)</f>
        <v>61.094172012999998</v>
      </c>
      <c r="B257" s="5"/>
      <c r="C257" s="5">
        <f>AVERAGE('Energy data 1990 - 2020'!H257)</f>
        <v>27.437287090000002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>
        <f>SUM('Energy data 1990 - 2020'!D258:E258)</f>
        <v>62.082364411</v>
      </c>
      <c r="B258" s="5"/>
      <c r="C258" s="5">
        <f>AVERAGE('Energy data 1990 - 2020'!H258)</f>
        <v>28.561177740000002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>
        <f>SUM('Energy data 1990 - 2020'!D259:E259)</f>
        <v>54.599065867</v>
      </c>
      <c r="B259" s="5"/>
      <c r="C259" s="5">
        <f>AVERAGE('Energy data 1990 - 2020'!H259)</f>
        <v>25.659960649999999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>
        <f>SUM('Energy data 1990 - 2020'!D260:E260)</f>
        <v>56.889244679000001</v>
      </c>
      <c r="B260" s="5"/>
      <c r="C260" s="5">
        <f>AVERAGE('Energy data 1990 - 2020'!H260)</f>
        <v>25.714872929999999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>
        <f>SUM('Energy data 1990 - 2020'!D261:E261)</f>
        <v>57.244344239</v>
      </c>
      <c r="B261" s="5"/>
      <c r="C261" s="5">
        <f>AVERAGE('Energy data 1990 - 2020'!H261)</f>
        <v>25.705280819999999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>
        <f>SUM('Energy data 1990 - 2020'!D262:E262)</f>
        <v>55.156136648999997</v>
      </c>
      <c r="B262" s="5"/>
      <c r="C262" s="5">
        <f>AVERAGE('Energy data 1990 - 2020'!H262)</f>
        <v>25.21437667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>
        <f>SUM('Energy data 1990 - 2020'!D263:E263)</f>
        <v>54.326260224000002</v>
      </c>
      <c r="B263" s="5"/>
      <c r="C263" s="5">
        <f>AVERAGE('Energy data 1990 - 2020'!H263)</f>
        <v>25.742999409999999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>
        <f>SUM('Energy data 1990 - 2020'!D264:E264)</f>
        <v>54.486653018999995</v>
      </c>
      <c r="B264" s="5"/>
      <c r="C264" s="5">
        <f>AVERAGE('Energy data 1990 - 2020'!H264)</f>
        <v>25.929821520000001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>
        <f>SUM('Energy data 1990 - 2020'!D265:E265)</f>
        <v>55.397445157</v>
      </c>
      <c r="B265" s="5"/>
      <c r="C265" s="5">
        <f>AVERAGE('Energy data 1990 - 2020'!H265)</f>
        <v>27.107656850000001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>
        <f>SUM('Energy data 1990 - 2020'!D266:E266)</f>
        <v>55.123185579000001</v>
      </c>
      <c r="B266" s="5"/>
      <c r="C266" s="5">
        <f>AVERAGE('Energy data 1990 - 2020'!H266)</f>
        <v>28.591358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>
        <f>SUM('Energy data 1990 - 2020'!D267:E267)</f>
        <v>56.002305746000005</v>
      </c>
      <c r="B267" s="5"/>
      <c r="C267" s="5">
        <f>AVERAGE('Energy data 1990 - 2020'!H267)</f>
        <v>28.421826880000001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>
        <f>SUM('Energy data 1990 - 2020'!D268:E268)</f>
        <v>56.570211413000003</v>
      </c>
      <c r="B268" s="5"/>
      <c r="C268" s="5">
        <f>AVERAGE('Energy data 1990 - 2020'!H268)</f>
        <v>29.87650125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>
        <f>SUM('Energy data 1990 - 2020'!D269:E269)</f>
        <v>59.842778729999999</v>
      </c>
      <c r="B269" s="5"/>
      <c r="C269" s="5">
        <f>AVERAGE('Energy data 1990 - 2020'!H269)</f>
        <v>31.031540110000002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>
        <f>SUM('Energy data 1990 - 2020'!D270:E270)</f>
        <v>61.914497722999997</v>
      </c>
      <c r="B270" s="5"/>
      <c r="C270" s="5">
        <f>AVERAGE('Energy data 1990 - 2020'!H270)</f>
        <v>30.49275428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>
        <f>SUM('Energy data 1990 - 2020'!D271:E271)</f>
        <v>66.741494146999997</v>
      </c>
      <c r="B271" s="5"/>
      <c r="C271" s="5">
        <f>AVERAGE('Energy data 1990 - 2020'!H271)</f>
        <v>31.262214050000001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>
        <f>SUM('Energy data 1990 - 2020'!D272:E272)</f>
        <v>66.677395364000006</v>
      </c>
      <c r="B272" s="5"/>
      <c r="C272" s="5">
        <f>AVERAGE('Energy data 1990 - 2020'!H272)</f>
        <v>30.25810663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>
        <f>SUM('Energy data 1990 - 2020'!D273:E273)</f>
        <v>74.129818357999994</v>
      </c>
      <c r="B273" s="5"/>
      <c r="C273" s="5">
        <f>AVERAGE('Energy data 1990 - 2020'!H273)</f>
        <v>39.581980010000002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>
        <f>SUM('Energy data 1990 - 2020'!D274:E274)</f>
        <v>75.694015358000001</v>
      </c>
      <c r="B274" s="5"/>
      <c r="C274" s="5">
        <f>AVERAGE('Energy data 1990 - 2020'!H274)</f>
        <v>40.099768330000003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>
        <f>SUM('Energy data 1990 - 2020'!D275:E275)</f>
        <v>76.973887194</v>
      </c>
      <c r="B275" s="5"/>
      <c r="C275" s="5">
        <f>AVERAGE('Energy data 1990 - 2020'!H275)</f>
        <v>40.556859699999997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>
        <f>SUM('Energy data 1990 - 2020'!D276:E276)</f>
        <v>80.913485545</v>
      </c>
      <c r="B276" s="5"/>
      <c r="C276" s="5">
        <f>AVERAGE('Energy data 1990 - 2020'!H276)</f>
        <v>42.09670595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>
        <f>SUM('Energy data 1990 - 2020'!D277:E277)</f>
        <v>73.097216008000004</v>
      </c>
      <c r="B277" s="5"/>
      <c r="C277" s="5">
        <f>AVERAGE('Energy data 1990 - 2020'!H277)</f>
        <v>40.339921959999998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>
        <f>SUM('Energy data 1990 - 2020'!D278:E278)</f>
        <v>76.697760120000012</v>
      </c>
      <c r="B278" s="5"/>
      <c r="C278" s="5">
        <f>AVERAGE('Energy data 1990 - 2020'!H278)</f>
        <v>38.856869500000002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>
        <f>SUM('Energy data 1990 - 2020'!D279:E279)</f>
        <v>79.678234172999993</v>
      </c>
      <c r="B279" s="5"/>
      <c r="C279" s="5">
        <f>AVERAGE('Energy data 1990 - 2020'!H279)</f>
        <v>41.181720869999999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>
        <f>SUM('Energy data 1990 - 2020'!D280:E280)</f>
        <v>77.151185085999998</v>
      </c>
      <c r="B280" s="5"/>
      <c r="C280" s="5">
        <f>AVERAGE('Energy data 1990 - 2020'!H280)</f>
        <v>38.74492979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>
        <f>SUM('Energy data 1990 - 2020'!D281:E281)</f>
        <v>150.361223921</v>
      </c>
      <c r="B281" s="5"/>
      <c r="C281" s="5">
        <f>AVERAGE('Energy data 1990 - 2020'!H281)</f>
        <v>49.792804449999998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>
        <f>SUM('Energy data 1990 - 2020'!D282:E282)</f>
        <v>138.918754081</v>
      </c>
      <c r="B282" s="5"/>
      <c r="C282" s="5">
        <f>AVERAGE('Energy data 1990 - 2020'!H282)</f>
        <v>45.237859700000001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>
        <f>SUM('Energy data 1990 - 2020'!D283:E283)</f>
        <v>132.944133233</v>
      </c>
      <c r="B283" s="5"/>
      <c r="C283" s="5">
        <f>AVERAGE('Energy data 1990 - 2020'!H283)</f>
        <v>44.04678389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>
        <f>SUM('Energy data 1990 - 2020'!D284:E284)</f>
        <v>133.454466295</v>
      </c>
      <c r="B284" s="5"/>
      <c r="C284" s="5">
        <f>AVERAGE('Energy data 1990 - 2020'!H284)</f>
        <v>42.670319749999997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>
        <f>SUM('Energy data 1990 - 2020'!D285:E285)</f>
        <v>128.112684032</v>
      </c>
      <c r="B285" s="5"/>
      <c r="C285" s="5">
        <f>AVERAGE('Energy data 1990 - 2020'!H285)</f>
        <v>41.201399309999999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>
        <f>SUM('Energy data 1990 - 2020'!D286:E286)</f>
        <v>129.092499422</v>
      </c>
      <c r="B286" s="5"/>
      <c r="C286" s="5">
        <f>AVERAGE('Energy data 1990 - 2020'!H286)</f>
        <v>41.74642377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>
        <f>SUM('Energy data 1990 - 2020'!D287:E287)</f>
        <v>130.19172769900001</v>
      </c>
      <c r="B287" s="5"/>
      <c r="C287" s="5">
        <f>AVERAGE('Energy data 1990 - 2020'!H287)</f>
        <v>43.052112469999997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>
        <f>SUM('Energy data 1990 - 2020'!D288:E288)</f>
        <v>127.986197021</v>
      </c>
      <c r="B288" s="5"/>
      <c r="C288" s="5">
        <f>AVERAGE('Energy data 1990 - 2020'!H288)</f>
        <v>43.382636669999997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>
        <f>SUM('Energy data 1990 - 2020'!D289:E289)</f>
        <v>122.180110317</v>
      </c>
      <c r="B289" s="5"/>
      <c r="C289" s="5">
        <f>AVERAGE('Energy data 1990 - 2020'!H289)</f>
        <v>41.977249880000002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>
        <f>SUM('Energy data 1990 - 2020'!D290:E290)</f>
        <v>114.667336362</v>
      </c>
      <c r="B290" s="5"/>
      <c r="C290" s="5">
        <f>AVERAGE('Energy data 1990 - 2020'!H290)</f>
        <v>39.158786159999998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>
        <f>SUM('Energy data 1990 - 2020'!D291:E291)</f>
        <v>125.532395647</v>
      </c>
      <c r="B291" s="5"/>
      <c r="C291" s="5">
        <f>AVERAGE('Energy data 1990 - 2020'!H291)</f>
        <v>41.173341970000003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>
        <f>SUM('Energy data 1990 - 2020'!D292:E292)</f>
        <v>124.746800283</v>
      </c>
      <c r="B292" s="5"/>
      <c r="C292" s="5">
        <f>AVERAGE('Energy data 1990 - 2020'!H292)</f>
        <v>42.263871680000001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>
        <f>SUM('Energy data 1990 - 2020'!D293:E293)</f>
        <v>120.50938485100001</v>
      </c>
      <c r="B293" s="5"/>
      <c r="C293" s="5">
        <f>AVERAGE('Energy data 1990 - 2020'!H293)</f>
        <v>42.843679729999998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>
        <f>SUM('Energy data 1990 - 2020'!D294:E294)</f>
        <v>124.534080387</v>
      </c>
      <c r="B294" s="5"/>
      <c r="C294" s="5">
        <f>AVERAGE('Energy data 1990 - 2020'!H294)</f>
        <v>44.722132510000002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>
        <f>SUM('Energy data 1990 - 2020'!D295:E295)</f>
        <v>126.362276022</v>
      </c>
      <c r="B295" s="5"/>
      <c r="C295" s="5">
        <f>AVERAGE('Energy data 1990 - 2020'!H295)</f>
        <v>45.737347309999997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>
        <f>SUM('Energy data 1990 - 2020'!D296:E296)</f>
        <v>121.986968453</v>
      </c>
      <c r="B296" s="5"/>
      <c r="C296" s="5">
        <f>AVERAGE('Energy data 1990 - 2020'!H296)</f>
        <v>45.217456990000002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>
        <f>SUM('Energy data 1990 - 2020'!D297:E297)</f>
        <v>122.613658653</v>
      </c>
      <c r="B297" s="5"/>
      <c r="C297" s="5">
        <f>AVERAGE('Energy data 1990 - 2020'!H297)</f>
        <v>46.249457640000003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>
        <f>SUM('Energy data 1990 - 2020'!D298:E298)</f>
        <v>125.574895094</v>
      </c>
      <c r="B298" s="5"/>
      <c r="C298" s="5">
        <f>AVERAGE('Energy data 1990 - 2020'!H298)</f>
        <v>46.180758220000001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>
        <f>SUM('Energy data 1990 - 2020'!D299:E299)</f>
        <v>120.32862786</v>
      </c>
      <c r="B299" s="5"/>
      <c r="C299" s="5">
        <f>AVERAGE('Energy data 1990 - 2020'!H299)</f>
        <v>45.261602349999997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>
        <f>SUM('Energy data 1990 - 2020'!D300:E300)</f>
        <v>112.59383764499999</v>
      </c>
      <c r="B300" s="5"/>
      <c r="C300" s="5">
        <f>AVERAGE('Energy data 1990 - 2020'!H300)</f>
        <v>42.54721782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>
        <f>SUM('Energy data 1990 - 2020'!D301:E301)</f>
        <v>116.19518240699999</v>
      </c>
      <c r="B301" s="5"/>
      <c r="C301" s="5">
        <f>AVERAGE('Energy data 1990 - 2020'!H301)</f>
        <v>45.098698990000003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>
        <f>SUM('Energy data 1990 - 2020'!D302:E302)</f>
        <v>112.63463035000001</v>
      </c>
      <c r="B302" s="5"/>
      <c r="C302" s="5">
        <f>AVERAGE('Energy data 1990 - 2020'!H302)</f>
        <v>43.497994749999997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>
        <f>SUM('Energy data 1990 - 2020'!D303:E303)</f>
        <v>109.20228972699999</v>
      </c>
      <c r="B303" s="5"/>
      <c r="C303" s="5">
        <f>AVERAGE('Energy data 1990 - 2020'!H303)</f>
        <v>43.214268599999997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>
        <f>SUM('Energy data 1990 - 2020'!D304:E304)</f>
        <v>105.01727259800001</v>
      </c>
      <c r="B304" s="5"/>
      <c r="C304" s="5">
        <f>AVERAGE('Energy data 1990 - 2020'!H304)</f>
        <v>43.184564780000002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>
        <f>SUM('Energy data 1990 - 2020'!D305:E305)</f>
        <v>102.404368929</v>
      </c>
      <c r="B305" s="5"/>
      <c r="C305" s="5">
        <f>AVERAGE('Energy data 1990 - 2020'!H305)</f>
        <v>41.9374629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>
        <f>SUM('Energy data 1990 - 2020'!D306:E306)</f>
        <v>103.302715225</v>
      </c>
      <c r="B306" s="5"/>
      <c r="C306" s="5">
        <f>AVERAGE('Energy data 1990 - 2020'!H306)</f>
        <v>41.989154249999999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>
        <f>SUM('Energy data 1990 - 2020'!D307:E307)</f>
        <v>104.809907295</v>
      </c>
      <c r="B307" s="5"/>
      <c r="C307" s="5">
        <f>AVERAGE('Energy data 1990 - 2020'!H307)</f>
        <v>41.457961879999999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>
        <f>SUM('Energy data 1990 - 2020'!D308:E308)</f>
        <v>106.24001588900001</v>
      </c>
      <c r="B308" s="5"/>
      <c r="C308" s="5">
        <f>AVERAGE('Energy data 1990 - 2020'!H308)</f>
        <v>43.303637500000001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>
        <f>SUM('Energy data 1990 - 2020'!D309:E309)</f>
        <v>104.979764038</v>
      </c>
      <c r="B309" s="5"/>
      <c r="C309" s="5">
        <f>AVERAGE('Energy data 1990 - 2020'!H309)</f>
        <v>43.280148949999997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>
        <f>SUM('Energy data 1990 - 2020'!D310:E310)</f>
        <v>100.30738161400001</v>
      </c>
      <c r="B310" s="5"/>
      <c r="C310" s="5">
        <f>AVERAGE('Energy data 1990 - 2020'!H310)</f>
        <v>42.744810469999997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>
        <f>SUM('Energy data 1990 - 2020'!D311:E311)</f>
        <v>87.530411036000004</v>
      </c>
      <c r="B311" s="5"/>
      <c r="C311" s="5">
        <f>AVERAGE('Energy data 1990 - 2020'!H311)</f>
        <v>39.243280130000002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>
        <f>SUM('Energy data 1990 - 2020'!D312:E312)</f>
        <v>80.775118225</v>
      </c>
      <c r="B312" s="5"/>
      <c r="C312" s="5">
        <f>AVERAGE('Energy data 1990 - 2020'!H312)</f>
        <v>33.055961940000003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>
        <f>SUM('Energy data 1990 - 2020'!D313:E313)</f>
        <v>79.774534676000002</v>
      </c>
      <c r="B313" s="5"/>
      <c r="C313" s="5">
        <f>AVERAGE('Energy data 1990 - 2020'!H313)</f>
        <v>33.05060967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>
        <f>SUM('Energy data 1990 - 2020'!D314:E314)</f>
        <v>82.719095201000002</v>
      </c>
      <c r="B314" s="5"/>
      <c r="C314" s="5">
        <f>AVERAGE('Energy data 1990 - 2020'!H314)</f>
        <v>33.96787467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>
        <f>SUM('Energy data 1990 - 2020'!D315:E315)</f>
        <v>84.449769258000003</v>
      </c>
      <c r="B315" s="5"/>
      <c r="C315" s="5">
        <f>AVERAGE('Energy data 1990 - 2020'!H315)</f>
        <v>35.189829439999997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>
        <f>SUM('Energy data 1990 - 2020'!D316:E316)</f>
        <v>79.433014151000009</v>
      </c>
      <c r="B316" s="5"/>
      <c r="C316" s="5">
        <f>AVERAGE('Energy data 1990 - 2020'!H316)</f>
        <v>33.847066499999997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>
        <f>SUM('Energy data 1990 - 2020'!D317:E317)</f>
        <v>84.954665391999995</v>
      </c>
      <c r="B317" s="5"/>
      <c r="C317" s="5">
        <f>AVERAGE('Energy data 1990 - 2020'!H317)</f>
        <v>36.010068259999997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>
        <f>SUM('Energy data 1990 - 2020'!D318:E318)</f>
        <v>89.332488067</v>
      </c>
      <c r="B318" s="5"/>
      <c r="C318" s="5">
        <f>AVERAGE('Energy data 1990 - 2020'!H318)</f>
        <v>38.146625139999998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>
        <f>SUM('Energy data 1990 - 2020'!D319:E319)</f>
        <v>96.113359928000008</v>
      </c>
      <c r="B319" s="5"/>
      <c r="C319" s="5">
        <f>AVERAGE('Energy data 1990 - 2020'!H319)</f>
        <v>39.686133460000001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>
        <f>SUM('Energy data 1990 - 2020'!D320:E320)</f>
        <v>101.27559708700001</v>
      </c>
      <c r="B320" s="5"/>
      <c r="C320" s="5">
        <f>AVERAGE('Energy data 1990 - 2020'!H320)</f>
        <v>42.411185449999998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>
        <f>SUM('Energy data 1990 - 2020'!D321:E321)</f>
        <v>106.357494112</v>
      </c>
      <c r="B321" s="5"/>
      <c r="C321" s="5">
        <f>AVERAGE('Energy data 1990 - 2020'!H321)</f>
        <v>43.253409419999997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>
        <f>SUM('Energy data 1990 - 2020'!D322:E322)</f>
        <v>104.18659746200001</v>
      </c>
      <c r="B322" s="5"/>
      <c r="C322" s="5">
        <f>AVERAGE('Energy data 1990 - 2020'!H322)</f>
        <v>40.972364720000002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>
        <f>SUM('Energy data 1990 - 2020'!D323:E323)</f>
        <v>114.085123223</v>
      </c>
      <c r="B323" s="5"/>
      <c r="C323" s="5">
        <f>AVERAGE('Energy data 1990 - 2020'!H323)</f>
        <v>46.641539440000003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>
        <f>SUM('Energy data 1990 - 2020'!D324:E324)</f>
        <v>119.61702854399999</v>
      </c>
      <c r="B324" s="5"/>
      <c r="C324" s="5">
        <f>AVERAGE('Energy data 1990 - 2020'!H324)</f>
        <v>47.817645110000001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>
        <f>SUM('Energy data 1990 - 2020'!D325:E325)</f>
        <v>123.036451247</v>
      </c>
      <c r="B325" s="5"/>
      <c r="C325" s="5">
        <f>AVERAGE('Energy data 1990 - 2020'!H325)</f>
        <v>49.685373820000002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>
        <f>SUM('Energy data 1990 - 2020'!D326:E326)</f>
        <v>134.21164316400001</v>
      </c>
      <c r="B326" s="5"/>
      <c r="C326" s="5">
        <f>AVERAGE('Energy data 1990 - 2020'!H326)</f>
        <v>54.26643653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>
        <f>SUM('Energy data 1990 - 2020'!D327:E327)</f>
        <v>151.47861510800001</v>
      </c>
      <c r="B327" s="5"/>
      <c r="C327" s="5">
        <f>AVERAGE('Energy data 1990 - 2020'!H327)</f>
        <v>62.398813799999999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>
        <f>SUM('Energy data 1990 - 2020'!D328:E328)</f>
        <v>159.814916869</v>
      </c>
      <c r="B328" s="5"/>
      <c r="C328" s="5">
        <f>AVERAGE('Energy data 1990 - 2020'!H328)</f>
        <v>65.911681889999997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>
        <f>SUM('Energy data 1990 - 2020'!D329:E329)</f>
        <v>171.94324856400002</v>
      </c>
      <c r="B329" s="5"/>
      <c r="C329" s="5">
        <f>AVERAGE('Energy data 1990 - 2020'!H329)</f>
        <v>70.361313580000001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>
        <f>SUM('Energy data 1990 - 2020'!D330:E330)</f>
        <v>179.94450511700001</v>
      </c>
      <c r="B330" s="5"/>
      <c r="C330" s="5">
        <f>AVERAGE('Energy data 1990 - 2020'!H330)</f>
        <v>72.950842589999993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>
        <f>SUM('Energy data 1990 - 2020'!D331:E331)</f>
        <v>184.31036985400002</v>
      </c>
      <c r="B331" s="5"/>
      <c r="C331" s="5">
        <f>AVERAGE('Energy data 1990 - 2020'!H331)</f>
        <v>74.624967780000006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>
        <f>SUM('Energy data 1990 - 2020'!D332:E332)</f>
        <v>186.61251724499999</v>
      </c>
      <c r="B332" s="5"/>
      <c r="C332" s="5">
        <f>AVERAGE('Energy data 1990 - 2020'!H332)</f>
        <v>73.902219779999996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>
        <f>SUM('Energy data 1990 - 2020'!D333:E333)</f>
        <v>192.469603901</v>
      </c>
      <c r="B333" s="5"/>
      <c r="C333" s="5">
        <f>AVERAGE('Energy data 1990 - 2020'!H333)</f>
        <v>76.926838099999998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>
        <f>SUM('Energy data 1990 - 2020'!D334:E334)</f>
        <v>198.870122272</v>
      </c>
      <c r="B334" s="5"/>
      <c r="C334" s="5">
        <f>AVERAGE('Energy data 1990 - 2020'!H334)</f>
        <v>79.221574079999996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>
        <f>SUM('Energy data 1990 - 2020'!D335:E335)</f>
        <v>198.31103424200001</v>
      </c>
      <c r="B335" s="5"/>
      <c r="C335" s="5">
        <f>AVERAGE('Energy data 1990 - 2020'!H335)</f>
        <v>77.675908879999994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>
        <f>SUM('Energy data 1990 - 2020'!D336:E336)</f>
        <v>201.48998136999998</v>
      </c>
      <c r="B336" s="5"/>
      <c r="C336" s="5">
        <f>AVERAGE('Energy data 1990 - 2020'!H336)</f>
        <v>80.494377740000004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>
        <f>SUM('Energy data 1990 - 2020'!D337:E337)</f>
        <v>211.452570976</v>
      </c>
      <c r="B337" s="5"/>
      <c r="C337" s="5">
        <f>AVERAGE('Energy data 1990 - 2020'!H337)</f>
        <v>80.639656849999994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>
        <f>SUM('Energy data 1990 - 2020'!D338:E338)</f>
        <v>220.29877262800002</v>
      </c>
      <c r="B338" s="5"/>
      <c r="C338" s="5">
        <f>AVERAGE('Energy data 1990 - 2020'!H338)</f>
        <v>88.111973039999995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>
        <f>SUM('Energy data 1990 - 2020'!D339:E339)</f>
        <v>226.90788045399998</v>
      </c>
      <c r="B339" s="5"/>
      <c r="C339" s="5">
        <f>AVERAGE('Energy data 1990 - 2020'!H339)</f>
        <v>92.960225730000005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>
        <f>SUM('Energy data 1990 - 2020'!D340:E340)</f>
        <v>234.17495455700001</v>
      </c>
      <c r="B340" s="5"/>
      <c r="C340" s="5">
        <f>AVERAGE('Energy data 1990 - 2020'!H340)</f>
        <v>95.584760900000006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>
        <f>SUM('Energy data 1990 - 2020'!D341:E341)</f>
        <v>239.617904982</v>
      </c>
      <c r="B341" s="5"/>
      <c r="C341" s="5">
        <f>AVERAGE('Energy data 1990 - 2020'!H341)</f>
        <v>97.122116109999993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>
        <f>SUM('Energy data 1990 - 2020'!D342:E342)</f>
        <v>227.40943278999998</v>
      </c>
      <c r="B342" s="5"/>
      <c r="C342" s="5">
        <f>AVERAGE('Energy data 1990 - 2020'!H342)</f>
        <v>91.829941230000003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>
        <f>SUM('Energy data 1990 - 2020'!D343:E343)</f>
        <v>367.057531853</v>
      </c>
      <c r="B343" s="5"/>
      <c r="C343" s="5">
        <f>AVERAGE('Energy data 1990 - 2020'!H343)</f>
        <v>224.66990709999999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>
        <f>SUM('Energy data 1990 - 2020'!D344:E344)</f>
        <v>394.32062808000001</v>
      </c>
      <c r="B344" s="5"/>
      <c r="C344" s="5">
        <f>AVERAGE('Energy data 1990 - 2020'!H344)</f>
        <v>237.4411714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>
        <f>SUM('Energy data 1990 - 2020'!D345:E345)</f>
        <v>383.17599379900003</v>
      </c>
      <c r="B345" s="5"/>
      <c r="C345" s="5">
        <f>AVERAGE('Energy data 1990 - 2020'!H345)</f>
        <v>234.1518098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>
        <f>SUM('Energy data 1990 - 2020'!D346:E346)</f>
        <v>364.24853382000003</v>
      </c>
      <c r="B346" s="5"/>
      <c r="C346" s="5">
        <f>AVERAGE('Energy data 1990 - 2020'!H346)</f>
        <v>237.7865133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>
        <f>SUM('Energy data 1990 - 2020'!D347:E347)</f>
        <v>357.63314652299999</v>
      </c>
      <c r="B347" s="5"/>
      <c r="C347" s="5">
        <f>AVERAGE('Energy data 1990 - 2020'!H347)</f>
        <v>230.96324770000001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>
        <f>SUM('Energy data 1990 - 2020'!D348:E348)</f>
        <v>368.10272610300001</v>
      </c>
      <c r="B348" s="5"/>
      <c r="C348" s="5">
        <f>AVERAGE('Energy data 1990 - 2020'!H348)</f>
        <v>239.78587150000001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>
        <f>SUM('Energy data 1990 - 2020'!D349:E349)</f>
        <v>382.20793750399997</v>
      </c>
      <c r="B349" s="5"/>
      <c r="C349" s="5">
        <f>AVERAGE('Energy data 1990 - 2020'!H349)</f>
        <v>250.73677090000001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>
        <f>SUM('Energy data 1990 - 2020'!D350:E350)</f>
        <v>373.51139825900003</v>
      </c>
      <c r="B350" s="5"/>
      <c r="C350" s="5">
        <f>AVERAGE('Energy data 1990 - 2020'!H350)</f>
        <v>244.2130319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>
        <f>SUM('Energy data 1990 - 2020'!D351:E351)</f>
        <v>396.56973791300004</v>
      </c>
      <c r="B351" s="5"/>
      <c r="C351" s="5">
        <f>AVERAGE('Energy data 1990 - 2020'!H351)</f>
        <v>251.70352209999999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>
        <f>SUM('Energy data 1990 - 2020'!D352:E352)</f>
        <v>391.559139023</v>
      </c>
      <c r="B352" s="5"/>
      <c r="C352" s="5">
        <f>AVERAGE('Energy data 1990 - 2020'!H352)</f>
        <v>251.96803840000001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>
        <f>SUM('Energy data 1990 - 2020'!D353:E353)</f>
        <v>387.716036707</v>
      </c>
      <c r="B353" s="5"/>
      <c r="C353" s="5">
        <f>AVERAGE('Energy data 1990 - 2020'!H353)</f>
        <v>255.01461549999999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>
        <f>SUM('Energy data 1990 - 2020'!D354:E354)</f>
        <v>391.61972981000002</v>
      </c>
      <c r="B354" s="5"/>
      <c r="C354" s="5">
        <f>AVERAGE('Energy data 1990 - 2020'!H354)</f>
        <v>260.35647260000002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>
        <f>SUM('Energy data 1990 - 2020'!D355:E355)</f>
        <v>384.66617177199998</v>
      </c>
      <c r="B355" s="5"/>
      <c r="C355" s="5">
        <f>AVERAGE('Energy data 1990 - 2020'!H355)</f>
        <v>261.01756499999999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>
        <f>SUM('Energy data 1990 - 2020'!D356:E356)</f>
        <v>389.85527856199997</v>
      </c>
      <c r="B356" s="5"/>
      <c r="C356" s="5">
        <f>AVERAGE('Energy data 1990 - 2020'!H356)</f>
        <v>267.6169031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>
        <f>SUM('Energy data 1990 - 2020'!D357:E357)</f>
        <v>390.14972087800004</v>
      </c>
      <c r="B357" s="5"/>
      <c r="C357" s="5">
        <f>AVERAGE('Energy data 1990 - 2020'!H357)</f>
        <v>271.49922290000001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>
        <f>SUM('Energy data 1990 - 2020'!D358:E358)</f>
        <v>393.18350919099998</v>
      </c>
      <c r="B358" s="5"/>
      <c r="C358" s="5">
        <f>AVERAGE('Energy data 1990 - 2020'!H358)</f>
        <v>272.59463849999997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>
        <f>SUM('Energy data 1990 - 2020'!D359:E359)</f>
        <v>384.33854540700003</v>
      </c>
      <c r="B359" s="5"/>
      <c r="C359" s="5">
        <f>AVERAGE('Energy data 1990 - 2020'!H359)</f>
        <v>268.19108690000002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>
        <f>SUM('Energy data 1990 - 2020'!D360:E360)</f>
        <v>375.52142794299999</v>
      </c>
      <c r="B360" s="5"/>
      <c r="C360" s="5">
        <f>AVERAGE('Energy data 1990 - 2020'!H360)</f>
        <v>265.28501790000001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>
        <f>SUM('Energy data 1990 - 2020'!D361:E361)</f>
        <v>368.95148590600002</v>
      </c>
      <c r="B361" s="5"/>
      <c r="C361" s="5">
        <f>AVERAGE('Energy data 1990 - 2020'!H361)</f>
        <v>266.463618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>
        <f>SUM('Energy data 1990 - 2020'!D362:E362)</f>
        <v>352.266449298</v>
      </c>
      <c r="B362" s="5"/>
      <c r="C362" s="5">
        <f>AVERAGE('Energy data 1990 - 2020'!H362)</f>
        <v>254.9398893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>
        <f>SUM('Energy data 1990 - 2020'!D363:E363)</f>
        <v>357.79930998399999</v>
      </c>
      <c r="B363" s="5"/>
      <c r="C363" s="5">
        <f>AVERAGE('Energy data 1990 - 2020'!H363)</f>
        <v>262.81983109999999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>
        <f>SUM('Energy data 1990 - 2020'!D364:E364)</f>
        <v>340.77705219199999</v>
      </c>
      <c r="B364" s="5"/>
      <c r="C364" s="5">
        <f>AVERAGE('Energy data 1990 - 2020'!H364)</f>
        <v>258.03110989999999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>
        <f>SUM('Energy data 1990 - 2020'!D365:E365)</f>
        <v>346.11213823900005</v>
      </c>
      <c r="B365" s="5"/>
      <c r="C365" s="5">
        <f>AVERAGE('Energy data 1990 - 2020'!H365)</f>
        <v>257.81435629999999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>
        <f>SUM('Energy data 1990 - 2020'!D366:E366)</f>
        <v>346.39634667000001</v>
      </c>
      <c r="B366" s="5"/>
      <c r="C366" s="5">
        <f>AVERAGE('Energy data 1990 - 2020'!H366)</f>
        <v>258.73738980000002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>
        <f>SUM('Energy data 1990 - 2020'!D367:E367)</f>
        <v>315.17205250399996</v>
      </c>
      <c r="B367" s="5"/>
      <c r="C367" s="5">
        <f>AVERAGE('Energy data 1990 - 2020'!H367)</f>
        <v>248.78969789999999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>
        <f>SUM('Energy data 1990 - 2020'!D368:E368)</f>
        <v>321.20329791899997</v>
      </c>
      <c r="B368" s="5"/>
      <c r="C368" s="5">
        <f>AVERAGE('Energy data 1990 - 2020'!H368)</f>
        <v>252.5930923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>
        <f>SUM('Energy data 1990 - 2020'!D369:E369)</f>
        <v>322.331460273</v>
      </c>
      <c r="B369" s="5"/>
      <c r="C369" s="5">
        <f>AVERAGE('Energy data 1990 - 2020'!H369)</f>
        <v>247.87927780000001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>
        <f>SUM('Energy data 1990 - 2020'!D370:E370)</f>
        <v>326.741633476</v>
      </c>
      <c r="B370" s="5"/>
      <c r="C370" s="5">
        <f>AVERAGE('Energy data 1990 - 2020'!H370)</f>
        <v>247.4898689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>
        <f>SUM('Energy data 1990 - 2020'!D371:E371)</f>
        <v>321.62441874899997</v>
      </c>
      <c r="B371" s="5"/>
      <c r="C371" s="5">
        <f>AVERAGE('Energy data 1990 - 2020'!H371)</f>
        <v>246.3011022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>
        <f>SUM('Energy data 1990 - 2020'!D372:E372)</f>
        <v>312.77539114199999</v>
      </c>
      <c r="B372" s="5"/>
      <c r="C372" s="5">
        <f>AVERAGE('Energy data 1990 - 2020'!H372)</f>
        <v>242.7881399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>
        <f>SUM('Energy data 1990 - 2020'!D373:E373)</f>
        <v>273.34642741799996</v>
      </c>
      <c r="B373" s="5"/>
      <c r="C373" s="5">
        <f>AVERAGE('Energy data 1990 - 2020'!H373)</f>
        <v>216.8936108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>
        <f>SUM('Energy data 1990 - 2020'!D374:E374)</f>
        <v>955.06064064999998</v>
      </c>
      <c r="B374" s="5"/>
      <c r="C374" s="5">
        <f>AVERAGE('Energy data 1990 - 2020'!H374)</f>
        <v>351.09397639999997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>
        <f>SUM('Energy data 1990 - 2020'!D375:E375)</f>
        <v>938.42679741899997</v>
      </c>
      <c r="B375" s="5"/>
      <c r="C375" s="5">
        <f>AVERAGE('Energy data 1990 - 2020'!H375)</f>
        <v>344.28432720000001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>
        <f>SUM('Energy data 1990 - 2020'!D376:E376)</f>
        <v>897.994702609</v>
      </c>
      <c r="B376" s="5"/>
      <c r="C376" s="5">
        <f>AVERAGE('Energy data 1990 - 2020'!H376)</f>
        <v>337.90566050000001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>
        <f>SUM('Energy data 1990 - 2020'!D377:E377)</f>
        <v>886.155549533</v>
      </c>
      <c r="B377" s="5"/>
      <c r="C377" s="5">
        <f>AVERAGE('Energy data 1990 - 2020'!H377)</f>
        <v>334.58402189999998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>
        <f>SUM('Energy data 1990 - 2020'!D378:E378)</f>
        <v>871.67813295400003</v>
      </c>
      <c r="B378" s="5"/>
      <c r="C378" s="5">
        <f>AVERAGE('Energy data 1990 - 2020'!H378)</f>
        <v>332.9739606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>
        <f>SUM('Energy data 1990 - 2020'!D379:E379)</f>
        <v>870.39737716800005</v>
      </c>
      <c r="B379" s="5"/>
      <c r="C379" s="5">
        <f>AVERAGE('Energy data 1990 - 2020'!H379)</f>
        <v>336.47044410000001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>
        <f>SUM('Energy data 1990 - 2020'!D380:E380)</f>
        <v>896.38088207299995</v>
      </c>
      <c r="B380" s="5"/>
      <c r="C380" s="5">
        <f>AVERAGE('Energy data 1990 - 2020'!H380)</f>
        <v>347.86805020000003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>
        <f>SUM('Energy data 1990 - 2020'!D381:E381)</f>
        <v>865.14798122299999</v>
      </c>
      <c r="B381" s="5"/>
      <c r="C381" s="5">
        <f>AVERAGE('Energy data 1990 - 2020'!H381)</f>
        <v>344.87578439999999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>
        <f>SUM('Energy data 1990 - 2020'!D382:E382)</f>
        <v>862.03605489500001</v>
      </c>
      <c r="B382" s="5"/>
      <c r="C382" s="5">
        <f>AVERAGE('Energy data 1990 - 2020'!H382)</f>
        <v>342.7355263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>
        <f>SUM('Energy data 1990 - 2020'!D383:E383)</f>
        <v>830.36720170800004</v>
      </c>
      <c r="B383" s="5"/>
      <c r="C383" s="5">
        <f>AVERAGE('Energy data 1990 - 2020'!H383)</f>
        <v>334.9655411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>
        <f>SUM('Energy data 1990 - 2020'!D384:E384)</f>
        <v>831.65803491099996</v>
      </c>
      <c r="B384" s="5"/>
      <c r="C384" s="5">
        <f>AVERAGE('Energy data 1990 - 2020'!H384)</f>
        <v>336.58506119999998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>
        <f>SUM('Energy data 1990 - 2020'!D385:E385)</f>
        <v>851.08648490899998</v>
      </c>
      <c r="B385" s="5"/>
      <c r="C385" s="5">
        <f>AVERAGE('Energy data 1990 - 2020'!H385)</f>
        <v>346.68570260000001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>
        <f>SUM('Energy data 1990 - 2020'!D386:E386)</f>
        <v>838.77168001400003</v>
      </c>
      <c r="B386" s="5"/>
      <c r="C386" s="5">
        <f>AVERAGE('Energy data 1990 - 2020'!H386)</f>
        <v>338.89128920000002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>
        <f>SUM('Energy data 1990 - 2020'!D387:E387)</f>
        <v>837.240327557</v>
      </c>
      <c r="B387" s="5"/>
      <c r="C387" s="5">
        <f>AVERAGE('Energy data 1990 - 2020'!H387)</f>
        <v>338.2601985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>
        <f>SUM('Energy data 1990 - 2020'!D388:E388)</f>
        <v>822.16591296299998</v>
      </c>
      <c r="B388" s="5"/>
      <c r="C388" s="5">
        <f>AVERAGE('Energy data 1990 - 2020'!H388)</f>
        <v>341.0738101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>
        <f>SUM('Energy data 1990 - 2020'!D389:E389)</f>
        <v>805.89398596699994</v>
      </c>
      <c r="B389" s="5"/>
      <c r="C389" s="5">
        <f>AVERAGE('Energy data 1990 - 2020'!H389)</f>
        <v>339.17447270000002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>
        <f>SUM('Energy data 1990 - 2020'!D390:E390)</f>
        <v>816.353688637</v>
      </c>
      <c r="B390" s="5"/>
      <c r="C390" s="5">
        <f>AVERAGE('Energy data 1990 - 2020'!H390)</f>
        <v>349.22904890000001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>
        <f>SUM('Energy data 1990 - 2020'!D391:E391)</f>
        <v>787.38888980900003</v>
      </c>
      <c r="B391" s="5"/>
      <c r="C391" s="5">
        <f>AVERAGE('Energy data 1990 - 2020'!H391)</f>
        <v>331.18433440000001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>
        <f>SUM('Energy data 1990 - 2020'!D392:E392)</f>
        <v>794.50085136999996</v>
      </c>
      <c r="B392" s="5"/>
      <c r="C392" s="5">
        <f>AVERAGE('Energy data 1990 - 2020'!H392)</f>
        <v>335.3174166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>
        <f>SUM('Energy data 1990 - 2020'!D393:E393)</f>
        <v>739.40948869700003</v>
      </c>
      <c r="B393" s="5"/>
      <c r="C393" s="5">
        <f>AVERAGE('Energy data 1990 - 2020'!H393)</f>
        <v>313.14617049999998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>
        <f>SUM('Energy data 1990 - 2020'!D394:E394)</f>
        <v>782.66738648899991</v>
      </c>
      <c r="B394" s="5"/>
      <c r="C394" s="5">
        <f>AVERAGE('Energy data 1990 - 2020'!H394)</f>
        <v>329.7072781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>
        <f>SUM('Energy data 1990 - 2020'!D395:E395)</f>
        <v>753.72255094900004</v>
      </c>
      <c r="B395" s="5"/>
      <c r="C395" s="5">
        <f>AVERAGE('Energy data 1990 - 2020'!H395)</f>
        <v>312.59472640000001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>
        <f>SUM('Energy data 1990 - 2020'!D396:E396)</f>
        <v>770.10814053700005</v>
      </c>
      <c r="B396" s="5"/>
      <c r="C396" s="5">
        <f>AVERAGE('Energy data 1990 - 2020'!H396)</f>
        <v>314.8894378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>
        <f>SUM('Energy data 1990 - 2020'!D397:E397)</f>
        <v>790.32359302400005</v>
      </c>
      <c r="B397" s="5"/>
      <c r="C397" s="5">
        <f>AVERAGE('Energy data 1990 - 2020'!H397)</f>
        <v>321.60791819999997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>
        <f>SUM('Energy data 1990 - 2020'!D398:E398)</f>
        <v>751.53927296400002</v>
      </c>
      <c r="B398" s="5"/>
      <c r="C398" s="5">
        <f>AVERAGE('Energy data 1990 - 2020'!H398)</f>
        <v>307.43397629999998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>
        <f>SUM('Energy data 1990 - 2020'!D399:E399)</f>
        <v>756.41407545699997</v>
      </c>
      <c r="B399" s="5"/>
      <c r="C399" s="5">
        <f>AVERAGE('Energy data 1990 - 2020'!H399)</f>
        <v>308.97885869999999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>
        <f>SUM('Energy data 1990 - 2020'!D400:E400)</f>
        <v>763.37260973699995</v>
      </c>
      <c r="B400" s="5"/>
      <c r="C400" s="5">
        <f>AVERAGE('Energy data 1990 - 2020'!H400)</f>
        <v>310.18555249999997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>
        <f>SUM('Energy data 1990 - 2020'!D401:E401)</f>
        <v>747.8110281380001</v>
      </c>
      <c r="B401" s="5"/>
      <c r="C401" s="5">
        <f>AVERAGE('Energy data 1990 - 2020'!H401)</f>
        <v>311.17436199999997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>
        <f>SUM('Energy data 1990 - 2020'!D402:E402)</f>
        <v>727.78791700400006</v>
      </c>
      <c r="B402" s="5"/>
      <c r="C402" s="5">
        <f>AVERAGE('Energy data 1990 - 2020'!H402)</f>
        <v>302.18602069999997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>
        <f>SUM('Energy data 1990 - 2020'!D403:E403)</f>
        <v>679.6881922120001</v>
      </c>
      <c r="B403" s="5"/>
      <c r="C403" s="5">
        <f>AVERAGE('Energy data 1990 - 2020'!H403)</f>
        <v>294.1217891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>
        <f>SUM('Energy data 1990 - 2020'!D404:E404)</f>
        <v>618.52795477699999</v>
      </c>
      <c r="B404" s="5"/>
      <c r="C404" s="5">
        <f>AVERAGE('Energy data 1990 - 2020'!H404)</f>
        <v>275.47309109999998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>
        <f>SUM('Energy data 1990 - 2020'!D405:E405)</f>
        <v>524.808162176</v>
      </c>
      <c r="B405" s="5"/>
      <c r="C405" s="5">
        <f>AVERAGE('Energy data 1990 - 2020'!H405)</f>
        <v>305.6776855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>
        <f>SUM('Energy data 1990 - 2020'!D406:E406)</f>
        <v>563.81306554999992</v>
      </c>
      <c r="B406" s="5"/>
      <c r="C406" s="5">
        <f>AVERAGE('Energy data 1990 - 2020'!H406)</f>
        <v>318.464315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>
        <f>SUM('Energy data 1990 - 2020'!D407:E407)</f>
        <v>596.26637407700002</v>
      </c>
      <c r="B407" s="5"/>
      <c r="C407" s="5">
        <f>AVERAGE('Energy data 1990 - 2020'!H407)</f>
        <v>330.10815239999999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>
        <f>SUM('Energy data 1990 - 2020'!D408:E408)</f>
        <v>627.717042311</v>
      </c>
      <c r="B408" s="5"/>
      <c r="C408" s="5">
        <f>AVERAGE('Energy data 1990 - 2020'!H408)</f>
        <v>338.04463670000001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>
        <f>SUM('Energy data 1990 - 2020'!D409:E409)</f>
        <v>668.40195175499991</v>
      </c>
      <c r="B409" s="5"/>
      <c r="C409" s="5">
        <f>AVERAGE('Energy data 1990 - 2020'!H409)</f>
        <v>351.00167320000003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>
        <f>SUM('Energy data 1990 - 2020'!D410:E410)</f>
        <v>726.52343503600002</v>
      </c>
      <c r="B410" s="5"/>
      <c r="C410" s="5">
        <f>AVERAGE('Energy data 1990 - 2020'!H410)</f>
        <v>371.17534769999997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>
        <f>SUM('Energy data 1990 - 2020'!D411:E411)</f>
        <v>762.227310784</v>
      </c>
      <c r="B411" s="5"/>
      <c r="C411" s="5">
        <f>AVERAGE('Energy data 1990 - 2020'!H411)</f>
        <v>382.52431969999998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>
        <f>SUM('Energy data 1990 - 2020'!D412:E412)</f>
        <v>796.64438982200011</v>
      </c>
      <c r="B412" s="5"/>
      <c r="C412" s="5">
        <f>AVERAGE('Energy data 1990 - 2020'!H412)</f>
        <v>397.70203400000003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>
        <f>SUM('Energy data 1990 - 2020'!D413:E413)</f>
        <v>814.80760571299993</v>
      </c>
      <c r="B413" s="5"/>
      <c r="C413" s="5">
        <f>AVERAGE('Energy data 1990 - 2020'!H413)</f>
        <v>407.25360039999998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>
        <f>SUM('Energy data 1990 - 2020'!D414:E414)</f>
        <v>875.63484560999996</v>
      </c>
      <c r="B414" s="5"/>
      <c r="C414" s="5">
        <f>AVERAGE('Energy data 1990 - 2020'!H414)</f>
        <v>430.76447130000003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>
        <f>SUM('Energy data 1990 - 2020'!D415:E415)</f>
        <v>914.33856266600003</v>
      </c>
      <c r="B415" s="5"/>
      <c r="C415" s="5">
        <f>AVERAGE('Energy data 1990 - 2020'!H415)</f>
        <v>440.9245492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>
        <f>SUM('Energy data 1990 - 2020'!D416:E416)</f>
        <v>928.78783785600001</v>
      </c>
      <c r="B416" s="5"/>
      <c r="C416" s="5">
        <f>AVERAGE('Energy data 1990 - 2020'!H416)</f>
        <v>448.03250430000003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>
        <f>SUM('Energy data 1990 - 2020'!D417:E417)</f>
        <v>958.32080693600005</v>
      </c>
      <c r="B417" s="5"/>
      <c r="C417" s="5">
        <f>AVERAGE('Energy data 1990 - 2020'!H417)</f>
        <v>462.24438359999999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>
        <f>SUM('Energy data 1990 - 2020'!D418:E418)</f>
        <v>989.29417631399997</v>
      </c>
      <c r="B418" s="5"/>
      <c r="C418" s="5">
        <f>AVERAGE('Energy data 1990 - 2020'!H418)</f>
        <v>473.94029239999998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>
        <f>SUM('Energy data 1990 - 2020'!D419:E419)</f>
        <v>1042.5583433450001</v>
      </c>
      <c r="B419" s="5"/>
      <c r="C419" s="5">
        <f>AVERAGE('Energy data 1990 - 2020'!H419)</f>
        <v>499.65606100000002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>
        <f>SUM('Energy data 1990 - 2020'!D420:E420)</f>
        <v>1087.33474222</v>
      </c>
      <c r="B420" s="5"/>
      <c r="C420" s="5">
        <f>AVERAGE('Energy data 1990 - 2020'!H420)</f>
        <v>514.71700020000003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>
        <f>SUM('Energy data 1990 - 2020'!D421:E421)</f>
        <v>1157.631729362</v>
      </c>
      <c r="B421" s="5"/>
      <c r="C421" s="5">
        <f>AVERAGE('Energy data 1990 - 2020'!H421)</f>
        <v>532.93062299999997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>
        <f>SUM('Energy data 1990 - 2020'!D422:E422)</f>
        <v>1258.6071614099999</v>
      </c>
      <c r="B422" s="5"/>
      <c r="C422" s="5">
        <f>AVERAGE('Energy data 1990 - 2020'!H422)</f>
        <v>568.10470640000005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>
        <f>SUM('Energy data 1990 - 2020'!D423:E423)</f>
        <v>1339.938740452</v>
      </c>
      <c r="B423" s="5"/>
      <c r="C423" s="5">
        <f>AVERAGE('Energy data 1990 - 2020'!H423)</f>
        <v>603.83295759999999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>
        <f>SUM('Energy data 1990 - 2020'!D424:E424)</f>
        <v>1474.074659574</v>
      </c>
      <c r="B424" s="5"/>
      <c r="C424" s="5">
        <f>AVERAGE('Energy data 1990 - 2020'!H424)</f>
        <v>663.11409130000004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>
        <f>SUM('Energy data 1990 - 2020'!D425:E425)</f>
        <v>1572.5478099899999</v>
      </c>
      <c r="B425" s="5"/>
      <c r="C425" s="5">
        <f>AVERAGE('Energy data 1990 - 2020'!H425)</f>
        <v>700.75145480000003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>
        <f>SUM('Energy data 1990 - 2020'!D426:E426)</f>
        <v>1664.3536861580001</v>
      </c>
      <c r="B426" s="5"/>
      <c r="C426" s="5">
        <f>AVERAGE('Energy data 1990 - 2020'!H426)</f>
        <v>733.61609450000003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>
        <f>SUM('Energy data 1990 - 2020'!D427:E427)</f>
        <v>1812.0971816599999</v>
      </c>
      <c r="B427" s="5"/>
      <c r="C427" s="5">
        <f>AVERAGE('Energy data 1990 - 2020'!H427)</f>
        <v>766.27219879999996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>
        <f>SUM('Energy data 1990 - 2020'!D428:E428)</f>
        <v>1861.478441294</v>
      </c>
      <c r="B428" s="5"/>
      <c r="C428" s="5">
        <f>AVERAGE('Energy data 1990 - 2020'!H428)</f>
        <v>778.81816649999996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>
        <f>SUM('Energy data 1990 - 2020'!D429:E429)</f>
        <v>2026.609205774</v>
      </c>
      <c r="B429" s="5"/>
      <c r="C429" s="5">
        <f>AVERAGE('Energy data 1990 - 2020'!H429)</f>
        <v>822.01632549999999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>
        <f>SUM('Energy data 1990 - 2020'!D430:E430)</f>
        <v>2037.7893121020002</v>
      </c>
      <c r="B430" s="5"/>
      <c r="C430" s="5">
        <f>AVERAGE('Energy data 1990 - 2020'!H430)</f>
        <v>834.53790849999996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>
        <f>SUM('Energy data 1990 - 2020'!D431:E431)</f>
        <v>2064.1006503970002</v>
      </c>
      <c r="B431" s="5"/>
      <c r="C431" s="5">
        <f>AVERAGE('Energy data 1990 - 2020'!H431)</f>
        <v>852.19138090000001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>
        <f>SUM('Energy data 1990 - 2020'!D432:E432)</f>
        <v>2184.2768336190002</v>
      </c>
      <c r="B432" s="5"/>
      <c r="C432" s="5">
        <f>AVERAGE('Energy data 1990 - 2020'!H432)</f>
        <v>882.85576460000004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>
        <f>SUM('Energy data 1990 - 2020'!D433:E433)</f>
        <v>2292.9341943509999</v>
      </c>
      <c r="B433" s="5"/>
      <c r="C433" s="5">
        <f>AVERAGE('Energy data 1990 - 2020'!H433)</f>
        <v>919.43409399999996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>
        <f>SUM('Energy data 1990 - 2020'!D434:E434)</f>
        <v>2321.539673236</v>
      </c>
      <c r="B434" s="5"/>
      <c r="C434" s="5">
        <f>AVERAGE('Energy data 1990 - 2020'!H434)</f>
        <v>940.35838409999997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>
        <f>SUM('Energy data 1990 - 2020'!D435:E435)</f>
        <v>2193.67291475</v>
      </c>
      <c r="B435" s="5"/>
      <c r="C435" s="5">
        <f>AVERAGE('Energy data 1990 - 2020'!H435)</f>
        <v>908.30888919999995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>
        <f>SUM('Energy data 1990 - 2020'!D436:E436)</f>
        <v>146.333673914</v>
      </c>
      <c r="B436" s="5"/>
      <c r="C436" s="5">
        <f>AVERAGE('Energy data 1990 - 2020'!H436)</f>
        <v>98.662168170000001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>
        <f>SUM('Energy data 1990 - 2020'!D437:E437)</f>
        <v>158.79958980799998</v>
      </c>
      <c r="B437" s="5"/>
      <c r="C437" s="5">
        <f>AVERAGE('Energy data 1990 - 2020'!H437)</f>
        <v>103.4952409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>
        <f>SUM('Energy data 1990 - 2020'!D438:E438)</f>
        <v>166.50329231200001</v>
      </c>
      <c r="B438" s="5"/>
      <c r="C438" s="5">
        <f>AVERAGE('Energy data 1990 - 2020'!H438)</f>
        <v>107.8864789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>
        <f>SUM('Energy data 1990 - 2020'!D439:E439)</f>
        <v>180.94738709399999</v>
      </c>
      <c r="B439" s="5"/>
      <c r="C439" s="5">
        <f>AVERAGE('Energy data 1990 - 2020'!H439)</f>
        <v>118.5013323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>
        <f>SUM('Energy data 1990 - 2020'!D440:E440)</f>
        <v>191.78045396799999</v>
      </c>
      <c r="B440" s="5"/>
      <c r="C440" s="5">
        <f>AVERAGE('Energy data 1990 - 2020'!H440)</f>
        <v>118.6590964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>
        <f>SUM('Energy data 1990 - 2020'!D441:E441)</f>
        <v>213.809877312</v>
      </c>
      <c r="B441" s="5"/>
      <c r="C441" s="5">
        <f>AVERAGE('Energy data 1990 - 2020'!H441)</f>
        <v>130.8736184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>
        <f>SUM('Energy data 1990 - 2020'!D442:E442)</f>
        <v>231.83076072499998</v>
      </c>
      <c r="B442" s="5"/>
      <c r="C442" s="5">
        <f>AVERAGE('Energy data 1990 - 2020'!H442)</f>
        <v>135.6193111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>
        <f>SUM('Energy data 1990 - 2020'!D443:E443)</f>
        <v>251.49088496799999</v>
      </c>
      <c r="B443" s="5"/>
      <c r="C443" s="5">
        <f>AVERAGE('Energy data 1990 - 2020'!H443)</f>
        <v>140.17686689999999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>
        <f>SUM('Energy data 1990 - 2020'!D444:E444)</f>
        <v>253.59939979399999</v>
      </c>
      <c r="B444" s="5"/>
      <c r="C444" s="5">
        <f>AVERAGE('Energy data 1990 - 2020'!H444)</f>
        <v>137.11084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>
        <f>SUM('Energy data 1990 - 2020'!D445:E445)</f>
        <v>272.62490124599998</v>
      </c>
      <c r="B445" s="5"/>
      <c r="C445" s="5">
        <f>AVERAGE('Energy data 1990 - 2020'!H445)</f>
        <v>143.62763219999999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>
        <f>SUM('Energy data 1990 - 2020'!D446:E446)</f>
        <v>273.95617256899999</v>
      </c>
      <c r="B446" s="5"/>
      <c r="C446" s="5">
        <f>AVERAGE('Energy data 1990 - 2020'!H446)</f>
        <v>155.67848050000001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>
        <f>SUM('Energy data 1990 - 2020'!D447:E447)</f>
        <v>292.325900859</v>
      </c>
      <c r="B447" s="5"/>
      <c r="C447" s="5">
        <f>AVERAGE('Energy data 1990 - 2020'!H447)</f>
        <v>159.2092869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>
        <f>SUM('Energy data 1990 - 2020'!D448:E448)</f>
        <v>298.54818762899998</v>
      </c>
      <c r="B448" s="5"/>
      <c r="C448" s="5">
        <f>AVERAGE('Energy data 1990 - 2020'!H448)</f>
        <v>164.9945572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>
        <f>SUM('Energy data 1990 - 2020'!D449:E449)</f>
        <v>327.14947244699999</v>
      </c>
      <c r="B449" s="5"/>
      <c r="C449" s="5">
        <f>AVERAGE('Energy data 1990 - 2020'!H449)</f>
        <v>165.33036910000001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>
        <f>SUM('Energy data 1990 - 2020'!D450:E450)</f>
        <v>333.54684126299998</v>
      </c>
      <c r="B450" s="5"/>
      <c r="C450" s="5">
        <f>AVERAGE('Energy data 1990 - 2020'!H450)</f>
        <v>176.1336336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>
        <f>SUM('Energy data 1990 - 2020'!D451:E451)</f>
        <v>337.27289317899999</v>
      </c>
      <c r="B451" s="5"/>
      <c r="C451" s="5">
        <f>AVERAGE('Energy data 1990 - 2020'!H451)</f>
        <v>178.84899949999999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>
        <f>SUM('Energy data 1990 - 2020'!D452:E452)</f>
        <v>355.68561289999997</v>
      </c>
      <c r="B452" s="5"/>
      <c r="C452" s="5">
        <f>AVERAGE('Energy data 1990 - 2020'!H452)</f>
        <v>182.91670149999999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>
        <f>SUM('Energy data 1990 - 2020'!D453:E453)</f>
        <v>373.57611841199997</v>
      </c>
      <c r="B453" s="5"/>
      <c r="C453" s="5">
        <f>AVERAGE('Energy data 1990 - 2020'!H453)</f>
        <v>182.17776180000001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>
        <f>SUM('Energy data 1990 - 2020'!D454:E454)</f>
        <v>367.19944171500003</v>
      </c>
      <c r="B454" s="5"/>
      <c r="C454" s="5">
        <f>AVERAGE('Energy data 1990 - 2020'!H454)</f>
        <v>185.34805510000001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>
        <f>SUM('Energy data 1990 - 2020'!D455:E455)</f>
        <v>384.41990138199998</v>
      </c>
      <c r="B455" s="5"/>
      <c r="C455" s="5">
        <f>AVERAGE('Energy data 1990 - 2020'!H455)</f>
        <v>195.6523387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>
        <f>SUM('Energy data 1990 - 2020'!D456:E456)</f>
        <v>412.512668131</v>
      </c>
      <c r="B456" s="5"/>
      <c r="C456" s="5">
        <f>AVERAGE('Energy data 1990 - 2020'!H456)</f>
        <v>201.6895323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>
        <f>SUM('Energy data 1990 - 2020'!D457:E457)</f>
        <v>462.915624487</v>
      </c>
      <c r="B457" s="5"/>
      <c r="C457" s="5">
        <f>AVERAGE('Energy data 1990 - 2020'!H457)</f>
        <v>205.0837884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>
        <f>SUM('Energy data 1990 - 2020'!D458:E458)</f>
        <v>470.21961267699999</v>
      </c>
      <c r="B458" s="5"/>
      <c r="C458" s="5">
        <f>AVERAGE('Energy data 1990 - 2020'!H458)</f>
        <v>204.13031119999999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>
        <f>SUM('Energy data 1990 - 2020'!D459:E459)</f>
        <v>430.61347920000003</v>
      </c>
      <c r="B459" s="5"/>
      <c r="C459" s="5">
        <f>AVERAGE('Energy data 1990 - 2020'!H459)</f>
        <v>197.2354646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>
        <f>SUM('Energy data 1990 - 2020'!D460:E460)</f>
        <v>465.99323585100001</v>
      </c>
      <c r="B460" s="5"/>
      <c r="C460" s="5">
        <f>AVERAGE('Energy data 1990 - 2020'!H460)</f>
        <v>205.52009609999999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>
        <f>SUM('Energy data 1990 - 2020'!D461:E461)</f>
        <v>467.38845934800003</v>
      </c>
      <c r="B461" s="5"/>
      <c r="C461" s="5">
        <f>AVERAGE('Energy data 1990 - 2020'!H461)</f>
        <v>204.14070079999999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>
        <f>SUM('Energy data 1990 - 2020'!D462:E462)</f>
        <v>468.43778774200001</v>
      </c>
      <c r="B462" s="5"/>
      <c r="C462" s="5">
        <f>AVERAGE('Energy data 1990 - 2020'!H462)</f>
        <v>209.1707715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>
        <f>SUM('Energy data 1990 - 2020'!D463:E463)</f>
        <v>507.59136956200001</v>
      </c>
      <c r="B463" s="5"/>
      <c r="C463" s="5">
        <f>AVERAGE('Energy data 1990 - 2020'!H463)</f>
        <v>221.86818220000001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>
        <f>SUM('Energy data 1990 - 2020'!D464:E464)</f>
        <v>558.74976857000001</v>
      </c>
      <c r="B464" s="5"/>
      <c r="C464" s="5">
        <f>AVERAGE('Energy data 1990 - 2020'!H464)</f>
        <v>231.10282950000001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>
        <f>SUM('Energy data 1990 - 2020'!D465:E465)</f>
        <v>598.04403689700007</v>
      </c>
      <c r="B465" s="5"/>
      <c r="C465" s="5">
        <f>AVERAGE('Energy data 1990 - 2020'!H465)</f>
        <v>237.22693409999999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>
        <f>SUM('Energy data 1990 - 2020'!D466:E466)</f>
        <v>568.55691354099997</v>
      </c>
      <c r="B466" s="5"/>
      <c r="C466" s="5">
        <f>AVERAGE('Energy data 1990 - 2020'!H466)</f>
        <v>224.8734595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>
        <f>SUM('Energy data 1990 - 2020'!D467:E467)</f>
        <v>183.85437424200001</v>
      </c>
      <c r="B467" s="5"/>
      <c r="C467" s="5">
        <f>AVERAGE('Energy data 1990 - 2020'!H467)</f>
        <v>69.302517839999993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>
        <f>SUM('Energy data 1990 - 2020'!D468:E468)</f>
        <v>203.43102616700003</v>
      </c>
      <c r="B468" s="5"/>
      <c r="C468" s="5">
        <f>AVERAGE('Energy data 1990 - 2020'!H468)</f>
        <v>76.825748910000002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>
        <f>SUM('Energy data 1990 - 2020'!D469:E469)</f>
        <v>220.88026228199999</v>
      </c>
      <c r="B469" s="5"/>
      <c r="C469" s="5">
        <f>AVERAGE('Energy data 1990 - 2020'!H469)</f>
        <v>80.872068810000002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>
        <f>SUM('Energy data 1990 - 2020'!D470:E470)</f>
        <v>222.16584300400001</v>
      </c>
      <c r="B470" s="5"/>
      <c r="C470" s="5">
        <f>AVERAGE('Energy data 1990 - 2020'!H470)</f>
        <v>87.07259861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>
        <f>SUM('Energy data 1990 - 2020'!D471:E471)</f>
        <v>251.38136163199999</v>
      </c>
      <c r="B471" s="5"/>
      <c r="C471" s="5">
        <f>AVERAGE('Energy data 1990 - 2020'!H471)</f>
        <v>96.670391710000004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>
        <f>SUM('Energy data 1990 - 2020'!D472:E472)</f>
        <v>257.26558652300002</v>
      </c>
      <c r="B472" s="5"/>
      <c r="C472" s="5">
        <f>AVERAGE('Energy data 1990 - 2020'!H472)</f>
        <v>101.1746144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>
        <f>SUM('Energy data 1990 - 2020'!D473:E473)</f>
        <v>264.85041771200002</v>
      </c>
      <c r="B473" s="5"/>
      <c r="C473" s="5">
        <f>AVERAGE('Energy data 1990 - 2020'!H473)</f>
        <v>97.595444869999994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>
        <f>SUM('Energy data 1990 - 2020'!D474:E474)</f>
        <v>279.09067346699999</v>
      </c>
      <c r="B474" s="5"/>
      <c r="C474" s="5">
        <f>AVERAGE('Energy data 1990 - 2020'!H474)</f>
        <v>109.23256929999999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>
        <f>SUM('Energy data 1990 - 2020'!D475:E475)</f>
        <v>282.62188382700003</v>
      </c>
      <c r="B475" s="5"/>
      <c r="C475" s="5">
        <f>AVERAGE('Energy data 1990 - 2020'!H475)</f>
        <v>111.2425812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>
        <f>SUM('Energy data 1990 - 2020'!D476:E476)</f>
        <v>308.34988206399998</v>
      </c>
      <c r="B476" s="5"/>
      <c r="C476" s="5">
        <f>AVERAGE('Energy data 1990 - 2020'!H476)</f>
        <v>126.20735860000001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>
        <f>SUM('Energy data 1990 - 2020'!D477:E477)</f>
        <v>322.66675439299996</v>
      </c>
      <c r="B477" s="5"/>
      <c r="C477" s="5">
        <f>AVERAGE('Energy data 1990 - 2020'!H477)</f>
        <v>123.0066218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>
        <f>SUM('Energy data 1990 - 2020'!D478:E478)</f>
        <v>337.95039665900003</v>
      </c>
      <c r="B478" s="5"/>
      <c r="C478" s="5">
        <f>AVERAGE('Energy data 1990 - 2020'!H478)</f>
        <v>133.4697678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>
        <f>SUM('Energy data 1990 - 2020'!D479:E479)</f>
        <v>353.25608423799997</v>
      </c>
      <c r="B479" s="5"/>
      <c r="C479" s="5">
        <f>AVERAGE('Energy data 1990 - 2020'!H479)</f>
        <v>138.05925010000001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>
        <f>SUM('Energy data 1990 - 2020'!D480:E480)</f>
        <v>368.11704361699998</v>
      </c>
      <c r="B480" s="5"/>
      <c r="C480" s="5">
        <f>AVERAGE('Energy data 1990 - 2020'!H480)</f>
        <v>142.66824729999999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>
        <f>SUM('Energy data 1990 - 2020'!D481:E481)</f>
        <v>397.44252019600003</v>
      </c>
      <c r="B481" s="5"/>
      <c r="C481" s="5">
        <f>AVERAGE('Energy data 1990 - 2020'!H481)</f>
        <v>155.58991409999999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>
        <f>SUM('Energy data 1990 - 2020'!D482:E482)</f>
        <v>429.49674205999997</v>
      </c>
      <c r="B482" s="5"/>
      <c r="C482" s="5">
        <f>AVERAGE('Energy data 1990 - 2020'!H482)</f>
        <v>172.67842820000001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>
        <f>SUM('Energy data 1990 - 2020'!D483:E483)</f>
        <v>462.87140291499998</v>
      </c>
      <c r="B483" s="5"/>
      <c r="C483" s="5">
        <f>AVERAGE('Energy data 1990 - 2020'!H483)</f>
        <v>180.47679099999999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>
        <f>SUM('Energy data 1990 - 2020'!D484:E484)</f>
        <v>495.211402851</v>
      </c>
      <c r="B484" s="5"/>
      <c r="C484" s="5">
        <f>AVERAGE('Energy data 1990 - 2020'!H484)</f>
        <v>190.97426960000001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>
        <f>SUM('Energy data 1990 - 2020'!D485:E485)</f>
        <v>504.40991728899996</v>
      </c>
      <c r="B485" s="5"/>
      <c r="C485" s="5">
        <f>AVERAGE('Energy data 1990 - 2020'!H485)</f>
        <v>204.656318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>
        <f>SUM('Energy data 1990 - 2020'!D486:E486)</f>
        <v>523.62464797300004</v>
      </c>
      <c r="B486" s="5"/>
      <c r="C486" s="5">
        <f>AVERAGE('Energy data 1990 - 2020'!H486)</f>
        <v>204.26362470000001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>
        <f>SUM('Energy data 1990 - 2020'!D487:E487)</f>
        <v>517.769059588</v>
      </c>
      <c r="B487" s="5"/>
      <c r="C487" s="5">
        <f>AVERAGE('Energy data 1990 - 2020'!H487)</f>
        <v>204.32106060000001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>
        <f>SUM('Energy data 1990 - 2020'!D488:E488)</f>
        <v>533.84661631300003</v>
      </c>
      <c r="B488" s="5"/>
      <c r="C488" s="5">
        <f>AVERAGE('Energy data 1990 - 2020'!H488)</f>
        <v>208.3547658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>
        <f>SUM('Energy data 1990 - 2020'!D489:E489)</f>
        <v>540.54355364799994</v>
      </c>
      <c r="B489" s="5"/>
      <c r="C489" s="5">
        <f>AVERAGE('Energy data 1990 - 2020'!H489)</f>
        <v>217.50007880000001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>
        <f>SUM('Energy data 1990 - 2020'!D490:E490)</f>
        <v>563.94222142399997</v>
      </c>
      <c r="B490" s="5"/>
      <c r="C490" s="5">
        <f>AVERAGE('Energy data 1990 - 2020'!H490)</f>
        <v>221.79551609999999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>
        <f>SUM('Energy data 1990 - 2020'!D491:E491)</f>
        <v>589.68883155499998</v>
      </c>
      <c r="B491" s="5"/>
      <c r="C491" s="5">
        <f>AVERAGE('Energy data 1990 - 2020'!H491)</f>
        <v>238.03224449999999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>
        <f>SUM('Energy data 1990 - 2020'!D492:E492)</f>
        <v>584.06723661399997</v>
      </c>
      <c r="B492" s="5"/>
      <c r="C492" s="5">
        <f>AVERAGE('Energy data 1990 - 2020'!H492)</f>
        <v>238.1131044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>
        <f>SUM('Energy data 1990 - 2020'!D493:E493)</f>
        <v>587.35273919100007</v>
      </c>
      <c r="B493" s="5"/>
      <c r="C493" s="5">
        <f>AVERAGE('Energy data 1990 - 2020'!H493)</f>
        <v>245.6867714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>
        <f>SUM('Energy data 1990 - 2020'!D494:E494)</f>
        <v>606.99455159600006</v>
      </c>
      <c r="B494" s="5"/>
      <c r="C494" s="5">
        <f>AVERAGE('Energy data 1990 - 2020'!H494)</f>
        <v>261.85323940000001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>
        <f>SUM('Energy data 1990 - 2020'!D495:E495)</f>
        <v>617.38112504600008</v>
      </c>
      <c r="B495" s="5"/>
      <c r="C495" s="5">
        <f>AVERAGE('Energy data 1990 - 2020'!H495)</f>
        <v>265.71636230000001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>
        <f>SUM('Energy data 1990 - 2020'!D496:E496)</f>
        <v>622.29873332800003</v>
      </c>
      <c r="B496" s="5"/>
      <c r="C496" s="5">
        <f>AVERAGE('Energy data 1990 - 2020'!H496)</f>
        <v>269.0570735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>
        <f>SUM('Energy data 1990 - 2020'!D497:E497)</f>
        <v>621.37673655799995</v>
      </c>
      <c r="B497" s="5"/>
      <c r="C497" s="5">
        <f>AVERAGE('Energy data 1990 - 2020'!H497)</f>
        <v>267.54503729999999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>
        <f>SUM('Energy data 1990 - 2020'!D498:E498)</f>
        <v>400.527445597</v>
      </c>
      <c r="B498" s="5"/>
      <c r="C498" s="5">
        <f>AVERAGE('Energy data 1990 - 2020'!H498)</f>
        <v>146.76705920000001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>
        <f>SUM('Energy data 1990 - 2020'!D499:E499)</f>
        <v>401.193192786</v>
      </c>
      <c r="B499" s="5"/>
      <c r="C499" s="5">
        <f>AVERAGE('Energy data 1990 - 2020'!H499)</f>
        <v>150.37617879999999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>
        <f>SUM('Energy data 1990 - 2020'!D500:E500)</f>
        <v>400.61215066800003</v>
      </c>
      <c r="B500" s="5"/>
      <c r="C500" s="5">
        <f>AVERAGE('Energy data 1990 - 2020'!H500)</f>
        <v>149.47597400000001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>
        <f>SUM('Energy data 1990 - 2020'!D501:E501)</f>
        <v>395.11690973500004</v>
      </c>
      <c r="B501" s="5"/>
      <c r="C501" s="5">
        <f>AVERAGE('Energy data 1990 - 2020'!H501)</f>
        <v>148.69864899999999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>
        <f>SUM('Energy data 1990 - 2020'!D502:E502)</f>
        <v>390.55807277700001</v>
      </c>
      <c r="B502" s="5"/>
      <c r="C502" s="5">
        <f>AVERAGE('Energy data 1990 - 2020'!H502)</f>
        <v>146.81784099999999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>
        <f>SUM('Energy data 1990 - 2020'!D503:E503)</f>
        <v>413.134959847</v>
      </c>
      <c r="B503" s="5"/>
      <c r="C503" s="5">
        <f>AVERAGE('Energy data 1990 - 2020'!H503)</f>
        <v>159.38680590000001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>
        <f>SUM('Energy data 1990 - 2020'!D504:E504)</f>
        <v>410.80812683100004</v>
      </c>
      <c r="B504" s="5"/>
      <c r="C504" s="5">
        <f>AVERAGE('Energy data 1990 - 2020'!H504)</f>
        <v>159.24632579999999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>
        <f>SUM('Energy data 1990 - 2020'!D505:E505)</f>
        <v>414.62626367600001</v>
      </c>
      <c r="B505" s="5"/>
      <c r="C505" s="5">
        <f>AVERAGE('Energy data 1990 - 2020'!H505)</f>
        <v>161.53616700000001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>
        <f>SUM('Energy data 1990 - 2020'!D506:E506)</f>
        <v>424.98679317599999</v>
      </c>
      <c r="B506" s="5"/>
      <c r="C506" s="5">
        <f>AVERAGE('Energy data 1990 - 2020'!H506)</f>
        <v>166.05732979999999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>
        <f>SUM('Energy data 1990 - 2020'!D507:E507)</f>
        <v>430.03166657499997</v>
      </c>
      <c r="B507" s="5"/>
      <c r="C507" s="5">
        <f>AVERAGE('Energy data 1990 - 2020'!H507)</f>
        <v>168.60435430000001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>
        <f>SUM('Energy data 1990 - 2020'!D508:E508)</f>
        <v>433.17161209599999</v>
      </c>
      <c r="B508" s="5"/>
      <c r="C508" s="5">
        <f>AVERAGE('Energy data 1990 - 2020'!H508)</f>
        <v>171.81799799999999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>
        <f>SUM('Energy data 1990 - 2020'!D509:E509)</f>
        <v>431.74703111599996</v>
      </c>
      <c r="B509" s="5"/>
      <c r="C509" s="5">
        <f>AVERAGE('Energy data 1990 - 2020'!H509)</f>
        <v>172.40167070000001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>
        <f>SUM('Energy data 1990 - 2020'!D510:E510)</f>
        <v>440.34973616000002</v>
      </c>
      <c r="B510" s="5"/>
      <c r="C510" s="5">
        <f>AVERAGE('Energy data 1990 - 2020'!H510)</f>
        <v>173.6044536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>
        <f>SUM('Energy data 1990 - 2020'!D511:E511)</f>
        <v>455.49233152200003</v>
      </c>
      <c r="B511" s="5"/>
      <c r="C511" s="5">
        <f>AVERAGE('Energy data 1990 - 2020'!H511)</f>
        <v>181.91215410000001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>
        <f>SUM('Energy data 1990 - 2020'!D512:E512)</f>
        <v>462.55580170099995</v>
      </c>
      <c r="B512" s="5"/>
      <c r="C512" s="5">
        <f>AVERAGE('Energy data 1990 - 2020'!H512)</f>
        <v>183.18880730000001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>
        <f>SUM('Energy data 1990 - 2020'!D513:E513)</f>
        <v>464.736757528</v>
      </c>
      <c r="B513" s="5"/>
      <c r="C513" s="5">
        <f>AVERAGE('Energy data 1990 - 2020'!H513)</f>
        <v>186.691858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>
        <f>SUM('Energy data 1990 - 2020'!D514:E514)</f>
        <v>461.54899400800002</v>
      </c>
      <c r="B514" s="5"/>
      <c r="C514" s="5">
        <f>AVERAGE('Energy data 1990 - 2020'!H514)</f>
        <v>184.9892366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>
        <f>SUM('Energy data 1990 - 2020'!D515:E515)</f>
        <v>453.47611863599997</v>
      </c>
      <c r="B515" s="5"/>
      <c r="C515" s="5">
        <f>AVERAGE('Energy data 1990 - 2020'!H515)</f>
        <v>184.39399850000001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>
        <f>SUM('Energy data 1990 - 2020'!D516:E516)</f>
        <v>442.437956219</v>
      </c>
      <c r="B516" s="5"/>
      <c r="C516" s="5">
        <f>AVERAGE('Energy data 1990 - 2020'!H516)</f>
        <v>181.96552360000001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>
        <f>SUM('Energy data 1990 - 2020'!D517:E517)</f>
        <v>395.727840265</v>
      </c>
      <c r="B517" s="5"/>
      <c r="C517" s="5">
        <f>AVERAGE('Energy data 1990 - 2020'!H517)</f>
        <v>169.90373869999999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>
        <f>SUM('Energy data 1990 - 2020'!D518:E518)</f>
        <v>404.31951444700002</v>
      </c>
      <c r="B518" s="5"/>
      <c r="C518" s="5">
        <f>AVERAGE('Energy data 1990 - 2020'!H518)</f>
        <v>173.95752350000001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>
        <f>SUM('Energy data 1990 - 2020'!D519:E519)</f>
        <v>395.83113258000003</v>
      </c>
      <c r="B519" s="5"/>
      <c r="C519" s="5">
        <f>AVERAGE('Energy data 1990 - 2020'!H519)</f>
        <v>168.18137960000001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>
        <f>SUM('Energy data 1990 - 2020'!D520:E520)</f>
        <v>377.20483013199998</v>
      </c>
      <c r="B520" s="5"/>
      <c r="C520" s="5">
        <f>AVERAGE('Energy data 1990 - 2020'!H520)</f>
        <v>161.5452612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>
        <f>SUM('Energy data 1990 - 2020'!D521:E521)</f>
        <v>345.911877178</v>
      </c>
      <c r="B521" s="5"/>
      <c r="C521" s="5">
        <f>AVERAGE('Energy data 1990 - 2020'!H521)</f>
        <v>155.59669819999999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>
        <f>SUM('Energy data 1990 - 2020'!D522:E522)</f>
        <v>330.364373124</v>
      </c>
      <c r="B522" s="5"/>
      <c r="C522" s="5">
        <f>AVERAGE('Energy data 1990 - 2020'!H522)</f>
        <v>146.9644164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>
        <f>SUM('Energy data 1990 - 2020'!D523:E523)</f>
        <v>338.16321477900004</v>
      </c>
      <c r="B523" s="5"/>
      <c r="C523" s="5">
        <f>AVERAGE('Energy data 1990 - 2020'!H523)</f>
        <v>152.75455539999999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>
        <f>SUM('Energy data 1990 - 2020'!D524:E524)</f>
        <v>335.264220255</v>
      </c>
      <c r="B524" s="5"/>
      <c r="C524" s="5">
        <f>AVERAGE('Energy data 1990 - 2020'!H524)</f>
        <v>151.18230009999999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>
        <f>SUM('Energy data 1990 - 2020'!D525:E525)</f>
        <v>331.374951307</v>
      </c>
      <c r="B525" s="5"/>
      <c r="C525" s="5">
        <f>AVERAGE('Energy data 1990 - 2020'!H525)</f>
        <v>153.63762700000001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>
        <f>SUM('Energy data 1990 - 2020'!D526:E526)</f>
        <v>326.10150922299999</v>
      </c>
      <c r="B526" s="5"/>
      <c r="C526" s="5">
        <f>AVERAGE('Energy data 1990 - 2020'!H526)</f>
        <v>150.94549710000001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>
        <f>SUM('Energy data 1990 - 2020'!D527:E527)</f>
        <v>319.489230308</v>
      </c>
      <c r="B527" s="5"/>
      <c r="C527" s="5">
        <f>AVERAGE('Energy data 1990 - 2020'!H527)</f>
        <v>149.2747789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>
        <f>SUM('Energy data 1990 - 2020'!D528:E528)</f>
        <v>277.76536360300003</v>
      </c>
      <c r="B528" s="5"/>
      <c r="C528" s="5">
        <f>AVERAGE('Energy data 1990 - 2020'!H528)</f>
        <v>137.13803469999999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>
        <f>SUM('Energy data 1990 - 2020'!D529:E529)</f>
        <v>1057.536332739</v>
      </c>
      <c r="B529" s="5"/>
      <c r="C529" s="5">
        <f>AVERAGE('Energy data 1990 - 2020'!H529)</f>
        <v>440.34799850000002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>
        <f>SUM('Energy data 1990 - 2020'!D530:E530)</f>
        <v>1064.3321327409999</v>
      </c>
      <c r="B530" s="5"/>
      <c r="C530" s="5">
        <f>AVERAGE('Energy data 1990 - 2020'!H530)</f>
        <v>444.93743269999999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>
        <f>SUM('Energy data 1990 - 2020'!D531:E531)</f>
        <v>1073.6059233200001</v>
      </c>
      <c r="B531" s="5"/>
      <c r="C531" s="5">
        <f>AVERAGE('Energy data 1990 - 2020'!H531)</f>
        <v>454.87329770000002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>
        <f>SUM('Energy data 1990 - 2020'!D532:E532)</f>
        <v>1066.761224714</v>
      </c>
      <c r="B532" s="5"/>
      <c r="C532" s="5">
        <f>AVERAGE('Energy data 1990 - 2020'!H532)</f>
        <v>457.61418359999999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>
        <f>SUM('Energy data 1990 - 2020'!D533:E533)</f>
        <v>1118.4008950750001</v>
      </c>
      <c r="B533" s="5"/>
      <c r="C533" s="5">
        <f>AVERAGE('Energy data 1990 - 2020'!H533)</f>
        <v>482.50296359999999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>
        <f>SUM('Energy data 1990 - 2020'!D534:E534)</f>
        <v>1127.518640019</v>
      </c>
      <c r="B534" s="5"/>
      <c r="C534" s="5">
        <f>AVERAGE('Energy data 1990 - 2020'!H534)</f>
        <v>495.13270640000002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>
        <f>SUM('Energy data 1990 - 2020'!D535:E535)</f>
        <v>1138.9510320320001</v>
      </c>
      <c r="B535" s="5"/>
      <c r="C535" s="5">
        <f>AVERAGE('Energy data 1990 - 2020'!H535)</f>
        <v>505.88260289999999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>
        <f>SUM('Energy data 1990 - 2020'!D536:E536)</f>
        <v>1128.9944539000001</v>
      </c>
      <c r="B536" s="5"/>
      <c r="C536" s="5">
        <f>AVERAGE('Energy data 1990 - 2020'!H536)</f>
        <v>511.31909030000003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>
        <f>SUM('Energy data 1990 - 2020'!D537:E537)</f>
        <v>1091.8983492750001</v>
      </c>
      <c r="B537" s="5"/>
      <c r="C537" s="5">
        <f>AVERAGE('Energy data 1990 - 2020'!H537)</f>
        <v>501.6005609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>
        <f>SUM('Energy data 1990 - 2020'!D538:E538)</f>
        <v>1127.117635673</v>
      </c>
      <c r="B538" s="5"/>
      <c r="C538" s="5">
        <f>AVERAGE('Energy data 1990 - 2020'!H538)</f>
        <v>509.63121039999999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>
        <f>SUM('Energy data 1990 - 2020'!D539:E539)</f>
        <v>1140.6832484199999</v>
      </c>
      <c r="B539" s="5"/>
      <c r="C539" s="5">
        <f>AVERAGE('Energy data 1990 - 2020'!H539)</f>
        <v>519.88979970000003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>
        <f>SUM('Energy data 1990 - 2020'!D540:E540)</f>
        <v>1127.2184823700002</v>
      </c>
      <c r="B540" s="5"/>
      <c r="C540" s="5">
        <f>AVERAGE('Energy data 1990 - 2020'!H540)</f>
        <v>511.38080159999998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>
        <f>SUM('Energy data 1990 - 2020'!D541:E541)</f>
        <v>1168.295630736</v>
      </c>
      <c r="B541" s="5"/>
      <c r="C541" s="5">
        <f>AVERAGE('Energy data 1990 - 2020'!H541)</f>
        <v>512.90164040000002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>
        <f>SUM('Energy data 1990 - 2020'!D542:E542)</f>
        <v>1178.736254267</v>
      </c>
      <c r="B542" s="5"/>
      <c r="C542" s="5">
        <f>AVERAGE('Energy data 1990 - 2020'!H542)</f>
        <v>509.48443120000002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>
        <f>SUM('Energy data 1990 - 2020'!D543:E543)</f>
        <v>1174.970468771</v>
      </c>
      <c r="B543" s="5"/>
      <c r="C543" s="5">
        <f>AVERAGE('Energy data 1990 - 2020'!H543)</f>
        <v>525.95597029999999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>
        <f>SUM('Energy data 1990 - 2020'!D544:E544)</f>
        <v>1175.4772539989999</v>
      </c>
      <c r="B544" s="5"/>
      <c r="C544" s="5">
        <f>AVERAGE('Energy data 1990 - 2020'!H544)</f>
        <v>524.02844279999999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>
        <f>SUM('Energy data 1990 - 2020'!D545:E545)</f>
        <v>1147.9761106049998</v>
      </c>
      <c r="B545" s="5"/>
      <c r="C545" s="5">
        <f>AVERAGE('Energy data 1990 - 2020'!H545)</f>
        <v>523.77238150000005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>
        <f>SUM('Energy data 1990 - 2020'!D546:E546)</f>
        <v>1180.9785000909999</v>
      </c>
      <c r="B546" s="5"/>
      <c r="C546" s="5">
        <f>AVERAGE('Energy data 1990 - 2020'!H546)</f>
        <v>518.51697339999998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>
        <f>SUM('Energy data 1990 - 2020'!D547:E547)</f>
        <v>1117.8171315679999</v>
      </c>
      <c r="B547" s="5"/>
      <c r="C547" s="5">
        <f>AVERAGE('Energy data 1990 - 2020'!H547)</f>
        <v>500.05756910000002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>
        <f>SUM('Energy data 1990 - 2020'!D548:E548)</f>
        <v>1066.4435670529999</v>
      </c>
      <c r="B548" s="5"/>
      <c r="C548" s="5">
        <f>AVERAGE('Energy data 1990 - 2020'!H548)</f>
        <v>477.1299631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>
        <f>SUM('Energy data 1990 - 2020'!D549:E549)</f>
        <v>1117.402317969</v>
      </c>
      <c r="B549" s="5"/>
      <c r="C549" s="5">
        <f>AVERAGE('Energy data 1990 - 2020'!H549)</f>
        <v>503.18696030000001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>
        <f>SUM('Energy data 1990 - 2020'!D550:E550)</f>
        <v>1173.4001484350001</v>
      </c>
      <c r="B550" s="5"/>
      <c r="C550" s="5">
        <f>AVERAGE('Energy data 1990 - 2020'!H550)</f>
        <v>465.7153821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>
        <f>SUM('Energy data 1990 - 2020'!D551:E551)</f>
        <v>1213.6621597210001</v>
      </c>
      <c r="B551" s="5"/>
      <c r="C551" s="5">
        <f>AVERAGE('Energy data 1990 - 2020'!H551)</f>
        <v>455.80995719999999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>
        <f>SUM('Energy data 1990 - 2020'!D552:E552)</f>
        <v>1217.5038800330001</v>
      </c>
      <c r="B552" s="5"/>
      <c r="C552" s="5">
        <f>AVERAGE('Energy data 1990 - 2020'!H552)</f>
        <v>456.51644140000002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>
        <f>SUM('Energy data 1990 - 2020'!D553:E553)</f>
        <v>1176.423798089</v>
      </c>
      <c r="B553" s="5"/>
      <c r="C553" s="5">
        <f>AVERAGE('Energy data 1990 - 2020'!H553)</f>
        <v>441.56621469999999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>
        <f>SUM('Energy data 1990 - 2020'!D554:E554)</f>
        <v>1140.7947159610001</v>
      </c>
      <c r="B554" s="5"/>
      <c r="C554" s="5">
        <f>AVERAGE('Energy data 1990 - 2020'!H554)</f>
        <v>434.27728569999999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>
        <f>SUM('Energy data 1990 - 2020'!D555:E555)</f>
        <v>1130.839153589</v>
      </c>
      <c r="B555" s="5"/>
      <c r="C555" s="5">
        <f>AVERAGE('Energy data 1990 - 2020'!H555)</f>
        <v>429.0696504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>
        <f>SUM('Energy data 1990 - 2020'!D556:E556)</f>
        <v>1112.912733186</v>
      </c>
      <c r="B556" s="5"/>
      <c r="C556" s="5">
        <f>AVERAGE('Energy data 1990 - 2020'!H556)</f>
        <v>433.66732359999997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>
        <f>SUM('Energy data 1990 - 2020'!D557:E557)</f>
        <v>1069.038862956</v>
      </c>
      <c r="B557" s="5"/>
      <c r="C557" s="5">
        <f>AVERAGE('Energy data 1990 - 2020'!H557)</f>
        <v>427.64722110000002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>
        <f>SUM('Energy data 1990 - 2020'!D558:E558)</f>
        <v>1046.886041469</v>
      </c>
      <c r="B558" s="5"/>
      <c r="C558" s="5">
        <f>AVERAGE('Energy data 1990 - 2020'!H558)</f>
        <v>416.38714490000001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>
        <f>SUM('Energy data 1990 - 2020'!D559:E559)</f>
        <v>981.912584584</v>
      </c>
      <c r="B559" s="5"/>
      <c r="C559" s="5">
        <f>AVERAGE('Energy data 1990 - 2020'!H559)</f>
        <v>386.31987659999999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>
        <f>SUM('Energy data 1990 - 2020'!D560:E560)</f>
        <v>239.499144554</v>
      </c>
      <c r="B560" s="5"/>
      <c r="C560" s="5">
        <f>AVERAGE('Energy data 1990 - 2020'!H560)</f>
        <v>73.452535800000007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>
        <f>SUM('Energy data 1990 - 2020'!D561:E561)</f>
        <v>246.326496531</v>
      </c>
      <c r="B561" s="5"/>
      <c r="C561" s="5">
        <f>AVERAGE('Energy data 1990 - 2020'!H561)</f>
        <v>74.949168970000002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>
        <f>SUM('Energy data 1990 - 2020'!D562:E562)</f>
        <v>252.30814240199999</v>
      </c>
      <c r="B562" s="5"/>
      <c r="C562" s="5">
        <f>AVERAGE('Energy data 1990 - 2020'!H562)</f>
        <v>78.848338699999999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>
        <f>SUM('Energy data 1990 - 2020'!D563:E563)</f>
        <v>215.69919209099999</v>
      </c>
      <c r="B563" s="5"/>
      <c r="C563" s="5">
        <f>AVERAGE('Energy data 1990 - 2020'!H563)</f>
        <v>65.626494809999997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>
        <f>SUM('Energy data 1990 - 2020'!D564:E564)</f>
        <v>195.50561866199999</v>
      </c>
      <c r="B564" s="5"/>
      <c r="C564" s="5">
        <f>AVERAGE('Energy data 1990 - 2020'!H564)</f>
        <v>58.139642119999998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>
        <f>SUM('Energy data 1990 - 2020'!D565:E565)</f>
        <v>170.793169554</v>
      </c>
      <c r="B565" s="5"/>
      <c r="C565" s="5">
        <f>AVERAGE('Energy data 1990 - 2020'!H565)</f>
        <v>52.245756989999997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>
        <f>SUM('Energy data 1990 - 2020'!D566:E566)</f>
        <v>149.40197734899999</v>
      </c>
      <c r="B566" s="5"/>
      <c r="C566" s="5">
        <f>AVERAGE('Energy data 1990 - 2020'!H566)</f>
        <v>45.35397459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>
        <f>SUM('Energy data 1990 - 2020'!D567:E567)</f>
        <v>126.33097796</v>
      </c>
      <c r="B567" s="5"/>
      <c r="C567" s="5">
        <f>AVERAGE('Energy data 1990 - 2020'!H567)</f>
        <v>39.497596170000001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>
        <f>SUM('Energy data 1990 - 2020'!D568:E568)</f>
        <v>128.95883781199998</v>
      </c>
      <c r="B568" s="5"/>
      <c r="C568" s="5">
        <f>AVERAGE('Energy data 1990 - 2020'!H568)</f>
        <v>39.339911030000003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>
        <f>SUM('Energy data 1990 - 2020'!D569:E569)</f>
        <v>116.17940077599999</v>
      </c>
      <c r="B569" s="5"/>
      <c r="C569" s="5">
        <f>AVERAGE('Energy data 1990 - 2020'!H569)</f>
        <v>35.922962640000001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>
        <f>SUM('Energy data 1990 - 2020'!D570:E570)</f>
        <v>125.23523176900001</v>
      </c>
      <c r="B570" s="5"/>
      <c r="C570" s="5">
        <f>AVERAGE('Energy data 1990 - 2020'!H570)</f>
        <v>35.68057477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>
        <f>SUM('Energy data 1990 - 2020'!D571:E571)</f>
        <v>116.38114793699999</v>
      </c>
      <c r="B571" s="5"/>
      <c r="C571" s="5">
        <f>AVERAGE('Energy data 1990 - 2020'!H571)</f>
        <v>34.53758328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>
        <f>SUM('Energy data 1990 - 2020'!D572:E572)</f>
        <v>128.98765100700001</v>
      </c>
      <c r="B572" s="5"/>
      <c r="C572" s="5">
        <f>AVERAGE('Energy data 1990 - 2020'!H572)</f>
        <v>39.736779319999997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>
        <f>SUM('Energy data 1990 - 2020'!D573:E573)</f>
        <v>148.43811716499999</v>
      </c>
      <c r="B573" s="5"/>
      <c r="C573" s="5">
        <f>AVERAGE('Energy data 1990 - 2020'!H573)</f>
        <v>43.105856449999997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>
        <f>SUM('Energy data 1990 - 2020'!D574:E574)</f>
        <v>153.130901204</v>
      </c>
      <c r="B574" s="5"/>
      <c r="C574" s="5">
        <f>AVERAGE('Energy data 1990 - 2020'!H574)</f>
        <v>50.79430404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>
        <f>SUM('Energy data 1990 - 2020'!D575:E575)</f>
        <v>164.125236315</v>
      </c>
      <c r="B575" s="5"/>
      <c r="C575" s="5">
        <f>AVERAGE('Energy data 1990 - 2020'!H575)</f>
        <v>50.885130879999998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>
        <f>SUM('Energy data 1990 - 2020'!D576:E576)</f>
        <v>184.72771983199999</v>
      </c>
      <c r="B576" s="5"/>
      <c r="C576" s="5">
        <f>AVERAGE('Energy data 1990 - 2020'!H576)</f>
        <v>60.607843449999997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>
        <f>SUM('Energy data 1990 - 2020'!D577:E577)</f>
        <v>196.282119814</v>
      </c>
      <c r="B577" s="5"/>
      <c r="C577" s="5">
        <f>AVERAGE('Energy data 1990 - 2020'!H577)</f>
        <v>66.088114630000007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>
        <f>SUM('Energy data 1990 - 2020'!D578:E578)</f>
        <v>228.417788739</v>
      </c>
      <c r="B578" s="5"/>
      <c r="C578" s="5">
        <f>AVERAGE('Energy data 1990 - 2020'!H578)</f>
        <v>69.836157880000002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>
        <f>SUM('Energy data 1990 - 2020'!D579:E579)</f>
        <v>202.40696351700001</v>
      </c>
      <c r="B579" s="5"/>
      <c r="C579" s="5">
        <f>AVERAGE('Energy data 1990 - 2020'!H579)</f>
        <v>63.423208510000002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>
        <f>SUM('Energy data 1990 - 2020'!D580:E580)</f>
        <v>220.29731069799999</v>
      </c>
      <c r="B580" s="5"/>
      <c r="C580" s="5">
        <f>AVERAGE('Energy data 1990 - 2020'!H580)</f>
        <v>69.099857029999995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>
        <f>SUM('Energy data 1990 - 2020'!D581:E581)</f>
        <v>234.75810540800001</v>
      </c>
      <c r="B581" s="5"/>
      <c r="C581" s="5">
        <f>AVERAGE('Energy data 1990 - 2020'!H581)</f>
        <v>77.260532870000006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>
        <f>SUM('Energy data 1990 - 2020'!D582:E582)</f>
        <v>237.346955374</v>
      </c>
      <c r="B582" s="5"/>
      <c r="C582" s="5">
        <f>AVERAGE('Energy data 1990 - 2020'!H582)</f>
        <v>73.826330299999995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>
        <f>SUM('Energy data 1990 - 2020'!D583:E583)</f>
        <v>254.250927633</v>
      </c>
      <c r="B583" s="5"/>
      <c r="C583" s="5">
        <f>AVERAGE('Energy data 1990 - 2020'!H583)</f>
        <v>81.509035620000006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>
        <f>SUM('Energy data 1990 - 2020'!D584:E584)</f>
        <v>205.93796640100001</v>
      </c>
      <c r="B584" s="5"/>
      <c r="C584" s="5">
        <f>AVERAGE('Energy data 1990 - 2020'!H584)</f>
        <v>65.388997439999997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>
        <f>SUM('Energy data 1990 - 2020'!D585:E585)</f>
        <v>197.17528910300001</v>
      </c>
      <c r="B585" s="5"/>
      <c r="C585" s="5">
        <f>AVERAGE('Energy data 1990 - 2020'!H585)</f>
        <v>55.200192209999997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>
        <f>SUM('Energy data 1990 - 2020'!D586:E586)</f>
        <v>215.054534563</v>
      </c>
      <c r="B586" s="5"/>
      <c r="C586" s="5">
        <f>AVERAGE('Energy data 1990 - 2020'!H586)</f>
        <v>64.495724559999999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>
        <f>SUM('Energy data 1990 - 2020'!D587:E587)</f>
        <v>216.794896569</v>
      </c>
      <c r="B587" s="5"/>
      <c r="C587" s="5">
        <f>AVERAGE('Energy data 1990 - 2020'!H587)</f>
        <v>65.646563169999993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>
        <f>SUM('Energy data 1990 - 2020'!D588:E588)</f>
        <v>210.97984819600001</v>
      </c>
      <c r="B588" s="5"/>
      <c r="C588" s="5">
        <f>AVERAGE('Energy data 1990 - 2020'!H588)</f>
        <v>75.778642869999999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>
        <f>SUM('Energy data 1990 - 2020'!D589:E589)</f>
        <v>210.13650146399999</v>
      </c>
      <c r="B589" s="5"/>
      <c r="C589" s="5">
        <f>AVERAGE('Energy data 1990 - 2020'!H589)</f>
        <v>76.758565329999996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>
        <f>SUM('Energy data 1990 - 2020'!D590:E590)</f>
        <v>209.15694264800001</v>
      </c>
      <c r="B590" s="5"/>
      <c r="C590" s="5">
        <f>AVERAGE('Energy data 1990 - 2020'!H590)</f>
        <v>70.14764821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>
        <f>SUM('Energy data 1990 - 2020'!D591:E591)</f>
        <v>30.916616711</v>
      </c>
      <c r="B591" s="5"/>
      <c r="C591" s="5">
        <f>AVERAGE('Energy data 1990 - 2020'!H591)</f>
        <v>9.0376769320000001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>
        <f>SUM('Energy data 1990 - 2020'!D592:E592)</f>
        <v>10.494755468000001</v>
      </c>
      <c r="B592" s="5"/>
      <c r="C592" s="5">
        <f>AVERAGE('Energy data 1990 - 2020'!H592)</f>
        <v>2.622632936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>
        <f>SUM('Energy data 1990 - 2020'!D593:E593)</f>
        <v>24.801522209999998</v>
      </c>
      <c r="B593" s="5"/>
      <c r="C593" s="5">
        <f>AVERAGE('Energy data 1990 - 2020'!H593)</f>
        <v>8.7491225210000003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>
        <f>SUM('Energy data 1990 - 2020'!D594:E594)</f>
        <v>30.964913273999997</v>
      </c>
      <c r="B594" s="5"/>
      <c r="C594" s="5">
        <f>AVERAGE('Energy data 1990 - 2020'!H594)</f>
        <v>12.24675336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>
        <f>SUM('Energy data 1990 - 2020'!D595:E595)</f>
        <v>35.441667443999997</v>
      </c>
      <c r="B595" s="5"/>
      <c r="C595" s="5">
        <f>AVERAGE('Energy data 1990 - 2020'!H595)</f>
        <v>14.357021039999999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>
        <f>SUM('Energy data 1990 - 2020'!D596:E596)</f>
        <v>35.315343640000002</v>
      </c>
      <c r="B596" s="5"/>
      <c r="C596" s="5">
        <f>AVERAGE('Energy data 1990 - 2020'!H596)</f>
        <v>14.713337320000001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>
        <f>SUM('Energy data 1990 - 2020'!D597:E597)</f>
        <v>34.419006238999998</v>
      </c>
      <c r="B597" s="5"/>
      <c r="C597" s="5">
        <f>AVERAGE('Energy data 1990 - 2020'!H597)</f>
        <v>14.47919289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>
        <f>SUM('Energy data 1990 - 2020'!D598:E598)</f>
        <v>35.562056184999996</v>
      </c>
      <c r="B598" s="5"/>
      <c r="C598" s="5">
        <f>AVERAGE('Energy data 1990 - 2020'!H598)</f>
        <v>14.6160117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>
        <f>SUM('Energy data 1990 - 2020'!D599:E599)</f>
        <v>41.654823231000002</v>
      </c>
      <c r="B599" s="5"/>
      <c r="C599" s="5">
        <f>AVERAGE('Energy data 1990 - 2020'!H599)</f>
        <v>16.662200899999998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>
        <f>SUM('Energy data 1990 - 2020'!D600:E600)</f>
        <v>45.678233892000002</v>
      </c>
      <c r="B600" s="5"/>
      <c r="C600" s="5">
        <f>AVERAGE('Energy data 1990 - 2020'!H600)</f>
        <v>17.861628870000001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>
        <f>SUM('Energy data 1990 - 2020'!D601:E601)</f>
        <v>49.066551046000001</v>
      </c>
      <c r="B601" s="5"/>
      <c r="C601" s="5">
        <f>AVERAGE('Energy data 1990 - 2020'!H601)</f>
        <v>18.557623580000001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>
        <f>SUM('Energy data 1990 - 2020'!D602:E602)</f>
        <v>53.029009152</v>
      </c>
      <c r="B602" s="5"/>
      <c r="C602" s="5">
        <f>AVERAGE('Energy data 1990 - 2020'!H602)</f>
        <v>19.80120608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>
        <f>SUM('Energy data 1990 - 2020'!D603:E603)</f>
        <v>55.040422649</v>
      </c>
      <c r="B603" s="5"/>
      <c r="C603" s="5">
        <f>AVERAGE('Energy data 1990 - 2020'!H603)</f>
        <v>20.003576639999999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>
        <f>SUM('Energy data 1990 - 2020'!D604:E604)</f>
        <v>56.924808433000003</v>
      </c>
      <c r="B604" s="5"/>
      <c r="C604" s="5">
        <f>AVERAGE('Energy data 1990 - 2020'!H604)</f>
        <v>21.436225060000002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>
        <f>SUM('Energy data 1990 - 2020'!D605:E605)</f>
        <v>60.792044072000003</v>
      </c>
      <c r="B605" s="5"/>
      <c r="C605" s="5">
        <f>AVERAGE('Energy data 1990 - 2020'!H605)</f>
        <v>23.665452729999998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>
        <f>SUM('Energy data 1990 - 2020'!D606:E606)</f>
        <v>68.675498989000005</v>
      </c>
      <c r="B606" s="5"/>
      <c r="C606" s="5">
        <f>AVERAGE('Energy data 1990 - 2020'!H606)</f>
        <v>26.881812790000001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>
        <f>SUM('Energy data 1990 - 2020'!D607:E607)</f>
        <v>70.752012768</v>
      </c>
      <c r="B607" s="5"/>
      <c r="C607" s="5">
        <f>AVERAGE('Energy data 1990 - 2020'!H607)</f>
        <v>24.714436410000001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>
        <f>SUM('Energy data 1990 - 2020'!D608:E608)</f>
        <v>71.058175583000008</v>
      </c>
      <c r="B608" s="5"/>
      <c r="C608" s="5">
        <f>AVERAGE('Energy data 1990 - 2020'!H608)</f>
        <v>24.535137479999999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>
        <f>SUM('Energy data 1990 - 2020'!D609:E609)</f>
        <v>75.410508320000005</v>
      </c>
      <c r="B609" s="5"/>
      <c r="C609" s="5">
        <f>AVERAGE('Energy data 1990 - 2020'!H609)</f>
        <v>28.291612969999999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>
        <f>SUM('Energy data 1990 - 2020'!D610:E610)</f>
        <v>78.059384502</v>
      </c>
      <c r="B610" s="5"/>
      <c r="C610" s="5">
        <f>AVERAGE('Energy data 1990 - 2020'!H610)</f>
        <v>28.75066597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>
        <f>SUM('Energy data 1990 - 2020'!D611:E611)</f>
        <v>81.702478916000004</v>
      </c>
      <c r="B611" s="5"/>
      <c r="C611" s="5">
        <f>AVERAGE('Energy data 1990 - 2020'!H611)</f>
        <v>29.206973430000001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>
        <f>SUM('Energy data 1990 - 2020'!D612:E612)</f>
        <v>84.762038154999999</v>
      </c>
      <c r="B612" s="5"/>
      <c r="C612" s="5">
        <f>AVERAGE('Energy data 1990 - 2020'!H612)</f>
        <v>27.810254459999999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>
        <f>SUM('Energy data 1990 - 2020'!D613:E613)</f>
        <v>87.574490823999994</v>
      </c>
      <c r="B613" s="5"/>
      <c r="C613" s="5">
        <f>AVERAGE('Energy data 1990 - 2020'!H613)</f>
        <v>29.083857940000001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>
        <f>SUM('Energy data 1990 - 2020'!D614:E614)</f>
        <v>88.328613100999988</v>
      </c>
      <c r="B614" s="5"/>
      <c r="C614" s="5">
        <f>AVERAGE('Energy data 1990 - 2020'!H614)</f>
        <v>29.686932670000001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>
        <f>SUM('Energy data 1990 - 2020'!D615:E615)</f>
        <v>86.708344808999996</v>
      </c>
      <c r="B615" s="5"/>
      <c r="C615" s="5">
        <f>AVERAGE('Energy data 1990 - 2020'!H615)</f>
        <v>26.821754179999999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>
        <f>SUM('Energy data 1990 - 2020'!D616:E616)</f>
        <v>90.548857491999996</v>
      </c>
      <c r="B616" s="5"/>
      <c r="C616" s="5">
        <f>AVERAGE('Energy data 1990 - 2020'!H616)</f>
        <v>33.002288550000003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>
        <f>SUM('Energy data 1990 - 2020'!D617:E617)</f>
        <v>92.259406069000008</v>
      </c>
      <c r="B617" s="5"/>
      <c r="C617" s="5">
        <f>AVERAGE('Energy data 1990 - 2020'!H617)</f>
        <v>36.144073159999998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>
        <f>SUM('Energy data 1990 - 2020'!D618:E618)</f>
        <v>92.269723999000007</v>
      </c>
      <c r="B618" s="5"/>
      <c r="C618" s="5">
        <f>AVERAGE('Energy data 1990 - 2020'!H618)</f>
        <v>34.468980600000002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>
        <f>SUM('Energy data 1990 - 2020'!D619:E619)</f>
        <v>92.051179466000008</v>
      </c>
      <c r="B619" s="5"/>
      <c r="C619" s="5">
        <f>AVERAGE('Energy data 1990 - 2020'!H619)</f>
        <v>34.006684900000003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>
        <f>SUM('Energy data 1990 - 2020'!D620:E620)</f>
        <v>95.52009506600001</v>
      </c>
      <c r="B620" s="5"/>
      <c r="C620" s="5">
        <f>AVERAGE('Energy data 1990 - 2020'!H620)</f>
        <v>35.995212780000003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>
        <f>SUM('Energy data 1990 - 2020'!D621:E621)</f>
        <v>97.188547100999997</v>
      </c>
      <c r="B621" s="5"/>
      <c r="C621" s="5">
        <f>AVERAGE('Energy data 1990 - 2020'!H621)</f>
        <v>37.540223400000002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>
        <f>SUM('Energy data 1990 - 2020'!D622:E622)</f>
        <v>53.129982181000003</v>
      </c>
      <c r="B622" s="5"/>
      <c r="C622" s="5">
        <f>AVERAGE('Energy data 1990 - 2020'!H622)</f>
        <v>21.212251689999999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>
        <f>SUM('Energy data 1990 - 2020'!D623:E623)</f>
        <v>63.586280256000002</v>
      </c>
      <c r="B623" s="5"/>
      <c r="C623" s="5">
        <f>AVERAGE('Energy data 1990 - 2020'!H623)</f>
        <v>26.302261609999999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>
        <f>SUM('Energy data 1990 - 2020'!D624:E624)</f>
        <v>66.605096021999998</v>
      </c>
      <c r="B624" s="5"/>
      <c r="C624" s="5">
        <f>AVERAGE('Energy data 1990 - 2020'!H624)</f>
        <v>29.065575519999999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>
        <f>SUM('Energy data 1990 - 2020'!D625:E625)</f>
        <v>72.403372425000001</v>
      </c>
      <c r="B625" s="5"/>
      <c r="C625" s="5">
        <f>AVERAGE('Energy data 1990 - 2020'!H625)</f>
        <v>31.525751419999999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>
        <f>SUM('Energy data 1990 - 2020'!D626:E626)</f>
        <v>77.720046323999995</v>
      </c>
      <c r="B626" s="5"/>
      <c r="C626" s="5">
        <f>AVERAGE('Energy data 1990 - 2020'!H626)</f>
        <v>31.569289980000001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>
        <f>SUM('Energy data 1990 - 2020'!D627:E627)</f>
        <v>84.867110604999993</v>
      </c>
      <c r="B627" s="5"/>
      <c r="C627" s="5">
        <f>AVERAGE('Energy data 1990 - 2020'!H627)</f>
        <v>34.289161720000003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>
        <f>SUM('Energy data 1990 - 2020'!D628:E628)</f>
        <v>95.375421047000003</v>
      </c>
      <c r="B628" s="5"/>
      <c r="C628" s="5">
        <f>AVERAGE('Energy data 1990 - 2020'!H628)</f>
        <v>37.991270049999997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>
        <f>SUM('Energy data 1990 - 2020'!D629:E629)</f>
        <v>102.41866555899999</v>
      </c>
      <c r="B629" s="5"/>
      <c r="C629" s="5">
        <f>AVERAGE('Energy data 1990 - 2020'!H629)</f>
        <v>44.295981789999999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>
        <f>SUM('Energy data 1990 - 2020'!D630:E630)</f>
        <v>102.68811677400001</v>
      </c>
      <c r="B630" s="5"/>
      <c r="C630" s="5">
        <f>AVERAGE('Energy data 1990 - 2020'!H630)</f>
        <v>41.693856629999999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>
        <f>SUM('Energy data 1990 - 2020'!D631:E631)</f>
        <v>111.18656615900001</v>
      </c>
      <c r="B631" s="5"/>
      <c r="C631" s="5">
        <f>AVERAGE('Energy data 1990 - 2020'!H631)</f>
        <v>42.257942180000001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>
        <f>SUM('Energy data 1990 - 2020'!D632:E632)</f>
        <v>120.429436705</v>
      </c>
      <c r="B632" s="5"/>
      <c r="C632" s="5">
        <f>AVERAGE('Energy data 1990 - 2020'!H632)</f>
        <v>48.465332619999998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>
        <f>SUM('Energy data 1990 - 2020'!D633:E633)</f>
        <v>126.034734047</v>
      </c>
      <c r="B633" s="5"/>
      <c r="C633" s="5">
        <f>AVERAGE('Energy data 1990 - 2020'!H633)</f>
        <v>50.776230890000001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>
        <f>SUM('Energy data 1990 - 2020'!D634:E634)</f>
        <v>132.32946508900002</v>
      </c>
      <c r="B634" s="5"/>
      <c r="C634" s="5">
        <f>AVERAGE('Energy data 1990 - 2020'!H634)</f>
        <v>52.393057460000001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>
        <f>SUM('Energy data 1990 - 2020'!D635:E635)</f>
        <v>138.31660142500002</v>
      </c>
      <c r="B635" s="5"/>
      <c r="C635" s="5">
        <f>AVERAGE('Energy data 1990 - 2020'!H635)</f>
        <v>56.088696300000002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>
        <f>SUM('Energy data 1990 - 2020'!D636:E636)</f>
        <v>151.91546393499999</v>
      </c>
      <c r="B636" s="5"/>
      <c r="C636" s="5">
        <f>AVERAGE('Energy data 1990 - 2020'!H636)</f>
        <v>60.416966250000002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>
        <f>SUM('Energy data 1990 - 2020'!D637:E637)</f>
        <v>161.167571417</v>
      </c>
      <c r="B637" s="5"/>
      <c r="C637" s="5">
        <f>AVERAGE('Energy data 1990 - 2020'!H637)</f>
        <v>65.973550739999993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>
        <f>SUM('Energy data 1990 - 2020'!D638:E638)</f>
        <v>168.18192253000001</v>
      </c>
      <c r="B638" s="5"/>
      <c r="C638" s="5">
        <f>AVERAGE('Energy data 1990 - 2020'!H638)</f>
        <v>66.328518919999993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>
        <f>SUM('Energy data 1990 - 2020'!D639:E639)</f>
        <v>186.79095510899998</v>
      </c>
      <c r="B639" s="5"/>
      <c r="C639" s="5">
        <f>AVERAGE('Energy data 1990 - 2020'!H639)</f>
        <v>72.509447780000002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>
        <f>SUM('Energy data 1990 - 2020'!D640:E640)</f>
        <v>197.457476313</v>
      </c>
      <c r="B640" s="5"/>
      <c r="C640" s="5">
        <f>AVERAGE('Energy data 1990 - 2020'!H640)</f>
        <v>75.79342226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>
        <f>SUM('Energy data 1990 - 2020'!D641:E641)</f>
        <v>179.115469107</v>
      </c>
      <c r="B641" s="5"/>
      <c r="C641" s="5">
        <f>AVERAGE('Energy data 1990 - 2020'!H641)</f>
        <v>71.886588869999997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>
        <f>SUM('Energy data 1990 - 2020'!D642:E642)</f>
        <v>196.388270428</v>
      </c>
      <c r="B642" s="5"/>
      <c r="C642" s="5">
        <f>AVERAGE('Energy data 1990 - 2020'!H642)</f>
        <v>73.380876990000004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>
        <f>SUM('Energy data 1990 - 2020'!D643:E643)</f>
        <v>201.97819600599999</v>
      </c>
      <c r="B643" s="5"/>
      <c r="C643" s="5">
        <f>AVERAGE('Energy data 1990 - 2020'!H643)</f>
        <v>76.145142649999997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>
        <f>SUM('Energy data 1990 - 2020'!D644:E644)</f>
        <v>205.12259793999999</v>
      </c>
      <c r="B644" s="5"/>
      <c r="C644" s="5">
        <f>AVERAGE('Energy data 1990 - 2020'!H644)</f>
        <v>77.456352109999997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>
        <f>SUM('Energy data 1990 - 2020'!D645:E645)</f>
        <v>223.87657982799999</v>
      </c>
      <c r="B645" s="5"/>
      <c r="C645" s="5">
        <f>AVERAGE('Energy data 1990 - 2020'!H645)</f>
        <v>87.240252600000005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>
        <f>SUM('Energy data 1990 - 2020'!D646:E646)</f>
        <v>230.89450796400001</v>
      </c>
      <c r="B646" s="5"/>
      <c r="C646" s="5">
        <f>AVERAGE('Energy data 1990 - 2020'!H646)</f>
        <v>88.923930580000004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>
        <f>SUM('Energy data 1990 - 2020'!D647:E647)</f>
        <v>230.91934027400001</v>
      </c>
      <c r="B647" s="5"/>
      <c r="C647" s="5">
        <f>AVERAGE('Energy data 1990 - 2020'!H647)</f>
        <v>85.022285870000005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>
        <f>SUM('Energy data 1990 - 2020'!D648:E648)</f>
        <v>230.079583434</v>
      </c>
      <c r="B648" s="5"/>
      <c r="C648" s="5">
        <f>AVERAGE('Energy data 1990 - 2020'!H648)</f>
        <v>88.356012730000003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>
        <f>SUM('Energy data 1990 - 2020'!D649:E649)</f>
        <v>230.55199283100001</v>
      </c>
      <c r="B649" s="5"/>
      <c r="C649" s="5">
        <f>AVERAGE('Energy data 1990 - 2020'!H649)</f>
        <v>85.257010510000001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>
        <f>SUM('Energy data 1990 - 2020'!D650:E650)</f>
        <v>248.82715223700001</v>
      </c>
      <c r="B650" s="5"/>
      <c r="C650" s="5">
        <f>AVERAGE('Energy data 1990 - 2020'!H650)</f>
        <v>93.996614120000004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>
        <f>SUM('Energy data 1990 - 2020'!D651:E651)</f>
        <v>254.79056613199998</v>
      </c>
      <c r="B651" s="5"/>
      <c r="C651" s="5">
        <f>AVERAGE('Energy data 1990 - 2020'!H651)</f>
        <v>96.132555640000007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>
        <f>SUM('Energy data 1990 - 2020'!D652:E652)</f>
        <v>236.14477315599999</v>
      </c>
      <c r="B652" s="5"/>
      <c r="C652" s="5">
        <f>AVERAGE('Energy data 1990 - 2020'!H652)</f>
        <v>88.098393020000003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>
        <f>SUM('Energy data 1990 - 2020'!D653:E653)</f>
        <v>266.79342042000002</v>
      </c>
      <c r="B653" s="5"/>
      <c r="C653" s="5">
        <f>AVERAGE('Energy data 1990 - 2020'!H653)</f>
        <v>123.6862404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>
        <f>SUM('Energy data 1990 - 2020'!D654:E654)</f>
        <v>286.23202178899999</v>
      </c>
      <c r="B654" s="5"/>
      <c r="C654" s="5">
        <f>AVERAGE('Energy data 1990 - 2020'!H654)</f>
        <v>129.85942349999999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>
        <f>SUM('Energy data 1990 - 2020'!D655:E655)</f>
        <v>288.40856417100002</v>
      </c>
      <c r="B655" s="5"/>
      <c r="C655" s="5">
        <f>AVERAGE('Energy data 1990 - 2020'!H655)</f>
        <v>130.9408201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>
        <f>SUM('Energy data 1990 - 2020'!D656:E656)</f>
        <v>298.49397796799997</v>
      </c>
      <c r="B656" s="5"/>
      <c r="C656" s="5">
        <f>AVERAGE('Energy data 1990 - 2020'!H656)</f>
        <v>133.36873120000001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>
        <f>SUM('Energy data 1990 - 2020'!D657:E657)</f>
        <v>323.29616617800002</v>
      </c>
      <c r="B657" s="5"/>
      <c r="C657" s="5">
        <f>AVERAGE('Energy data 1990 - 2020'!H657)</f>
        <v>136.33701569999999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>
        <f>SUM('Energy data 1990 - 2020'!D658:E658)</f>
        <v>306.24449646999994</v>
      </c>
      <c r="B658" s="5"/>
      <c r="C658" s="5">
        <f>AVERAGE('Energy data 1990 - 2020'!H658)</f>
        <v>131.89133229999999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>
        <f>SUM('Energy data 1990 - 2020'!D659:E659)</f>
        <v>319.70790482399997</v>
      </c>
      <c r="B659" s="5"/>
      <c r="C659" s="5">
        <f>AVERAGE('Energy data 1990 - 2020'!H659)</f>
        <v>134.8231079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>
        <f>SUM('Energy data 1990 - 2020'!D660:E660)</f>
        <v>332.54987575799998</v>
      </c>
      <c r="B660" s="5"/>
      <c r="C660" s="5">
        <f>AVERAGE('Energy data 1990 - 2020'!H660)</f>
        <v>141.8059351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>
        <f>SUM('Energy data 1990 - 2020'!D661:E661)</f>
        <v>355.03807376099996</v>
      </c>
      <c r="B661" s="5"/>
      <c r="C661" s="5">
        <f>AVERAGE('Energy data 1990 - 2020'!H661)</f>
        <v>145.71266019999999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>
        <f>SUM('Energy data 1990 - 2020'!D662:E662)</f>
        <v>346.90213496000001</v>
      </c>
      <c r="B662" s="5"/>
      <c r="C662" s="5">
        <f>AVERAGE('Energy data 1990 - 2020'!H662)</f>
        <v>149.9010643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>
        <f>SUM('Energy data 1990 - 2020'!D663:E663)</f>
        <v>371.41554846100001</v>
      </c>
      <c r="B663" s="5"/>
      <c r="C663" s="5">
        <f>AVERAGE('Energy data 1990 - 2020'!H663)</f>
        <v>150.81992320000001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>
        <f>SUM('Energy data 1990 - 2020'!D664:E664)</f>
        <v>373.08498833900001</v>
      </c>
      <c r="B664" s="5"/>
      <c r="C664" s="5">
        <f>AVERAGE('Energy data 1990 - 2020'!H664)</f>
        <v>155.2769643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>
        <f>SUM('Energy data 1990 - 2020'!D665:E665)</f>
        <v>379.34736440799998</v>
      </c>
      <c r="B665" s="5"/>
      <c r="C665" s="5">
        <f>AVERAGE('Energy data 1990 - 2020'!H665)</f>
        <v>156.96843680000001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>
        <f>SUM('Energy data 1990 - 2020'!D666:E666)</f>
        <v>399.60955278500001</v>
      </c>
      <c r="B666" s="5"/>
      <c r="C666" s="5">
        <f>AVERAGE('Energy data 1990 - 2020'!H666)</f>
        <v>168.21996179999999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>
        <f>SUM('Energy data 1990 - 2020'!D667:E667)</f>
        <v>406.74962325600001</v>
      </c>
      <c r="B667" s="5"/>
      <c r="C667" s="5">
        <f>AVERAGE('Energy data 1990 - 2020'!H667)</f>
        <v>171.2768098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>
        <f>SUM('Energy data 1990 - 2020'!D668:E668)</f>
        <v>421.986028197</v>
      </c>
      <c r="B668" s="5"/>
      <c r="C668" s="5">
        <f>AVERAGE('Energy data 1990 - 2020'!H668)</f>
        <v>180.6574287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>
        <f>SUM('Energy data 1990 - 2020'!D669:E669)</f>
        <v>439.33942272000002</v>
      </c>
      <c r="B669" s="5"/>
      <c r="C669" s="5">
        <f>AVERAGE('Energy data 1990 - 2020'!H669)</f>
        <v>183.62823130000001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>
        <f>SUM('Energy data 1990 - 2020'!D670:E670)</f>
        <v>442.19957292200002</v>
      </c>
      <c r="B670" s="5"/>
      <c r="C670" s="5">
        <f>AVERAGE('Energy data 1990 - 2020'!H670)</f>
        <v>182.85187300000001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>
        <f>SUM('Energy data 1990 - 2020'!D671:E671)</f>
        <v>438.784396012</v>
      </c>
      <c r="B671" s="5"/>
      <c r="C671" s="5">
        <f>AVERAGE('Energy data 1990 - 2020'!H671)</f>
        <v>183.89054039999999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>
        <f>SUM('Energy data 1990 - 2020'!D672:E672)</f>
        <v>434.41568938300003</v>
      </c>
      <c r="B672" s="5"/>
      <c r="C672" s="5">
        <f>AVERAGE('Energy data 1990 - 2020'!H672)</f>
        <v>179.9460498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>
        <f>SUM('Energy data 1990 - 2020'!D673:E673)</f>
        <v>448.18431769800003</v>
      </c>
      <c r="B673" s="5"/>
      <c r="C673" s="5">
        <f>AVERAGE('Energy data 1990 - 2020'!H673)</f>
        <v>178.58552359999999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>
        <f>SUM('Energy data 1990 - 2020'!D674:E674)</f>
        <v>466.74277828600003</v>
      </c>
      <c r="B674" s="5"/>
      <c r="C674" s="5">
        <f>AVERAGE('Energy data 1990 - 2020'!H674)</f>
        <v>187.01090249999999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>
        <f>SUM('Energy data 1990 - 2020'!D675:E675)</f>
        <v>469.39154566999997</v>
      </c>
      <c r="B675" s="5"/>
      <c r="C675" s="5">
        <f>AVERAGE('Energy data 1990 - 2020'!H675)</f>
        <v>191.78635489999999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>
        <f>SUM('Energy data 1990 - 2020'!D676:E676)</f>
        <v>460.83988022599999</v>
      </c>
      <c r="B676" s="5"/>
      <c r="C676" s="5">
        <f>AVERAGE('Energy data 1990 - 2020'!H676)</f>
        <v>192.08378070000001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>
        <f>SUM('Energy data 1990 - 2020'!D677:E677)</f>
        <v>445.94455432899997</v>
      </c>
      <c r="B677" s="5"/>
      <c r="C677" s="5">
        <f>AVERAGE('Energy data 1990 - 2020'!H677)</f>
        <v>188.43245350000001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>
        <f>SUM('Energy data 1990 - 2020'!D678:E678)</f>
        <v>453.71994595699999</v>
      </c>
      <c r="B678" s="5"/>
      <c r="C678" s="5">
        <f>AVERAGE('Energy data 1990 - 2020'!H678)</f>
        <v>184.95851350000001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>
        <f>SUM('Energy data 1990 - 2020'!D679:E679)</f>
        <v>459.75081334399999</v>
      </c>
      <c r="B679" s="5"/>
      <c r="C679" s="5">
        <f>AVERAGE('Energy data 1990 - 2020'!H679)</f>
        <v>184.91896320000001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>
        <f>SUM('Energy data 1990 - 2020'!D680:E680)</f>
        <v>458.84050749099998</v>
      </c>
      <c r="B680" s="5"/>
      <c r="C680" s="5">
        <f>AVERAGE('Energy data 1990 - 2020'!H680)</f>
        <v>180.11821040000001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>
        <f>SUM('Energy data 1990 - 2020'!D681:E681)</f>
        <v>461.026414085</v>
      </c>
      <c r="B681" s="5"/>
      <c r="C681" s="5">
        <f>AVERAGE('Energy data 1990 - 2020'!H681)</f>
        <v>180.6629652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>
        <f>SUM('Energy data 1990 - 2020'!D682:E682)</f>
        <v>443.906231827</v>
      </c>
      <c r="B682" s="5"/>
      <c r="C682" s="5">
        <f>AVERAGE('Energy data 1990 - 2020'!H682)</f>
        <v>175.8605455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>
        <f>SUM('Energy data 1990 - 2020'!D683:E683)</f>
        <v>372.96711641299999</v>
      </c>
      <c r="B683" s="5"/>
      <c r="C683" s="5">
        <f>AVERAGE('Energy data 1990 - 2020'!H683)</f>
        <v>151.1953025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>
        <f>SUM('Energy data 1990 - 2020'!D684:E684)</f>
        <v>165.794065797</v>
      </c>
      <c r="B684" s="5"/>
      <c r="C684" s="5">
        <f>AVERAGE('Energy data 1990 - 2020'!H684)</f>
        <v>66.518524369999994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>
        <f>SUM('Energy data 1990 - 2020'!D685:E685)</f>
        <v>172.845019224</v>
      </c>
      <c r="B685" s="5"/>
      <c r="C685" s="5">
        <f>AVERAGE('Energy data 1990 - 2020'!H685)</f>
        <v>69.106099360000002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>
        <f>SUM('Energy data 1990 - 2020'!D686:E686)</f>
        <v>171.04882058799998</v>
      </c>
      <c r="B686" s="5"/>
      <c r="C686" s="5">
        <f>AVERAGE('Energy data 1990 - 2020'!H686)</f>
        <v>68.55227927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>
        <f>SUM('Energy data 1990 - 2020'!D687:E687)</f>
        <v>176.01414054999998</v>
      </c>
      <c r="B687" s="5"/>
      <c r="C687" s="5">
        <f>AVERAGE('Energy data 1990 - 2020'!H687)</f>
        <v>70.028721579999996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>
        <f>SUM('Energy data 1990 - 2020'!D688:E688)</f>
        <v>176.72303871899999</v>
      </c>
      <c r="B688" s="5"/>
      <c r="C688" s="5">
        <f>AVERAGE('Energy data 1990 - 2020'!H688)</f>
        <v>70.260711599999993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>
        <f>SUM('Energy data 1990 - 2020'!D689:E689)</f>
        <v>181.84670769600001</v>
      </c>
      <c r="B689" s="5"/>
      <c r="C689" s="5">
        <f>AVERAGE('Energy data 1990 - 2020'!H689)</f>
        <v>73.155972930000004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>
        <f>SUM('Energy data 1990 - 2020'!D690:E690)</f>
        <v>191.067353005</v>
      </c>
      <c r="B690" s="5"/>
      <c r="C690" s="5">
        <f>AVERAGE('Energy data 1990 - 2020'!H690)</f>
        <v>76.872735579999997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>
        <f>SUM('Energy data 1990 - 2020'!D691:E691)</f>
        <v>185.739014411</v>
      </c>
      <c r="B691" s="5"/>
      <c r="C691" s="5">
        <f>AVERAGE('Energy data 1990 - 2020'!H691)</f>
        <v>74.756654339999997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>
        <f>SUM('Energy data 1990 - 2020'!D692:E692)</f>
        <v>186.050035544</v>
      </c>
      <c r="B692" s="5"/>
      <c r="C692" s="5">
        <f>AVERAGE('Energy data 1990 - 2020'!H692)</f>
        <v>75.310551840000002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>
        <f>SUM('Energy data 1990 - 2020'!D693:E693)</f>
        <v>180.88954491999999</v>
      </c>
      <c r="B693" s="5"/>
      <c r="C693" s="5">
        <f>AVERAGE('Energy data 1990 - 2020'!H693)</f>
        <v>74.084249880000002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>
        <f>SUM('Energy data 1990 - 2020'!D694:E694)</f>
        <v>181.91774824399999</v>
      </c>
      <c r="B694" s="5"/>
      <c r="C694" s="5">
        <f>AVERAGE('Energy data 1990 - 2020'!H694)</f>
        <v>74.777678440000003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>
        <f>SUM('Energy data 1990 - 2020'!D695:E695)</f>
        <v>186.68973613400001</v>
      </c>
      <c r="B695" s="5"/>
      <c r="C695" s="5">
        <f>AVERAGE('Energy data 1990 - 2020'!H695)</f>
        <v>76.754547389999999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>
        <f>SUM('Energy data 1990 - 2020'!D696:E696)</f>
        <v>188.717459569</v>
      </c>
      <c r="B696" s="5"/>
      <c r="C696" s="5">
        <f>AVERAGE('Energy data 1990 - 2020'!H696)</f>
        <v>77.58906168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>
        <f>SUM('Energy data 1990 - 2020'!D697:E697)</f>
        <v>191.80539538299999</v>
      </c>
      <c r="B697" s="5"/>
      <c r="C697" s="5">
        <f>AVERAGE('Energy data 1990 - 2020'!H697)</f>
        <v>80.468898490000001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>
        <f>SUM('Energy data 1990 - 2020'!D698:E698)</f>
        <v>193.729781901</v>
      </c>
      <c r="B698" s="5"/>
      <c r="C698" s="5">
        <f>AVERAGE('Energy data 1990 - 2020'!H698)</f>
        <v>81.17859412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>
        <f>SUM('Energy data 1990 - 2020'!D699:E699)</f>
        <v>190.523461776</v>
      </c>
      <c r="B699" s="5"/>
      <c r="C699" s="5">
        <f>AVERAGE('Energy data 1990 - 2020'!H699)</f>
        <v>79.918798050000007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>
        <f>SUM('Energy data 1990 - 2020'!D700:E700)</f>
        <v>185.85375034699999</v>
      </c>
      <c r="B700" s="5"/>
      <c r="C700" s="5">
        <f>AVERAGE('Energy data 1990 - 2020'!H700)</f>
        <v>79.128580200000002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>
        <f>SUM('Energy data 1990 - 2020'!D701:E701)</f>
        <v>186.381345219</v>
      </c>
      <c r="B701" s="5"/>
      <c r="C701" s="5">
        <f>AVERAGE('Energy data 1990 - 2020'!H701)</f>
        <v>78.835447009999996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>
        <f>SUM('Energy data 1990 - 2020'!D702:E702)</f>
        <v>185.826059644</v>
      </c>
      <c r="B702" s="5"/>
      <c r="C702" s="5">
        <f>AVERAGE('Energy data 1990 - 2020'!H702)</f>
        <v>78.202794650000001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>
        <f>SUM('Energy data 1990 - 2020'!D703:E703)</f>
        <v>180.47604253400002</v>
      </c>
      <c r="B703" s="5"/>
      <c r="C703" s="5">
        <f>AVERAGE('Energy data 1990 - 2020'!H703)</f>
        <v>77.129887499999995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>
        <f>SUM('Energy data 1990 - 2020'!D704:E704)</f>
        <v>193.10285530499999</v>
      </c>
      <c r="B704" s="5"/>
      <c r="C704" s="5">
        <f>AVERAGE('Energy data 1990 - 2020'!H704)</f>
        <v>82.727987909999996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>
        <f>SUM('Energy data 1990 - 2020'!D705:E705)</f>
        <v>180.83398677</v>
      </c>
      <c r="B705" s="5"/>
      <c r="C705" s="5">
        <f>AVERAGE('Energy data 1990 - 2020'!H705)</f>
        <v>76.988588789999994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>
        <f>SUM('Energy data 1990 - 2020'!D706:E706)</f>
        <v>179.070400127</v>
      </c>
      <c r="B706" s="5"/>
      <c r="C706" s="5">
        <f>AVERAGE('Energy data 1990 - 2020'!H706)</f>
        <v>77.062344940000003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>
        <f>SUM('Energy data 1990 - 2020'!D707:E707)</f>
        <v>177.514566014</v>
      </c>
      <c r="B707" s="5"/>
      <c r="C707" s="5">
        <f>AVERAGE('Energy data 1990 - 2020'!H707)</f>
        <v>75.432025940000003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>
        <f>SUM('Energy data 1990 - 2020'!D708:E708)</f>
        <v>170.733434991</v>
      </c>
      <c r="B708" s="5"/>
      <c r="C708" s="5">
        <f>AVERAGE('Energy data 1990 - 2020'!H708)</f>
        <v>71.095786799999999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>
        <f>SUM('Energy data 1990 - 2020'!D709:E709)</f>
        <v>177.95694693200002</v>
      </c>
      <c r="B709" s="5"/>
      <c r="C709" s="5">
        <f>AVERAGE('Energy data 1990 - 2020'!H709)</f>
        <v>72.082838100000004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>
        <f>SUM('Energy data 1990 - 2020'!D710:E710)</f>
        <v>178.007156286</v>
      </c>
      <c r="B710" s="5"/>
      <c r="C710" s="5">
        <f>AVERAGE('Energy data 1990 - 2020'!H710)</f>
        <v>73.593110879999998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>
        <f>SUM('Energy data 1990 - 2020'!D711:E711)</f>
        <v>175.963864094</v>
      </c>
      <c r="B711" s="5"/>
      <c r="C711" s="5">
        <f>AVERAGE('Energy data 1990 - 2020'!H711)</f>
        <v>74.249363689999996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>
        <f>SUM('Energy data 1990 - 2020'!D712:E712)</f>
        <v>169.21983092300002</v>
      </c>
      <c r="B712" s="5"/>
      <c r="C712" s="5">
        <f>AVERAGE('Energy data 1990 - 2020'!H712)</f>
        <v>72.94751814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>
        <f>SUM('Energy data 1990 - 2020'!D713:E713)</f>
        <v>162.628259544</v>
      </c>
      <c r="B713" s="5"/>
      <c r="C713" s="5">
        <f>AVERAGE('Energy data 1990 - 2020'!H713)</f>
        <v>71.671518800000001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>
        <f>SUM('Energy data 1990 - 2020'!D714:E714)</f>
        <v>153.62665777999999</v>
      </c>
      <c r="B714" s="5"/>
      <c r="C714" s="5">
        <f>AVERAGE('Energy data 1990 - 2020'!H714)</f>
        <v>69.930630379999997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>
        <f>SUM('Energy data 1990 - 2020'!D715:E715)</f>
        <v>23.205904416000003</v>
      </c>
      <c r="B715" s="5"/>
      <c r="C715" s="5">
        <f>AVERAGE('Energy data 1990 - 2020'!H715)</f>
        <v>13.63742873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>
        <f>SUM('Energy data 1990 - 2020'!D716:E716)</f>
        <v>23.772114469999998</v>
      </c>
      <c r="B716" s="5"/>
      <c r="C716" s="5">
        <f>AVERAGE('Energy data 1990 - 2020'!H716)</f>
        <v>13.823731009999999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>
        <f>SUM('Energy data 1990 - 2020'!D717:E717)</f>
        <v>25.375475321</v>
      </c>
      <c r="B717" s="5"/>
      <c r="C717" s="5">
        <f>AVERAGE('Energy data 1990 - 2020'!H717)</f>
        <v>14.27494038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>
        <f>SUM('Energy data 1990 - 2020'!D718:E718)</f>
        <v>24.997022259000001</v>
      </c>
      <c r="B718" s="5"/>
      <c r="C718" s="5">
        <f>AVERAGE('Energy data 1990 - 2020'!H718)</f>
        <v>14.944148950000001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>
        <f>SUM('Energy data 1990 - 2020'!D719:E719)</f>
        <v>25.552580728999999</v>
      </c>
      <c r="B719" s="5"/>
      <c r="C719" s="5">
        <f>AVERAGE('Energy data 1990 - 2020'!H719)</f>
        <v>15.315868930000001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>
        <f>SUM('Energy data 1990 - 2020'!D720:E720)</f>
        <v>25.968804916</v>
      </c>
      <c r="B720" s="5"/>
      <c r="C720" s="5">
        <f>AVERAGE('Energy data 1990 - 2020'!H720)</f>
        <v>15.345825469999999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>
        <f>SUM('Energy data 1990 - 2020'!D721:E721)</f>
        <v>27.503859609999999</v>
      </c>
      <c r="B721" s="5"/>
      <c r="C721" s="5">
        <f>AVERAGE('Energy data 1990 - 2020'!H721)</f>
        <v>15.75612999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>
        <f>SUM('Energy data 1990 - 2020'!D722:E722)</f>
        <v>29.96322782</v>
      </c>
      <c r="B722" s="5"/>
      <c r="C722" s="5">
        <f>AVERAGE('Energy data 1990 - 2020'!H722)</f>
        <v>16.280399840000001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>
        <f>SUM('Energy data 1990 - 2020'!D723:E723)</f>
        <v>29.072491785</v>
      </c>
      <c r="B723" s="5"/>
      <c r="C723" s="5">
        <f>AVERAGE('Energy data 1990 - 2020'!H723)</f>
        <v>16.052354220000002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>
        <f>SUM('Energy data 1990 - 2020'!D724:E724)</f>
        <v>30.696692307999999</v>
      </c>
      <c r="B724" s="5"/>
      <c r="C724" s="5">
        <f>AVERAGE('Energy data 1990 - 2020'!H724)</f>
        <v>16.69571599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>
        <f>SUM('Energy data 1990 - 2020'!D725:E725)</f>
        <v>31.841252960000002</v>
      </c>
      <c r="B725" s="5"/>
      <c r="C725" s="5">
        <f>AVERAGE('Energy data 1990 - 2020'!H725)</f>
        <v>17.268540810000001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>
        <f>SUM('Energy data 1990 - 2020'!D726:E726)</f>
        <v>33.753273741999998</v>
      </c>
      <c r="B726" s="5"/>
      <c r="C726" s="5">
        <f>AVERAGE('Energy data 1990 - 2020'!H726)</f>
        <v>17.29457549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>
        <f>SUM('Energy data 1990 - 2020'!D727:E727)</f>
        <v>33.827728962999998</v>
      </c>
      <c r="B727" s="5"/>
      <c r="C727" s="5">
        <f>AVERAGE('Energy data 1990 - 2020'!H727)</f>
        <v>17.307020470000001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>
        <f>SUM('Energy data 1990 - 2020'!D728:E728)</f>
        <v>34.442834411</v>
      </c>
      <c r="B728" s="5"/>
      <c r="C728" s="5">
        <f>AVERAGE('Energy data 1990 - 2020'!H728)</f>
        <v>17.096032090000001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>
        <f>SUM('Energy data 1990 - 2020'!D729:E729)</f>
        <v>34.129464595000002</v>
      </c>
      <c r="B729" s="5"/>
      <c r="C729" s="5">
        <f>AVERAGE('Energy data 1990 - 2020'!H729)</f>
        <v>17.550675290000001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>
        <f>SUM('Energy data 1990 - 2020'!D730:E730)</f>
        <v>34.908373778999994</v>
      </c>
      <c r="B730" s="5"/>
      <c r="C730" s="5">
        <f>AVERAGE('Energy data 1990 - 2020'!H730)</f>
        <v>17.133896100000001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>
        <f>SUM('Energy data 1990 - 2020'!D731:E731)</f>
        <v>35.041466888000002</v>
      </c>
      <c r="B731" s="5"/>
      <c r="C731" s="5">
        <f>AVERAGE('Energy data 1990 - 2020'!H731)</f>
        <v>17.136771769999999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>
        <f>SUM('Energy data 1990 - 2020'!D732:E732)</f>
        <v>33.792191391999999</v>
      </c>
      <c r="B732" s="5"/>
      <c r="C732" s="5">
        <f>AVERAGE('Energy data 1990 - 2020'!H732)</f>
        <v>17.336978200000001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>
        <f>SUM('Energy data 1990 - 2020'!D733:E733)</f>
        <v>34.911108659</v>
      </c>
      <c r="B733" s="5"/>
      <c r="C733" s="5">
        <f>AVERAGE('Energy data 1990 - 2020'!H733)</f>
        <v>17.59132636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>
        <f>SUM('Energy data 1990 - 2020'!D734:E734)</f>
        <v>31.977563075000003</v>
      </c>
      <c r="B734" s="5"/>
      <c r="C734" s="5">
        <f>AVERAGE('Energy data 1990 - 2020'!H734)</f>
        <v>17.701244930000001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>
        <f>SUM('Energy data 1990 - 2020'!D735:E735)</f>
        <v>31.611969048999999</v>
      </c>
      <c r="B735" s="5"/>
      <c r="C735" s="5">
        <f>AVERAGE('Energy data 1990 - 2020'!H735)</f>
        <v>18.542039330000001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>
        <f>SUM('Energy data 1990 - 2020'!D736:E736)</f>
        <v>30.870691218000001</v>
      </c>
      <c r="B736" s="5"/>
      <c r="C736" s="5">
        <f>AVERAGE('Energy data 1990 - 2020'!H736)</f>
        <v>18.442925519999999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>
        <f>SUM('Energy data 1990 - 2020'!D737:E737)</f>
        <v>32.718130940000002</v>
      </c>
      <c r="B737" s="5"/>
      <c r="C737" s="5">
        <f>AVERAGE('Energy data 1990 - 2020'!H737)</f>
        <v>19.37849533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>
        <f>SUM('Energy data 1990 - 2020'!D738:E738)</f>
        <v>32.853793062000001</v>
      </c>
      <c r="B738" s="5"/>
      <c r="C738" s="5">
        <f>AVERAGE('Energy data 1990 - 2020'!H738)</f>
        <v>19.492441199999998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>
        <f>SUM('Energy data 1990 - 2020'!D739:E739)</f>
        <v>33.451952783999999</v>
      </c>
      <c r="B739" s="5"/>
      <c r="C739" s="5">
        <f>AVERAGE('Energy data 1990 - 2020'!H739)</f>
        <v>20.545866660000002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>
        <f>SUM('Energy data 1990 - 2020'!D740:E740)</f>
        <v>33.191720025000002</v>
      </c>
      <c r="B740" s="5"/>
      <c r="C740" s="5">
        <f>AVERAGE('Energy data 1990 - 2020'!H740)</f>
        <v>20.79174205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>
        <f>SUM('Energy data 1990 - 2020'!D741:E741)</f>
        <v>32.740683269999998</v>
      </c>
      <c r="B741" s="5"/>
      <c r="C741" s="5">
        <f>AVERAGE('Energy data 1990 - 2020'!H741)</f>
        <v>20.553965340000001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>
        <f>SUM('Energy data 1990 - 2020'!D742:E742)</f>
        <v>34.315660158</v>
      </c>
      <c r="B742" s="5"/>
      <c r="C742" s="5">
        <f>AVERAGE('Energy data 1990 - 2020'!H742)</f>
        <v>20.6823932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>
        <f>SUM('Energy data 1990 - 2020'!D743:E743)</f>
        <v>33.730341164999999</v>
      </c>
      <c r="B743" s="5"/>
      <c r="C743" s="5">
        <f>AVERAGE('Energy data 1990 - 2020'!H743)</f>
        <v>20.4364253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>
        <f>SUM('Energy data 1990 - 2020'!D744:E744)</f>
        <v>33.631300951</v>
      </c>
      <c r="B744" s="5"/>
      <c r="C744" s="5">
        <f>AVERAGE('Energy data 1990 - 2020'!H744)</f>
        <v>20.731565209999999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>
        <f>SUM('Energy data 1990 - 2020'!D745:E745)</f>
        <v>31.448136551999998</v>
      </c>
      <c r="B745" s="5"/>
      <c r="C745" s="5">
        <f>AVERAGE('Energy data 1990 - 2020'!H745)</f>
        <v>20.781018339999999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>
        <f>SUM('Energy data 1990 - 2020'!D746:E746)</f>
        <v>28.74698553</v>
      </c>
      <c r="B746" s="5"/>
      <c r="C746" s="5">
        <f>AVERAGE('Energy data 1990 - 2020'!H746)</f>
        <v>66.432557750000001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>
        <f>SUM('Energy data 1990 - 2020'!D747:E747)</f>
        <v>34.073953637999999</v>
      </c>
      <c r="B747" s="5"/>
      <c r="C747" s="5">
        <f>AVERAGE('Energy data 1990 - 2020'!H747)</f>
        <v>69.616456889999995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>
        <f>SUM('Energy data 1990 - 2020'!D748:E748)</f>
        <v>40.700737730999997</v>
      </c>
      <c r="B748" s="5"/>
      <c r="C748" s="5">
        <f>AVERAGE('Energy data 1990 - 2020'!H748)</f>
        <v>72.367705709999996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>
        <f>SUM('Energy data 1990 - 2020'!D749:E749)</f>
        <v>37.138116609000001</v>
      </c>
      <c r="B749" s="5"/>
      <c r="C749" s="5">
        <f>AVERAGE('Energy data 1990 - 2020'!H749)</f>
        <v>73.529783660000007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>
        <f>SUM('Energy data 1990 - 2020'!D750:E750)</f>
        <v>31.280010599000001</v>
      </c>
      <c r="B750" s="5"/>
      <c r="C750" s="5">
        <f>AVERAGE('Energy data 1990 - 2020'!H750)</f>
        <v>71.725939710000006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>
        <f>SUM('Energy data 1990 - 2020'!D751:E751)</f>
        <v>33.655764084000005</v>
      </c>
      <c r="B751" s="5"/>
      <c r="C751" s="5">
        <f>AVERAGE('Energy data 1990 - 2020'!H751)</f>
        <v>72.972322439999999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>
        <f>SUM('Energy data 1990 - 2020'!D752:E752)</f>
        <v>37.415576813999998</v>
      </c>
      <c r="B752" s="5"/>
      <c r="C752" s="5">
        <f>AVERAGE('Energy data 1990 - 2020'!H752)</f>
        <v>75.949552699999998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>
        <f>SUM('Energy data 1990 - 2020'!D753:E753)</f>
        <v>42.110007469999999</v>
      </c>
      <c r="B753" s="5"/>
      <c r="C753" s="5">
        <f>AVERAGE('Energy data 1990 - 2020'!H753)</f>
        <v>79.075669770000005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>
        <f>SUM('Energy data 1990 - 2020'!D754:E754)</f>
        <v>38.101826404000001</v>
      </c>
      <c r="B754" s="5"/>
      <c r="C754" s="5">
        <f>AVERAGE('Energy data 1990 - 2020'!H754)</f>
        <v>80.023319380000004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>
        <f>SUM('Energy data 1990 - 2020'!D755:E755)</f>
        <v>39.941120126999998</v>
      </c>
      <c r="B755" s="5"/>
      <c r="C755" s="5">
        <f>AVERAGE('Energy data 1990 - 2020'!H755)</f>
        <v>82.684092750000005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>
        <f>SUM('Energy data 1990 - 2020'!D756:E756)</f>
        <v>44.500143426000001</v>
      </c>
      <c r="B756" s="5"/>
      <c r="C756" s="5">
        <f>AVERAGE('Energy data 1990 - 2020'!H756)</f>
        <v>87.068259330000004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>
        <f>SUM('Energy data 1990 - 2020'!D757:E757)</f>
        <v>50.208536703</v>
      </c>
      <c r="B757" s="5"/>
      <c r="C757" s="5">
        <f>AVERAGE('Energy data 1990 - 2020'!H757)</f>
        <v>90.761393209999994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>
        <f>SUM('Energy data 1990 - 2020'!D758:E758)</f>
        <v>51.909203140999999</v>
      </c>
      <c r="B758" s="5"/>
      <c r="C758" s="5">
        <f>AVERAGE('Energy data 1990 - 2020'!H758)</f>
        <v>93.523711719999994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>
        <f>SUM('Energy data 1990 - 2020'!D759:E759)</f>
        <v>56.188448606000001</v>
      </c>
      <c r="B759" s="5"/>
      <c r="C759" s="5">
        <f>AVERAGE('Energy data 1990 - 2020'!H759)</f>
        <v>98.046422210000003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>
        <f>SUM('Energy data 1990 - 2020'!D760:E760)</f>
        <v>56.441066037999995</v>
      </c>
      <c r="B760" s="5"/>
      <c r="C760" s="5">
        <f>AVERAGE('Energy data 1990 - 2020'!H760)</f>
        <v>99.476294289999998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>
        <f>SUM('Energy data 1990 - 2020'!D761:E761)</f>
        <v>58.912966621999999</v>
      </c>
      <c r="B761" s="5"/>
      <c r="C761" s="5">
        <f>AVERAGE('Energy data 1990 - 2020'!H761)</f>
        <v>105.24706020000001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>
        <f>SUM('Energy data 1990 - 2020'!D762:E762)</f>
        <v>53.627859686999997</v>
      </c>
      <c r="B762" s="5"/>
      <c r="C762" s="5">
        <f>AVERAGE('Energy data 1990 - 2020'!H762)</f>
        <v>105.91590909999999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>
        <f>SUM('Energy data 1990 - 2020'!D763:E763)</f>
        <v>49.571687164000004</v>
      </c>
      <c r="B763" s="5"/>
      <c r="C763" s="5">
        <f>AVERAGE('Energy data 1990 - 2020'!H763)</f>
        <v>109.8563613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>
        <f>SUM('Energy data 1990 - 2020'!D764:E764)</f>
        <v>54.534589338000004</v>
      </c>
      <c r="B764" s="5"/>
      <c r="C764" s="5">
        <f>AVERAGE('Energy data 1990 - 2020'!H764)</f>
        <v>113.1661998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>
        <f>SUM('Energy data 1990 - 2020'!D765:E765)</f>
        <v>46.217956262999998</v>
      </c>
      <c r="B765" s="5"/>
      <c r="C765" s="5">
        <f>AVERAGE('Energy data 1990 - 2020'!H765)</f>
        <v>111.089338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>
        <f>SUM('Energy data 1990 - 2020'!D766:E766)</f>
        <v>58.385398590000001</v>
      </c>
      <c r="B766" s="5"/>
      <c r="C766" s="5">
        <f>AVERAGE('Energy data 1990 - 2020'!H766)</f>
        <v>127.3795149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>
        <f>SUM('Energy data 1990 - 2020'!D767:E767)</f>
        <v>68.389590881000004</v>
      </c>
      <c r="B767" s="5"/>
      <c r="C767" s="5">
        <f>AVERAGE('Energy data 1990 - 2020'!H767)</f>
        <v>138.91782069999999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>
        <f>SUM('Energy data 1990 - 2020'!D768:E768)</f>
        <v>72.808085579000007</v>
      </c>
      <c r="B768" s="5"/>
      <c r="C768" s="5">
        <f>AVERAGE('Energy data 1990 - 2020'!H768)</f>
        <v>140.27987379999999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>
        <f>SUM('Energy data 1990 - 2020'!D769:E769)</f>
        <v>83.332574936</v>
      </c>
      <c r="B769" s="5"/>
      <c r="C769" s="5">
        <f>AVERAGE('Energy data 1990 - 2020'!H769)</f>
        <v>142.95344360000001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>
        <f>SUM('Energy data 1990 - 2020'!D770:E770)</f>
        <v>91.967980352000012</v>
      </c>
      <c r="B770" s="5"/>
      <c r="C770" s="5">
        <f>AVERAGE('Energy data 1990 - 2020'!H770)</f>
        <v>146.58443270000001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>
        <f>SUM('Energy data 1990 - 2020'!D771:E771)</f>
        <v>85.528232207000002</v>
      </c>
      <c r="B771" s="5"/>
      <c r="C771" s="5">
        <f>AVERAGE('Energy data 1990 - 2020'!H771)</f>
        <v>145.23527129999999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>
        <f>SUM('Energy data 1990 - 2020'!D772:E772)</f>
        <v>87.009794345000003</v>
      </c>
      <c r="B772" s="5"/>
      <c r="C772" s="5">
        <f>AVERAGE('Energy data 1990 - 2020'!H772)</f>
        <v>149.65477340000001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>
        <f>SUM('Energy data 1990 - 2020'!D773:E773)</f>
        <v>88.717532339999991</v>
      </c>
      <c r="B773" s="5"/>
      <c r="C773" s="5">
        <f>AVERAGE('Energy data 1990 - 2020'!H773)</f>
        <v>152.32782710000001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>
        <f>SUM('Energy data 1990 - 2020'!D774:E774)</f>
        <v>107.335364185</v>
      </c>
      <c r="B774" s="5"/>
      <c r="C774" s="5">
        <f>AVERAGE('Energy data 1990 - 2020'!H774)</f>
        <v>160.0881689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>
        <f>SUM('Energy data 1990 - 2020'!D775:E775)</f>
        <v>89.584070070999999</v>
      </c>
      <c r="B775" s="5"/>
      <c r="C775" s="5">
        <f>AVERAGE('Energy data 1990 - 2020'!H775)</f>
        <v>157.3786432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>
        <f>SUM('Energy data 1990 - 2020'!D776:E776)</f>
        <v>89.924526432000008</v>
      </c>
      <c r="B776" s="5"/>
      <c r="C776" s="5">
        <f>AVERAGE('Energy data 1990 - 2020'!H776)</f>
        <v>158.62593409999999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>
        <f>SUM('Energy data 1990 - 2020'!D777:E777)</f>
        <v>29.202821849999999</v>
      </c>
      <c r="B777" s="5"/>
      <c r="C777" s="5">
        <f>AVERAGE('Energy data 1990 - 2020'!H777)</f>
        <v>21.073016890000002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>
        <f>SUM('Energy data 1990 - 2020'!D778:E778)</f>
        <v>27.598723924999998</v>
      </c>
      <c r="B778" s="5"/>
      <c r="C778" s="5">
        <f>AVERAGE('Energy data 1990 - 2020'!H778)</f>
        <v>21.761135370000002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>
        <f>SUM('Energy data 1990 - 2020'!D779:E779)</f>
        <v>30.595267641</v>
      </c>
      <c r="B779" s="5"/>
      <c r="C779" s="5">
        <f>AVERAGE('Energy data 1990 - 2020'!H779)</f>
        <v>22.121251940000001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>
        <f>SUM('Energy data 1990 - 2020'!D780:E780)</f>
        <v>32.519453784</v>
      </c>
      <c r="B780" s="5"/>
      <c r="C780" s="5">
        <f>AVERAGE('Energy data 1990 - 2020'!H780)</f>
        <v>23.548114569999999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>
        <f>SUM('Energy data 1990 - 2020'!D781:E781)</f>
        <v>34.121648143999998</v>
      </c>
      <c r="B781" s="5"/>
      <c r="C781" s="5">
        <f>AVERAGE('Energy data 1990 - 2020'!H781)</f>
        <v>23.056646780000001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>
        <f>SUM('Energy data 1990 - 2020'!D782:E782)</f>
        <v>33.504196147000002</v>
      </c>
      <c r="B782" s="5"/>
      <c r="C782" s="5">
        <f>AVERAGE('Energy data 1990 - 2020'!H782)</f>
        <v>23.508148649999999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>
        <f>SUM('Energy data 1990 - 2020'!D783:E783)</f>
        <v>34.453673287000001</v>
      </c>
      <c r="B783" s="5"/>
      <c r="C783" s="5">
        <f>AVERAGE('Energy data 1990 - 2020'!H783)</f>
        <v>22.797611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>
        <f>SUM('Energy data 1990 - 2020'!D784:E784)</f>
        <v>36.192325251</v>
      </c>
      <c r="B784" s="5"/>
      <c r="C784" s="5">
        <f>AVERAGE('Energy data 1990 - 2020'!H784)</f>
        <v>24.16826395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>
        <f>SUM('Energy data 1990 - 2020'!D785:E785)</f>
        <v>37.858485767999994</v>
      </c>
      <c r="B785" s="5"/>
      <c r="C785" s="5">
        <f>AVERAGE('Energy data 1990 - 2020'!H785)</f>
        <v>25.198229640000001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>
        <f>SUM('Energy data 1990 - 2020'!D786:E786)</f>
        <v>39.159851959000001</v>
      </c>
      <c r="B786" s="5"/>
      <c r="C786" s="5">
        <f>AVERAGE('Energy data 1990 - 2020'!H786)</f>
        <v>26.390258280000001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>
        <f>SUM('Energy data 1990 - 2020'!D787:E787)</f>
        <v>34.290174127</v>
      </c>
      <c r="B787" s="5"/>
      <c r="C787" s="5">
        <f>AVERAGE('Energy data 1990 - 2020'!H787)</f>
        <v>26.167428430000001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>
        <f>SUM('Energy data 1990 - 2020'!D788:E788)</f>
        <v>35.638583791999999</v>
      </c>
      <c r="B788" s="5"/>
      <c r="C788" s="5">
        <f>AVERAGE('Energy data 1990 - 2020'!H788)</f>
        <v>26.882828140000001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>
        <f>SUM('Energy data 1990 - 2020'!D789:E789)</f>
        <v>35.371973761</v>
      </c>
      <c r="B789" s="5"/>
      <c r="C789" s="5">
        <f>AVERAGE('Energy data 1990 - 2020'!H789)</f>
        <v>25.195582389999998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>
        <f>SUM('Energy data 1990 - 2020'!D790:E790)</f>
        <v>38.182778085000002</v>
      </c>
      <c r="B790" s="5"/>
      <c r="C790" s="5">
        <f>AVERAGE('Energy data 1990 - 2020'!H790)</f>
        <v>27.314188590000001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>
        <f>SUM('Energy data 1990 - 2020'!D791:E791)</f>
        <v>38.587789672</v>
      </c>
      <c r="B791" s="5"/>
      <c r="C791" s="5">
        <f>AVERAGE('Energy data 1990 - 2020'!H791)</f>
        <v>26.74792128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>
        <f>SUM('Energy data 1990 - 2020'!D792:E792)</f>
        <v>38.161306570000001</v>
      </c>
      <c r="B792" s="5"/>
      <c r="C792" s="5">
        <f>AVERAGE('Energy data 1990 - 2020'!H792)</f>
        <v>27.09503462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>
        <f>SUM('Energy data 1990 - 2020'!D793:E793)</f>
        <v>38.606455029000003</v>
      </c>
      <c r="B793" s="5"/>
      <c r="C793" s="5">
        <f>AVERAGE('Energy data 1990 - 2020'!H793)</f>
        <v>27.466735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>
        <f>SUM('Energy data 1990 - 2020'!D794:E794)</f>
        <v>39.056209853000006</v>
      </c>
      <c r="B794" s="5"/>
      <c r="C794" s="5">
        <f>AVERAGE('Energy data 1990 - 2020'!H794)</f>
        <v>27.881451030000001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>
        <f>SUM('Energy data 1990 - 2020'!D795:E795)</f>
        <v>38.414893449000004</v>
      </c>
      <c r="B795" s="5"/>
      <c r="C795" s="5">
        <f>AVERAGE('Energy data 1990 - 2020'!H795)</f>
        <v>32.394051140000002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>
        <f>SUM('Energy data 1990 - 2020'!D796:E796)</f>
        <v>38.512444541999997</v>
      </c>
      <c r="B796" s="5"/>
      <c r="C796" s="5">
        <f>AVERAGE('Energy data 1990 - 2020'!H796)</f>
        <v>31.613000809999999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>
        <f>SUM('Energy data 1990 - 2020'!D797:E797)</f>
        <v>43.324984104999999</v>
      </c>
      <c r="B797" s="5"/>
      <c r="C797" s="5">
        <f>AVERAGE('Energy data 1990 - 2020'!H797)</f>
        <v>32.730925730000003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>
        <f>SUM('Energy data 1990 - 2020'!D798:E798)</f>
        <v>41.645894501999997</v>
      </c>
      <c r="B798" s="5"/>
      <c r="C798" s="5">
        <f>AVERAGE('Energy data 1990 - 2020'!H798)</f>
        <v>28.376597919999998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>
        <f>SUM('Energy data 1990 - 2020'!D799:E799)</f>
        <v>40.057389469999997</v>
      </c>
      <c r="B799" s="5"/>
      <c r="C799" s="5">
        <f>AVERAGE('Energy data 1990 - 2020'!H799)</f>
        <v>30.807629689999999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>
        <f>SUM('Energy data 1990 - 2020'!D800:E800)</f>
        <v>39.816708726000002</v>
      </c>
      <c r="B800" s="5"/>
      <c r="C800" s="5">
        <f>AVERAGE('Energy data 1990 - 2020'!H800)</f>
        <v>32.822358129999998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>
        <f>SUM('Energy data 1990 - 2020'!D801:E801)</f>
        <v>40.256567140000001</v>
      </c>
      <c r="B801" s="5"/>
      <c r="C801" s="5">
        <f>AVERAGE('Energy data 1990 - 2020'!H801)</f>
        <v>28.957173260000001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>
        <f>SUM('Energy data 1990 - 2020'!D802:E802)</f>
        <v>40.449346237999997</v>
      </c>
      <c r="B802" s="5"/>
      <c r="C802" s="5">
        <f>AVERAGE('Energy data 1990 - 2020'!H802)</f>
        <v>29.567228270000001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>
        <f>SUM('Energy data 1990 - 2020'!D803:E803)</f>
        <v>39.504594048000001</v>
      </c>
      <c r="B803" s="5"/>
      <c r="C803" s="5">
        <f>AVERAGE('Energy data 1990 - 2020'!H803)</f>
        <v>28.534659220000002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>
        <f>SUM('Energy data 1990 - 2020'!D804:E804)</f>
        <v>39.074965318000004</v>
      </c>
      <c r="B804" s="5"/>
      <c r="C804" s="5">
        <f>AVERAGE('Energy data 1990 - 2020'!H804)</f>
        <v>30.05704484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>
        <f>SUM('Energy data 1990 - 2020'!D805:E805)</f>
        <v>39.350426789000004</v>
      </c>
      <c r="B805" s="5"/>
      <c r="C805" s="5">
        <f>AVERAGE('Energy data 1990 - 2020'!H805)</f>
        <v>28.762717859999999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>
        <f>SUM('Energy data 1990 - 2020'!D806:E806)</f>
        <v>39.479207340999999</v>
      </c>
      <c r="B806" s="5"/>
      <c r="C806" s="5">
        <f>AVERAGE('Energy data 1990 - 2020'!H806)</f>
        <v>28.135697799999999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>
        <f>SUM('Energy data 1990 - 2020'!D807:E807)</f>
        <v>36.211950784999999</v>
      </c>
      <c r="B807" s="5"/>
      <c r="C807" s="5">
        <f>AVERAGE('Energy data 1990 - 2020'!H807)</f>
        <v>27.085982680000001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>
        <f>SUM('Energy data 1990 - 2020'!D808:E808)</f>
        <v>359.17661690900002</v>
      </c>
      <c r="B808" s="5"/>
      <c r="C808" s="5">
        <f>AVERAGE('Energy data 1990 - 2020'!H808)</f>
        <v>103.1092184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>
        <f>SUM('Energy data 1990 - 2020'!D809:E809)</f>
        <v>357.49170395699997</v>
      </c>
      <c r="B809" s="5"/>
      <c r="C809" s="5">
        <f>AVERAGE('Energy data 1990 - 2020'!H809)</f>
        <v>100.9802713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>
        <f>SUM('Energy data 1990 - 2020'!D810:E810)</f>
        <v>348.85223079999997</v>
      </c>
      <c r="B810" s="5"/>
      <c r="C810" s="5">
        <f>AVERAGE('Energy data 1990 - 2020'!H810)</f>
        <v>98.557176979999994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>
        <f>SUM('Energy data 1990 - 2020'!D811:E811)</f>
        <v>348.72046189000002</v>
      </c>
      <c r="B811" s="5"/>
      <c r="C811" s="5">
        <f>AVERAGE('Energy data 1990 - 2020'!H811)</f>
        <v>100.95193999999999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>
        <f>SUM('Energy data 1990 - 2020'!D812:E812)</f>
        <v>341.894828539</v>
      </c>
      <c r="B812" s="5"/>
      <c r="C812" s="5">
        <f>AVERAGE('Energy data 1990 - 2020'!H812)</f>
        <v>96.212505030000003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>
        <f>SUM('Energy data 1990 - 2020'!D813:E813)</f>
        <v>342.35042812299997</v>
      </c>
      <c r="B813" s="5"/>
      <c r="C813" s="5">
        <f>AVERAGE('Energy data 1990 - 2020'!H813)</f>
        <v>99.497194359999995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>
        <f>SUM('Energy data 1990 - 2020'!D814:E814)</f>
        <v>356.82710204499995</v>
      </c>
      <c r="B814" s="5"/>
      <c r="C814" s="5">
        <f>AVERAGE('Energy data 1990 - 2020'!H814)</f>
        <v>103.5272956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>
        <f>SUM('Energy data 1990 - 2020'!D815:E815)</f>
        <v>346.24646055699998</v>
      </c>
      <c r="B815" s="5"/>
      <c r="C815" s="5">
        <f>AVERAGE('Energy data 1990 - 2020'!H815)</f>
        <v>102.2087088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>
        <f>SUM('Energy data 1990 - 2020'!D816:E816)</f>
        <v>320.62558152000003</v>
      </c>
      <c r="B816" s="5"/>
      <c r="C816" s="5">
        <f>AVERAGE('Energy data 1990 - 2020'!H816)</f>
        <v>95.330835960000002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>
        <f>SUM('Energy data 1990 - 2020'!D817:E817)</f>
        <v>312.24744642399997</v>
      </c>
      <c r="B817" s="5"/>
      <c r="C817" s="5">
        <f>AVERAGE('Energy data 1990 - 2020'!H817)</f>
        <v>92.803068949999997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>
        <f>SUM('Energy data 1990 - 2020'!D818:E818)</f>
        <v>299.22690209300004</v>
      </c>
      <c r="B818" s="5"/>
      <c r="C818" s="5">
        <f>AVERAGE('Energy data 1990 - 2020'!H818)</f>
        <v>88.93732206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>
        <f>SUM('Energy data 1990 - 2020'!D819:E819)</f>
        <v>298.79090510200001</v>
      </c>
      <c r="B819" s="5"/>
      <c r="C819" s="5">
        <f>AVERAGE('Energy data 1990 - 2020'!H819)</f>
        <v>89.540478840000006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>
        <f>SUM('Energy data 1990 - 2020'!D820:E820)</f>
        <v>292.11609550899999</v>
      </c>
      <c r="B820" s="5"/>
      <c r="C820" s="5">
        <f>AVERAGE('Energy data 1990 - 2020'!H820)</f>
        <v>88.664360569999999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>
        <f>SUM('Energy data 1990 - 2020'!D821:E821)</f>
        <v>304.482536224</v>
      </c>
      <c r="B821" s="5"/>
      <c r="C821" s="5">
        <f>AVERAGE('Energy data 1990 - 2020'!H821)</f>
        <v>90.895009139999999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>
        <f>SUM('Energy data 1990 - 2020'!D822:E822)</f>
        <v>306.88444115999999</v>
      </c>
      <c r="B822" s="5"/>
      <c r="C822" s="5">
        <f>AVERAGE('Energy data 1990 - 2020'!H822)</f>
        <v>91.159278779999994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>
        <f>SUM('Energy data 1990 - 2020'!D823:E823)</f>
        <v>306.95012545999998</v>
      </c>
      <c r="B823" s="5"/>
      <c r="C823" s="5">
        <f>AVERAGE('Energy data 1990 - 2020'!H823)</f>
        <v>92.355721220000007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>
        <f>SUM('Energy data 1990 - 2020'!D824:E824)</f>
        <v>320.02372345100002</v>
      </c>
      <c r="B824" s="5"/>
      <c r="C824" s="5">
        <f>AVERAGE('Energy data 1990 - 2020'!H824)</f>
        <v>97.019785200000001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>
        <f>SUM('Energy data 1990 - 2020'!D825:E825)</f>
        <v>317.576972861</v>
      </c>
      <c r="B825" s="5"/>
      <c r="C825" s="5">
        <f>AVERAGE('Energy data 1990 - 2020'!H825)</f>
        <v>96.55372946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>
        <f>SUM('Energy data 1990 - 2020'!D826:E826)</f>
        <v>314.368017141</v>
      </c>
      <c r="B826" s="5"/>
      <c r="C826" s="5">
        <f>AVERAGE('Energy data 1990 - 2020'!H826)</f>
        <v>98.055175570000003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>
        <f>SUM('Energy data 1990 - 2020'!D827:E827)</f>
        <v>302.69921702700003</v>
      </c>
      <c r="B827" s="5"/>
      <c r="C827" s="5">
        <f>AVERAGE('Energy data 1990 - 2020'!H827)</f>
        <v>94.355568349999999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>
        <f>SUM('Energy data 1990 - 2020'!D828:E828)</f>
        <v>321.17637425300001</v>
      </c>
      <c r="B828" s="5"/>
      <c r="C828" s="5">
        <f>AVERAGE('Energy data 1990 - 2020'!H828)</f>
        <v>100.76303129999999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>
        <f>SUM('Energy data 1990 - 2020'!D829:E829)</f>
        <v>316.61363170499999</v>
      </c>
      <c r="B829" s="5"/>
      <c r="C829" s="5">
        <f>AVERAGE('Energy data 1990 - 2020'!H829)</f>
        <v>101.2523357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>
        <f>SUM('Energy data 1990 - 2020'!D830:E830)</f>
        <v>310.761507747</v>
      </c>
      <c r="B830" s="5"/>
      <c r="C830" s="5">
        <f>AVERAGE('Energy data 1990 - 2020'!H830)</f>
        <v>98.083912850000004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>
        <f>SUM('Energy data 1990 - 2020'!D831:E831)</f>
        <v>307.88081407199996</v>
      </c>
      <c r="B831" s="5"/>
      <c r="C831" s="5">
        <f>AVERAGE('Energy data 1990 - 2020'!H831)</f>
        <v>98.189088139999996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>
        <f>SUM('Energy data 1990 - 2020'!D832:E832)</f>
        <v>294.85907889100002</v>
      </c>
      <c r="B832" s="5"/>
      <c r="C832" s="5">
        <f>AVERAGE('Energy data 1990 - 2020'!H832)</f>
        <v>94.644372230000002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>
        <f>SUM('Energy data 1990 - 2020'!D833:E833)</f>
        <v>299.10582839099999</v>
      </c>
      <c r="B833" s="5"/>
      <c r="C833" s="5">
        <f>AVERAGE('Energy data 1990 - 2020'!H833)</f>
        <v>95.553990139999996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>
        <f>SUM('Energy data 1990 - 2020'!D834:E834)</f>
        <v>309.69522347200001</v>
      </c>
      <c r="B834" s="5"/>
      <c r="C834" s="5">
        <f>AVERAGE('Energy data 1990 - 2020'!H834)</f>
        <v>99.82343324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>
        <f>SUM('Energy data 1990 - 2020'!D835:E835)</f>
        <v>322.53266227099999</v>
      </c>
      <c r="B835" s="5"/>
      <c r="C835" s="5">
        <f>AVERAGE('Energy data 1990 - 2020'!H835)</f>
        <v>104.448409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>
        <f>SUM('Energy data 1990 - 2020'!D836:E836)</f>
        <v>323.15833892400002</v>
      </c>
      <c r="B836" s="5"/>
      <c r="C836" s="5">
        <f>AVERAGE('Energy data 1990 - 2020'!H836)</f>
        <v>106.4674236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>
        <f>SUM('Energy data 1990 - 2020'!D837:E837)</f>
        <v>304.81245117899999</v>
      </c>
      <c r="B837" s="5"/>
      <c r="C837" s="5">
        <f>AVERAGE('Energy data 1990 - 2020'!H837)</f>
        <v>103.3973045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>
        <f>SUM('Energy data 1990 - 2020'!D838:E838)</f>
        <v>280.88526512999999</v>
      </c>
      <c r="B838" s="5"/>
      <c r="C838" s="5">
        <f>AVERAGE('Energy data 1990 - 2020'!H838)</f>
        <v>97.4709565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>
        <f>SUM('Energy data 1990 - 2020'!D839:E839)</f>
        <v>42.158827897000002</v>
      </c>
      <c r="B839" s="5"/>
      <c r="C839" s="5">
        <f>AVERAGE('Energy data 1990 - 2020'!H839)</f>
        <v>16.780881350000001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>
        <f>SUM('Energy data 1990 - 2020'!D840:E840)</f>
        <v>43.723245788</v>
      </c>
      <c r="B840" s="5"/>
      <c r="C840" s="5">
        <f>AVERAGE('Energy data 1990 - 2020'!H840)</f>
        <v>16.965175200000001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>
        <f>SUM('Energy data 1990 - 2020'!D841:E841)</f>
        <v>47.646403666000005</v>
      </c>
      <c r="B841" s="5"/>
      <c r="C841" s="5">
        <f>AVERAGE('Energy data 1990 - 2020'!H841)</f>
        <v>18.049651520000001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>
        <f>SUM('Energy data 1990 - 2020'!D842:E842)</f>
        <v>46.327253994000003</v>
      </c>
      <c r="B842" s="5"/>
      <c r="C842" s="5">
        <f>AVERAGE('Energy data 1990 - 2020'!H842)</f>
        <v>17.800523940000001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>
        <f>SUM('Energy data 1990 - 2020'!D843:E843)</f>
        <v>47.762244672999998</v>
      </c>
      <c r="B843" s="5"/>
      <c r="C843" s="5">
        <f>AVERAGE('Energy data 1990 - 2020'!H843)</f>
        <v>18.26122333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>
        <f>SUM('Energy data 1990 - 2020'!D844:E844)</f>
        <v>51.122538143</v>
      </c>
      <c r="B844" s="5"/>
      <c r="C844" s="5">
        <f>AVERAGE('Energy data 1990 - 2020'!H844)</f>
        <v>20.195174919999999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>
        <f>SUM('Energy data 1990 - 2020'!D845:E845)</f>
        <v>49.093089335000002</v>
      </c>
      <c r="B845" s="5"/>
      <c r="C845" s="5">
        <f>AVERAGE('Energy data 1990 - 2020'!H845)</f>
        <v>19.997027559999999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>
        <f>SUM('Energy data 1990 - 2020'!D846:E846)</f>
        <v>51.318804933999999</v>
      </c>
      <c r="B846" s="5"/>
      <c r="C846" s="5">
        <f>AVERAGE('Energy data 1990 - 2020'!H846)</f>
        <v>21.06528767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>
        <f>SUM('Energy data 1990 - 2020'!D847:E847)</f>
        <v>56.101579543999996</v>
      </c>
      <c r="B847" s="5"/>
      <c r="C847" s="5">
        <f>AVERAGE('Energy data 1990 - 2020'!H847)</f>
        <v>22.760097470000002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>
        <f>SUM('Energy data 1990 - 2020'!D848:E848)</f>
        <v>62.676038771999998</v>
      </c>
      <c r="B848" s="5"/>
      <c r="C848" s="5">
        <f>AVERAGE('Energy data 1990 - 2020'!H848)</f>
        <v>24.424467570000001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>
        <f>SUM('Energy data 1990 - 2020'!D849:E849)</f>
        <v>62.139172713000001</v>
      </c>
      <c r="B849" s="5"/>
      <c r="C849" s="5">
        <f>AVERAGE('Energy data 1990 - 2020'!H849)</f>
        <v>24.595328909999999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>
        <f>SUM('Energy data 1990 - 2020'!D850:E850)</f>
        <v>61.645755577999999</v>
      </c>
      <c r="B850" s="5"/>
      <c r="C850" s="5">
        <f>AVERAGE('Energy data 1990 - 2020'!H850)</f>
        <v>24.77982476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>
        <f>SUM('Energy data 1990 - 2020'!D851:E851)</f>
        <v>65.651165906000003</v>
      </c>
      <c r="B851" s="5"/>
      <c r="C851" s="5">
        <f>AVERAGE('Energy data 1990 - 2020'!H851)</f>
        <v>25.816071709999999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>
        <f>SUM('Energy data 1990 - 2020'!D852:E852)</f>
        <v>61.073788559</v>
      </c>
      <c r="B852" s="5"/>
      <c r="C852" s="5">
        <f>AVERAGE('Energy data 1990 - 2020'!H852)</f>
        <v>25.110782010000001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>
        <f>SUM('Energy data 1990 - 2020'!D853:E853)</f>
        <v>62.374931548999996</v>
      </c>
      <c r="B853" s="5"/>
      <c r="C853" s="5">
        <f>AVERAGE('Energy data 1990 - 2020'!H853)</f>
        <v>25.818704700000001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>
        <f>SUM('Energy data 1990 - 2020'!D854:E854)</f>
        <v>65.577486491000002</v>
      </c>
      <c r="B854" s="5"/>
      <c r="C854" s="5">
        <f>AVERAGE('Energy data 1990 - 2020'!H854)</f>
        <v>26.455863359999999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>
        <f>SUM('Energy data 1990 - 2020'!D855:E855)</f>
        <v>60.182932684000001</v>
      </c>
      <c r="B855" s="5"/>
      <c r="C855" s="5">
        <f>AVERAGE('Energy data 1990 - 2020'!H855)</f>
        <v>25.150169949999999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>
        <f>SUM('Energy data 1990 - 2020'!D856:E856)</f>
        <v>58.487892420999998</v>
      </c>
      <c r="B856" s="5"/>
      <c r="C856" s="5">
        <f>AVERAGE('Energy data 1990 - 2020'!H856)</f>
        <v>25.32091406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>
        <f>SUM('Energy data 1990 - 2020'!D857:E857)</f>
        <v>56.519518599999998</v>
      </c>
      <c r="B857" s="5"/>
      <c r="C857" s="5">
        <f>AVERAGE('Energy data 1990 - 2020'!H857)</f>
        <v>24.669656679999999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>
        <f>SUM('Energy data 1990 - 2020'!D858:E858)</f>
        <v>56.018530004999995</v>
      </c>
      <c r="B858" s="5"/>
      <c r="C858" s="5">
        <f>AVERAGE('Energy data 1990 - 2020'!H858)</f>
        <v>24.342078919999999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>
        <f>SUM('Energy data 1990 - 2020'!D859:E859)</f>
        <v>50.534823033000002</v>
      </c>
      <c r="B859" s="5"/>
      <c r="C859" s="5">
        <f>AVERAGE('Energy data 1990 - 2020'!H859)</f>
        <v>23.491862449999999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>
        <f>SUM('Energy data 1990 - 2020'!D860:E860)</f>
        <v>50.101941801000002</v>
      </c>
      <c r="B860" s="5"/>
      <c r="C860" s="5">
        <f>AVERAGE('Energy data 1990 - 2020'!H860)</f>
        <v>22.836992209999998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>
        <f>SUM('Energy data 1990 - 2020'!D861:E861)</f>
        <v>48.672661577</v>
      </c>
      <c r="B861" s="5"/>
      <c r="C861" s="5">
        <f>AVERAGE('Energy data 1990 - 2020'!H861)</f>
        <v>21.450508320000001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>
        <f>SUM('Energy data 1990 - 2020'!D862:E862)</f>
        <v>47.181179839999999</v>
      </c>
      <c r="B862" s="5"/>
      <c r="C862" s="5">
        <f>AVERAGE('Energy data 1990 - 2020'!H862)</f>
        <v>21.565482370000002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>
        <f>SUM('Energy data 1990 - 2020'!D863:E863)</f>
        <v>46.258689070999999</v>
      </c>
      <c r="B863" s="5"/>
      <c r="C863" s="5">
        <f>AVERAGE('Energy data 1990 - 2020'!H863)</f>
        <v>21.234784550000001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>
        <f>SUM('Energy data 1990 - 2020'!D864:E864)</f>
        <v>50.417910433999999</v>
      </c>
      <c r="B864" s="5"/>
      <c r="C864" s="5">
        <f>AVERAGE('Energy data 1990 - 2020'!H864)</f>
        <v>22.028893740000001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>
        <f>SUM('Energy data 1990 - 2020'!D865:E865)</f>
        <v>49.809757777000002</v>
      </c>
      <c r="B865" s="5"/>
      <c r="C865" s="5">
        <f>AVERAGE('Energy data 1990 - 2020'!H865)</f>
        <v>21.865991510000001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>
        <f>SUM('Energy data 1990 - 2020'!D866:E866)</f>
        <v>54.271127784000001</v>
      </c>
      <c r="B866" s="5"/>
      <c r="C866" s="5">
        <f>AVERAGE('Energy data 1990 - 2020'!H866)</f>
        <v>22.836355409999999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>
        <f>SUM('Energy data 1990 - 2020'!D867:E867)</f>
        <v>50.307279048000005</v>
      </c>
      <c r="B867" s="5"/>
      <c r="C867" s="5">
        <f>AVERAGE('Energy data 1990 - 2020'!H867)</f>
        <v>22.068940569999999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>
        <f>SUM('Energy data 1990 - 2020'!D868:E868)</f>
        <v>46.581656427000006</v>
      </c>
      <c r="B868" s="5"/>
      <c r="C868" s="5">
        <f>AVERAGE('Energy data 1990 - 2020'!H868)</f>
        <v>21.684949769999999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>
        <f>SUM('Energy data 1990 - 2020'!D869:E869)</f>
        <v>40.849192139000003</v>
      </c>
      <c r="B869" s="5"/>
      <c r="C869" s="5">
        <f>AVERAGE('Energy data 1990 - 2020'!H869)</f>
        <v>20.0149933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>
        <f>SUM('Energy data 1990 - 2020'!D870:E870)</f>
        <v>165.64397477100002</v>
      </c>
      <c r="B870" s="5"/>
      <c r="C870" s="5">
        <f>AVERAGE('Energy data 1990 - 2020'!H870)</f>
        <v>61.98223479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>
        <f>SUM('Energy data 1990 - 2020'!D871:E871)</f>
        <v>138.239004048</v>
      </c>
      <c r="B871" s="5"/>
      <c r="C871" s="5">
        <f>AVERAGE('Energy data 1990 - 2020'!H871)</f>
        <v>51.074601139999999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>
        <f>SUM('Energy data 1990 - 2020'!D872:E872)</f>
        <v>130.02036258699999</v>
      </c>
      <c r="B872" s="5"/>
      <c r="C872" s="5">
        <f>AVERAGE('Energy data 1990 - 2020'!H872)</f>
        <v>46.067143829999999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>
        <f>SUM('Energy data 1990 - 2020'!D873:E873)</f>
        <v>121.080097373</v>
      </c>
      <c r="B873" s="5"/>
      <c r="C873" s="5">
        <f>AVERAGE('Energy data 1990 - 2020'!H873)</f>
        <v>45.636452120000001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>
        <f>SUM('Energy data 1990 - 2020'!D874:E874)</f>
        <v>116.261624111</v>
      </c>
      <c r="B874" s="5"/>
      <c r="C874" s="5">
        <f>AVERAGE('Energy data 1990 - 2020'!H874)</f>
        <v>43.039956779999997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>
        <f>SUM('Energy data 1990 - 2020'!D875:E875)</f>
        <v>119.637411138</v>
      </c>
      <c r="B875" s="5"/>
      <c r="C875" s="5">
        <f>AVERAGE('Energy data 1990 - 2020'!H875)</f>
        <v>46.6055317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>
        <f>SUM('Energy data 1990 - 2020'!D876:E876)</f>
        <v>124.50783721800001</v>
      </c>
      <c r="B876" s="5"/>
      <c r="C876" s="5">
        <f>AVERAGE('Energy data 1990 - 2020'!H876)</f>
        <v>47.849232120000003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>
        <f>SUM('Energy data 1990 - 2020'!D877:E877)</f>
        <v>115.050533575</v>
      </c>
      <c r="B877" s="5"/>
      <c r="C877" s="5">
        <f>AVERAGE('Energy data 1990 - 2020'!H877)</f>
        <v>44.886191320000002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>
        <f>SUM('Energy data 1990 - 2020'!D878:E878)</f>
        <v>100.376180213</v>
      </c>
      <c r="B878" s="5"/>
      <c r="C878" s="5">
        <f>AVERAGE('Energy data 1990 - 2020'!H878)</f>
        <v>41.077559460000003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>
        <f>SUM('Energy data 1990 - 2020'!D879:E879)</f>
        <v>86.338702354999995</v>
      </c>
      <c r="B879" s="5"/>
      <c r="C879" s="5">
        <f>AVERAGE('Energy data 1990 - 2020'!H879)</f>
        <v>36.269110650000002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>
        <f>SUM('Energy data 1990 - 2020'!D880:E880)</f>
        <v>89.748113867000001</v>
      </c>
      <c r="B880" s="5"/>
      <c r="C880" s="5">
        <f>AVERAGE('Energy data 1990 - 2020'!H880)</f>
        <v>36.252327000000001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>
        <f>SUM('Energy data 1990 - 2020'!D881:E881)</f>
        <v>96.173520884000013</v>
      </c>
      <c r="B881" s="5"/>
      <c r="C881" s="5">
        <f>AVERAGE('Energy data 1990 - 2020'!H881)</f>
        <v>36.887529499999999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>
        <f>SUM('Energy data 1990 - 2020'!D882:E882)</f>
        <v>95.749948336999992</v>
      </c>
      <c r="B882" s="5"/>
      <c r="C882" s="5">
        <f>AVERAGE('Energy data 1990 - 2020'!H882)</f>
        <v>38.218871100000001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>
        <f>SUM('Energy data 1990 - 2020'!D883:E883)</f>
        <v>98.308716092999987</v>
      </c>
      <c r="B883" s="5"/>
      <c r="C883" s="5">
        <f>AVERAGE('Energy data 1990 - 2020'!H883)</f>
        <v>39.803983350000003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>
        <f>SUM('Energy data 1990 - 2020'!D884:E884)</f>
        <v>96.670428428999998</v>
      </c>
      <c r="B884" s="5"/>
      <c r="C884" s="5">
        <f>AVERAGE('Energy data 1990 - 2020'!H884)</f>
        <v>38.70162371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>
        <f>SUM('Energy data 1990 - 2020'!D885:E885)</f>
        <v>95.549781597999996</v>
      </c>
      <c r="B885" s="5"/>
      <c r="C885" s="5">
        <f>AVERAGE('Energy data 1990 - 2020'!H885)</f>
        <v>38.611581129999998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>
        <f>SUM('Energy data 1990 - 2020'!D886:E886)</f>
        <v>98.692065708000001</v>
      </c>
      <c r="B886" s="5"/>
      <c r="C886" s="5">
        <f>AVERAGE('Energy data 1990 - 2020'!H886)</f>
        <v>39.971623559999998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>
        <f>SUM('Energy data 1990 - 2020'!D887:E887)</f>
        <v>95.908827368999994</v>
      </c>
      <c r="B887" s="5"/>
      <c r="C887" s="5">
        <f>AVERAGE('Energy data 1990 - 2020'!H887)</f>
        <v>39.786561910000003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>
        <f>SUM('Energy data 1990 - 2020'!D888:E888)</f>
        <v>94.356115243000005</v>
      </c>
      <c r="B888" s="5"/>
      <c r="C888" s="5">
        <f>AVERAGE('Energy data 1990 - 2020'!H888)</f>
        <v>39.657860210000003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>
        <f>SUM('Energy data 1990 - 2020'!D889:E889)</f>
        <v>80.393579376000005</v>
      </c>
      <c r="B889" s="5"/>
      <c r="C889" s="5">
        <f>AVERAGE('Energy data 1990 - 2020'!H889)</f>
        <v>34.932463519999999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>
        <f>SUM('Energy data 1990 - 2020'!D890:E890)</f>
        <v>76.853160571999993</v>
      </c>
      <c r="B890" s="5"/>
      <c r="C890" s="5">
        <f>AVERAGE('Energy data 1990 - 2020'!H890)</f>
        <v>35.077275839999999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>
        <f>SUM('Energy data 1990 - 2020'!D891:E891)</f>
        <v>83.870470706999996</v>
      </c>
      <c r="B891" s="5"/>
      <c r="C891" s="5">
        <f>AVERAGE('Energy data 1990 - 2020'!H891)</f>
        <v>35.855771339999997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>
        <f>SUM('Energy data 1990 - 2020'!D892:E892)</f>
        <v>81.408405842000008</v>
      </c>
      <c r="B892" s="5"/>
      <c r="C892" s="5">
        <f>AVERAGE('Energy data 1990 - 2020'!H892)</f>
        <v>34.987146930000002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>
        <f>SUM('Energy data 1990 - 2020'!D893:E893)</f>
        <v>71.740513755999999</v>
      </c>
      <c r="B893" s="5"/>
      <c r="C893" s="5">
        <f>AVERAGE('Energy data 1990 - 2020'!H893)</f>
        <v>31.958085610000001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>
        <f>SUM('Energy data 1990 - 2020'!D894:E894)</f>
        <v>71.251335627000003</v>
      </c>
      <c r="B894" s="5"/>
      <c r="C894" s="5">
        <f>AVERAGE('Energy data 1990 - 2020'!H894)</f>
        <v>31.64448114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>
        <f>SUM('Energy data 1990 - 2020'!D895:E895)</f>
        <v>71.610979677000003</v>
      </c>
      <c r="B895" s="5"/>
      <c r="C895" s="5">
        <f>AVERAGE('Energy data 1990 - 2020'!H895)</f>
        <v>31.91452155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>
        <f>SUM('Energy data 1990 - 2020'!D896:E896)</f>
        <v>70.042715693000005</v>
      </c>
      <c r="B896" s="5"/>
      <c r="C896" s="5">
        <f>AVERAGE('Energy data 1990 - 2020'!H896)</f>
        <v>31.864113969999998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>
        <f>SUM('Energy data 1990 - 2020'!D897:E897)</f>
        <v>73.213155139999998</v>
      </c>
      <c r="B897" s="5"/>
      <c r="C897" s="5">
        <f>AVERAGE('Energy data 1990 - 2020'!H897)</f>
        <v>33.387407709999998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>
        <f>SUM('Energy data 1990 - 2020'!D898:E898)</f>
        <v>73.692657832000009</v>
      </c>
      <c r="B898" s="5"/>
      <c r="C898" s="5">
        <f>AVERAGE('Energy data 1990 - 2020'!H898)</f>
        <v>33.635002589999999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>
        <f>SUM('Energy data 1990 - 2020'!D899:E899)</f>
        <v>71.174105933999996</v>
      </c>
      <c r="B899" s="5"/>
      <c r="C899" s="5">
        <f>AVERAGE('Energy data 1990 - 2020'!H899)</f>
        <v>33.13772831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>
        <f>SUM('Energy data 1990 - 2020'!D900:E900)</f>
        <v>65.841116049000007</v>
      </c>
      <c r="B900" s="5"/>
      <c r="C900" s="5">
        <f>AVERAGE('Energy data 1990 - 2020'!H900)</f>
        <v>32.396301379999997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>
        <f>SUM('Energy data 1990 - 2020'!D901:E901)</f>
        <v>2191.5770926</v>
      </c>
      <c r="B901" s="5"/>
      <c r="C901" s="5">
        <f>AVERAGE('Energy data 1990 - 2020'!H901)</f>
        <v>878.81909020000001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>
        <f>SUM('Energy data 1990 - 2020'!D902:E902)</f>
        <v>2192.3805970869998</v>
      </c>
      <c r="B902" s="5"/>
      <c r="C902" s="5">
        <f>AVERAGE('Energy data 1990 - 2020'!H902)</f>
        <v>870.78565790000005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>
        <f>SUM('Energy data 1990 - 2020'!D903:E903)</f>
        <v>2019.749515383</v>
      </c>
      <c r="B903" s="5"/>
      <c r="C903" s="5">
        <f>AVERAGE('Energy data 1990 - 2020'!H903)</f>
        <v>795.37329539999996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>
        <f>SUM('Energy data 1990 - 2020'!D904:E904)</f>
        <v>1851.3120889289999</v>
      </c>
      <c r="B904" s="5"/>
      <c r="C904" s="5">
        <f>AVERAGE('Energy data 1990 - 2020'!H904)</f>
        <v>750.93379819999996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>
        <f>SUM('Energy data 1990 - 2020'!D905:E905)</f>
        <v>1631.803040176</v>
      </c>
      <c r="B905" s="5"/>
      <c r="C905" s="5">
        <f>AVERAGE('Energy data 1990 - 2020'!H905)</f>
        <v>656.68511369999999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>
        <f>SUM('Energy data 1990 - 2020'!D906:E906)</f>
        <v>1585.309918424</v>
      </c>
      <c r="B906" s="5"/>
      <c r="C906" s="5">
        <f>AVERAGE('Energy data 1990 - 2020'!H906)</f>
        <v>636.42162370000005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>
        <f>SUM('Energy data 1990 - 2020'!D907:E907)</f>
        <v>1567.196627586</v>
      </c>
      <c r="B907" s="5"/>
      <c r="C907" s="5">
        <f>AVERAGE('Energy data 1990 - 2020'!H907)</f>
        <v>629.80996330000005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>
        <f>SUM('Energy data 1990 - 2020'!D908:E908)</f>
        <v>1474.3262449879999</v>
      </c>
      <c r="B908" s="5"/>
      <c r="C908" s="5">
        <f>AVERAGE('Energy data 1990 - 2020'!H908)</f>
        <v>601.72501130000001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>
        <f>SUM('Energy data 1990 - 2020'!D909:E909)</f>
        <v>1457.3859732570002</v>
      </c>
      <c r="B909" s="5"/>
      <c r="C909" s="5">
        <f>AVERAGE('Energy data 1990 - 2020'!H909)</f>
        <v>587.70717520000005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>
        <f>SUM('Energy data 1990 - 2020'!D910:E910)</f>
        <v>1504.598909653</v>
      </c>
      <c r="B910" s="5"/>
      <c r="C910" s="5">
        <f>AVERAGE('Energy data 1990 - 2020'!H910)</f>
        <v>608.72831369999994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>
        <f>SUM('Energy data 1990 - 2020'!D911:E911)</f>
        <v>1524.1199701419998</v>
      </c>
      <c r="B911" s="5"/>
      <c r="C911" s="5">
        <f>AVERAGE('Energy data 1990 - 2020'!H911)</f>
        <v>619.00778679999996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>
        <f>SUM('Energy data 1990 - 2020'!D912:E912)</f>
        <v>1530.54098572</v>
      </c>
      <c r="B912" s="5"/>
      <c r="C912" s="5">
        <f>AVERAGE('Energy data 1990 - 2020'!H912)</f>
        <v>625.73695720000001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>
        <f>SUM('Energy data 1990 - 2020'!D913:E913)</f>
        <v>1513.6148160610001</v>
      </c>
      <c r="B913" s="5"/>
      <c r="C913" s="5">
        <f>AVERAGE('Energy data 1990 - 2020'!H913)</f>
        <v>622.82992969999998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>
        <f>SUM('Energy data 1990 - 2020'!D914:E914)</f>
        <v>1554.1279548329999</v>
      </c>
      <c r="B914" s="5"/>
      <c r="C914" s="5">
        <f>AVERAGE('Energy data 1990 - 2020'!H914)</f>
        <v>645.05531859999996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>
        <f>SUM('Energy data 1990 - 2020'!D915:E915)</f>
        <v>1552.3131867540001</v>
      </c>
      <c r="B915" s="5"/>
      <c r="C915" s="5">
        <f>AVERAGE('Energy data 1990 - 2020'!H915)</f>
        <v>647.13373360000003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>
        <f>SUM('Energy data 1990 - 2020'!D916:E916)</f>
        <v>1550.157860585</v>
      </c>
      <c r="B916" s="5"/>
      <c r="C916" s="5">
        <f>AVERAGE('Energy data 1990 - 2020'!H916)</f>
        <v>651.49375840000005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>
        <f>SUM('Energy data 1990 - 2020'!D917:E917)</f>
        <v>1611.4061970130001</v>
      </c>
      <c r="B917" s="5"/>
      <c r="C917" s="5">
        <f>AVERAGE('Energy data 1990 - 2020'!H917)</f>
        <v>670.42344160000005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>
        <f>SUM('Energy data 1990 - 2020'!D918:E918)</f>
        <v>1591.424014637</v>
      </c>
      <c r="B918" s="5"/>
      <c r="C918" s="5">
        <f>AVERAGE('Energy data 1990 - 2020'!H918)</f>
        <v>672.3425565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>
        <f>SUM('Energy data 1990 - 2020'!D919:E919)</f>
        <v>1606.6258829560002</v>
      </c>
      <c r="B919" s="5"/>
      <c r="C919" s="5">
        <f>AVERAGE('Energy data 1990 - 2020'!H919)</f>
        <v>688.01235280000003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>
        <f>SUM('Energy data 1990 - 2020'!D920:E920)</f>
        <v>1508.9007862440001</v>
      </c>
      <c r="B920" s="5"/>
      <c r="C920" s="5">
        <f>AVERAGE('Energy data 1990 - 2020'!H920)</f>
        <v>646.77726819999998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>
        <f>SUM('Energy data 1990 - 2020'!D921:E921)</f>
        <v>1612.0443419139999</v>
      </c>
      <c r="B921" s="5"/>
      <c r="C921" s="5">
        <f>AVERAGE('Energy data 1990 - 2020'!H921)</f>
        <v>688.16497509999999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>
        <f>SUM('Energy data 1990 - 2020'!D922:E922)</f>
        <v>1676.3385622340002</v>
      </c>
      <c r="B922" s="5"/>
      <c r="C922" s="5">
        <f>AVERAGE('Energy data 1990 - 2020'!H922)</f>
        <v>711.03231659999994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>
        <f>SUM('Energy data 1990 - 2020'!D923:E923)</f>
        <v>1655.633136597</v>
      </c>
      <c r="B923" s="5"/>
      <c r="C923" s="5">
        <f>AVERAGE('Energy data 1990 - 2020'!H923)</f>
        <v>728.04818350000005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>
        <f>SUM('Energy data 1990 - 2020'!D924:E924)</f>
        <v>1605.1985188360002</v>
      </c>
      <c r="B924" s="5"/>
      <c r="C924" s="5">
        <f>AVERAGE('Energy data 1990 - 2020'!H924)</f>
        <v>706.56954370000005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>
        <f>SUM('Energy data 1990 - 2020'!D925:E925)</f>
        <v>1587.079326584</v>
      </c>
      <c r="B925" s="5"/>
      <c r="C925" s="5">
        <f>AVERAGE('Energy data 1990 - 2020'!H925)</f>
        <v>707.00943859999995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A926" s="5">
        <f>SUM('Energy data 1990 - 2020'!D926:E926)</f>
        <v>1594.6153532620001</v>
      </c>
      <c r="B926" s="5"/>
      <c r="C926" s="5">
        <f>AVERAGE('Energy data 1990 - 2020'!H926)</f>
        <v>692.51115800000002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A927" s="5">
        <f>SUM('Energy data 1990 - 2020'!D927:E927)</f>
        <v>1573.9572700190001</v>
      </c>
      <c r="B927" s="5"/>
      <c r="C927" s="5">
        <f>AVERAGE('Energy data 1990 - 2020'!H927)</f>
        <v>714.28620679999995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A928" s="5">
        <f>SUM('Energy data 1990 - 2020'!D928:E928)</f>
        <v>1616.7960674650001</v>
      </c>
      <c r="B928" s="5"/>
      <c r="C928" s="5">
        <f>AVERAGE('Energy data 1990 - 2020'!H928)</f>
        <v>729.10010369999998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>
      <c r="A929" s="5">
        <f>SUM('Energy data 1990 - 2020'!D929:E929)</f>
        <v>1676.464413248</v>
      </c>
      <c r="B929" s="5"/>
      <c r="C929" s="5">
        <f>AVERAGE('Energy data 1990 - 2020'!H929)</f>
        <v>759.67104949999998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>
      <c r="A930" s="5">
        <f>SUM('Energy data 1990 - 2020'!D930:E930)</f>
        <v>1721.512051019</v>
      </c>
      <c r="B930" s="5"/>
      <c r="C930" s="5">
        <f>AVERAGE('Energy data 1990 - 2020'!H930)</f>
        <v>767.96264069999995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>
      <c r="A931" s="5">
        <f>SUM('Energy data 1990 - 2020'!D931:E931)</f>
        <v>1621.2984340200001</v>
      </c>
      <c r="B931" s="5"/>
      <c r="C931" s="5">
        <f>AVERAGE('Energy data 1990 - 2020'!H931)</f>
        <v>731.34703139999999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>
      <c r="A932" s="5">
        <f>SUM('Energy data 1990 - 2020'!D932:E932)</f>
        <v>158.38391091899999</v>
      </c>
      <c r="B932" s="5"/>
      <c r="C932" s="5">
        <f>AVERAGE('Energy data 1990 - 2020'!H932)</f>
        <v>58.00974342</v>
      </c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>
      <c r="A933" s="5">
        <f>SUM('Energy data 1990 - 2020'!D933:E933)</f>
        <v>164.47230064000001</v>
      </c>
      <c r="B933" s="5"/>
      <c r="C933" s="5">
        <f>AVERAGE('Energy data 1990 - 2020'!H933)</f>
        <v>67.526403720000005</v>
      </c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>
      <c r="A934" s="5">
        <f>SUM('Energy data 1990 - 2020'!D934:E934)</f>
        <v>179.091577589</v>
      </c>
      <c r="B934" s="5"/>
      <c r="C934" s="5">
        <f>AVERAGE('Energy data 1990 - 2020'!H934)</f>
        <v>76.932617390000004</v>
      </c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>
      <c r="A935" s="5">
        <f>SUM('Energy data 1990 - 2020'!D935:E935)</f>
        <v>189.72042106499998</v>
      </c>
      <c r="B935" s="5"/>
      <c r="C935" s="5">
        <f>AVERAGE('Energy data 1990 - 2020'!H935)</f>
        <v>79.864902979999997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>
      <c r="A936" s="5">
        <f>SUM('Energy data 1990 - 2020'!D936:E936)</f>
        <v>201.87866738800003</v>
      </c>
      <c r="B936" s="5"/>
      <c r="C936" s="5">
        <f>AVERAGE('Energy data 1990 - 2020'!H936)</f>
        <v>84.035483600000006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>
      <c r="A937" s="5">
        <f>SUM('Energy data 1990 - 2020'!D937:E937)</f>
        <v>201.00320998499998</v>
      </c>
      <c r="B937" s="5"/>
      <c r="C937" s="5">
        <f>AVERAGE('Energy data 1990 - 2020'!H937)</f>
        <v>84.513187590000001</v>
      </c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>
      <c r="A938" s="5">
        <f>SUM('Energy data 1990 - 2020'!D938:E938)</f>
        <v>213.87044774400002</v>
      </c>
      <c r="B938" s="5"/>
      <c r="C938" s="5">
        <f>AVERAGE('Energy data 1990 - 2020'!H938)</f>
        <v>90.465395939999993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>
      <c r="A939" s="5">
        <f>SUM('Energy data 1990 - 2020'!D939:E939)</f>
        <v>216.49218462799999</v>
      </c>
      <c r="B939" s="5"/>
      <c r="C939" s="5">
        <f>AVERAGE('Energy data 1990 - 2020'!H939)</f>
        <v>86.271439200000003</v>
      </c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>
      <c r="A940" s="5">
        <f>SUM('Energy data 1990 - 2020'!D940:E940)</f>
        <v>231.404630062</v>
      </c>
      <c r="B940" s="5"/>
      <c r="C940" s="5">
        <f>AVERAGE('Energy data 1990 - 2020'!H940)</f>
        <v>91.938294420000005</v>
      </c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>
      <c r="A941" s="5">
        <f>SUM('Energy data 1990 - 2020'!D941:E941)</f>
        <v>237.45552789200002</v>
      </c>
      <c r="B941" s="5"/>
      <c r="C941" s="5">
        <f>AVERAGE('Energy data 1990 - 2020'!H941)</f>
        <v>93.597800050000004</v>
      </c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>
      <c r="A942" s="5">
        <f>SUM('Energy data 1990 - 2020'!D942:E942)</f>
        <v>246.66751037700001</v>
      </c>
      <c r="B942" s="5"/>
      <c r="C942" s="5">
        <f>AVERAGE('Energy data 1990 - 2020'!H942)</f>
        <v>97.865538909999998</v>
      </c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1:16">
      <c r="A943" s="5">
        <f>SUM('Energy data 1990 - 2020'!D943:E943)</f>
        <v>250.643279277</v>
      </c>
      <c r="B943" s="5"/>
      <c r="C943" s="5">
        <f>AVERAGE('Energy data 1990 - 2020'!H943)</f>
        <v>100.45764579999999</v>
      </c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>
      <c r="A944" s="5">
        <f>SUM('Energy data 1990 - 2020'!D944:E944)</f>
        <v>267.99954635400002</v>
      </c>
      <c r="B944" s="5"/>
      <c r="C944" s="5">
        <f>AVERAGE('Energy data 1990 - 2020'!H944)</f>
        <v>114.149582</v>
      </c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>
      <c r="A945" s="5">
        <f>SUM('Energy data 1990 - 2020'!D945:E945)</f>
        <v>278.99102068999997</v>
      </c>
      <c r="B945" s="5"/>
      <c r="C945" s="5">
        <f>AVERAGE('Energy data 1990 - 2020'!H945)</f>
        <v>114.52406999999999</v>
      </c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>
      <c r="A946" s="5">
        <f>SUM('Energy data 1990 - 2020'!D946:E946)</f>
        <v>296.51842725</v>
      </c>
      <c r="B946" s="5"/>
      <c r="C946" s="5">
        <f>AVERAGE('Energy data 1990 - 2020'!H946)</f>
        <v>115.35904189999999</v>
      </c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1:16">
      <c r="A947" s="5">
        <f>SUM('Energy data 1990 - 2020'!D947:E947)</f>
        <v>312.76631118099999</v>
      </c>
      <c r="B947" s="5"/>
      <c r="C947" s="5">
        <f>AVERAGE('Energy data 1990 - 2020'!H947)</f>
        <v>122.7107025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>
      <c r="A948" s="5">
        <f>SUM('Energy data 1990 - 2020'!D948:E948)</f>
        <v>331.590815104</v>
      </c>
      <c r="B948" s="5"/>
      <c r="C948" s="5">
        <f>AVERAGE('Energy data 1990 - 2020'!H948)</f>
        <v>131.61923379999999</v>
      </c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1:16">
      <c r="A949" s="5">
        <f>SUM('Energy data 1990 - 2020'!D949:E949)</f>
        <v>348.90160047900002</v>
      </c>
      <c r="B949" s="5"/>
      <c r="C949" s="5">
        <f>AVERAGE('Energy data 1990 - 2020'!H949)</f>
        <v>138.20049069999999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>
      <c r="A950" s="5">
        <f>SUM('Energy data 1990 - 2020'!D950:E950)</f>
        <v>380.69071581200001</v>
      </c>
      <c r="B950" s="5"/>
      <c r="C950" s="5">
        <f>AVERAGE('Energy data 1990 - 2020'!H950)</f>
        <v>151.4581743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>
      <c r="A951" s="5">
        <f>SUM('Energy data 1990 - 2020'!D951:E951)</f>
        <v>397.53898947099998</v>
      </c>
      <c r="B951" s="5"/>
      <c r="C951" s="5">
        <f>AVERAGE('Energy data 1990 - 2020'!H951)</f>
        <v>158.97744599999999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>
      <c r="A952" s="5">
        <f>SUM('Energy data 1990 - 2020'!D952:E952)</f>
        <v>437.29680836099999</v>
      </c>
      <c r="B952" s="5"/>
      <c r="C952" s="5">
        <f>AVERAGE('Energy data 1990 - 2020'!H952)</f>
        <v>175.4122107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>
      <c r="A953" s="5">
        <f>SUM('Energy data 1990 - 2020'!D953:E953)</f>
        <v>453.559372258</v>
      </c>
      <c r="B953" s="5"/>
      <c r="C953" s="5">
        <f>AVERAGE('Energy data 1990 - 2020'!H953)</f>
        <v>183.7574941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>
      <c r="A954" s="5">
        <f>SUM('Energy data 1990 - 2020'!D954:E954)</f>
        <v>484.27340465200001</v>
      </c>
      <c r="B954" s="5"/>
      <c r="C954" s="5">
        <f>AVERAGE('Energy data 1990 - 2020'!H954)</f>
        <v>188.67478560000001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1:16">
      <c r="A955" s="5">
        <f>SUM('Energy data 1990 - 2020'!D955:E955)</f>
        <v>491.21902980300001</v>
      </c>
      <c r="B955" s="5"/>
      <c r="C955" s="5">
        <f>AVERAGE('Energy data 1990 - 2020'!H955)</f>
        <v>187.614597</v>
      </c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>
      <c r="A956" s="5">
        <f>SUM('Energy data 1990 - 2020'!D956:E956)</f>
        <v>527.56401010400009</v>
      </c>
      <c r="B956" s="5"/>
      <c r="C956" s="5">
        <f>AVERAGE('Energy data 1990 - 2020'!H956)</f>
        <v>206.67398650000001</v>
      </c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1:16">
      <c r="A957" s="5">
        <f>SUM('Energy data 1990 - 2020'!D957:E957)</f>
        <v>553.24584973000003</v>
      </c>
      <c r="B957" s="5"/>
      <c r="C957" s="5">
        <f>AVERAGE('Energy data 1990 - 2020'!H957)</f>
        <v>216.39598369999999</v>
      </c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>
      <c r="A958" s="5">
        <f>SUM('Energy data 1990 - 2020'!D958:E958)</f>
        <v>549.32151757199995</v>
      </c>
      <c r="B958" s="5"/>
      <c r="C958" s="5">
        <f>AVERAGE('Energy data 1990 - 2020'!H958)</f>
        <v>214.8120184</v>
      </c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1:16">
      <c r="A959" s="5">
        <f>SUM('Energy data 1990 - 2020'!D959:E959)</f>
        <v>538.39135787199996</v>
      </c>
      <c r="B959" s="5"/>
      <c r="C959" s="5">
        <f>AVERAGE('Energy data 1990 - 2020'!H959)</f>
        <v>218.88770109999999</v>
      </c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>
      <c r="A960" s="5">
        <f>SUM('Energy data 1990 - 2020'!D960:E960)</f>
        <v>513.83022232500002</v>
      </c>
      <c r="B960" s="5"/>
      <c r="C960" s="5">
        <f>AVERAGE('Energy data 1990 - 2020'!H960)</f>
        <v>213.6399376</v>
      </c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>
      <c r="A961" s="5">
        <f>SUM('Energy data 1990 - 2020'!D961:E961)</f>
        <v>510.65181228200004</v>
      </c>
      <c r="B961" s="5"/>
      <c r="C961" s="5">
        <f>AVERAGE('Energy data 1990 - 2020'!H961)</f>
        <v>215.1073877</v>
      </c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>
      <c r="A962" s="5">
        <f>SUM('Energy data 1990 - 2020'!D962:E962)</f>
        <v>494.12509021300002</v>
      </c>
      <c r="B962" s="5"/>
      <c r="C962" s="5">
        <f>AVERAGE('Energy data 1990 - 2020'!H962)</f>
        <v>209.38214350000001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1:16">
      <c r="A963" s="5">
        <f>SUM('Energy data 1990 - 2020'!D963:E963)</f>
        <v>254.75258168799999</v>
      </c>
      <c r="B963" s="5"/>
      <c r="C963" s="5">
        <f>AVERAGE('Energy data 1990 - 2020'!H963)</f>
        <v>89.715897240000004</v>
      </c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>
      <c r="A964" s="5">
        <f>SUM('Energy data 1990 - 2020'!D964:E964)</f>
        <v>250.54084440900002</v>
      </c>
      <c r="B964" s="5"/>
      <c r="C964" s="5">
        <f>AVERAGE('Energy data 1990 - 2020'!H964)</f>
        <v>92.189568140000006</v>
      </c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>
      <c r="A965" s="5">
        <f>SUM('Energy data 1990 - 2020'!D965:E965)</f>
        <v>247.72166314999998</v>
      </c>
      <c r="B965" s="5"/>
      <c r="C965" s="5">
        <f>AVERAGE('Energy data 1990 - 2020'!H965)</f>
        <v>87.872429370000006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>
      <c r="A966" s="5">
        <f>SUM('Energy data 1990 - 2020'!D966:E966)</f>
        <v>255.28154387199999</v>
      </c>
      <c r="B966" s="5"/>
      <c r="C966" s="5">
        <f>AVERAGE('Energy data 1990 - 2020'!H966)</f>
        <v>93.685699589999999</v>
      </c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1:16">
      <c r="A967" s="5">
        <f>SUM('Energy data 1990 - 2020'!D967:E967)</f>
        <v>260.28701512200001</v>
      </c>
      <c r="B967" s="5"/>
      <c r="C967" s="5">
        <f>AVERAGE('Energy data 1990 - 2020'!H967)</f>
        <v>98.17043314</v>
      </c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>
      <c r="A968" s="5">
        <f>SUM('Energy data 1990 - 2020'!D968:E968)</f>
        <v>276.38052245200004</v>
      </c>
      <c r="B968" s="5"/>
      <c r="C968" s="5">
        <f>AVERAGE('Energy data 1990 - 2020'!H968)</f>
        <v>103.5455862</v>
      </c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>
      <c r="A969" s="5">
        <f>SUM('Energy data 1990 - 2020'!D969:E969)</f>
        <v>286.74414941500004</v>
      </c>
      <c r="B969" s="5"/>
      <c r="C969" s="5">
        <f>AVERAGE('Energy data 1990 - 2020'!H969)</f>
        <v>106.5916603</v>
      </c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>
      <c r="A970" s="5">
        <f>SUM('Energy data 1990 - 2020'!D970:E970)</f>
        <v>301.68556832499996</v>
      </c>
      <c r="B970" s="5"/>
      <c r="C970" s="5">
        <f>AVERAGE('Energy data 1990 - 2020'!H970)</f>
        <v>108.6716783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6">
      <c r="A971" s="5">
        <f>SUM('Energy data 1990 - 2020'!D971:E971)</f>
        <v>309.36969376300004</v>
      </c>
      <c r="B971" s="5"/>
      <c r="C971" s="5">
        <f>AVERAGE('Energy data 1990 - 2020'!H971)</f>
        <v>110.7605903</v>
      </c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>
      <c r="A972" s="5">
        <f>SUM('Energy data 1990 - 2020'!D972:E972)</f>
        <v>292.39688660399997</v>
      </c>
      <c r="B972" s="5"/>
      <c r="C972" s="5">
        <f>AVERAGE('Energy data 1990 - 2020'!H972)</f>
        <v>109.0245165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>
      <c r="A973" s="5">
        <f>SUM('Energy data 1990 - 2020'!D973:E973)</f>
        <v>298.81847751099997</v>
      </c>
      <c r="B973" s="5"/>
      <c r="C973" s="5">
        <f>AVERAGE('Energy data 1990 - 2020'!H973)</f>
        <v>109.1522083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>
      <c r="A974" s="5">
        <f>SUM('Energy data 1990 - 2020'!D974:E974)</f>
        <v>333.83585310000001</v>
      </c>
      <c r="B974" s="5"/>
      <c r="C974" s="5">
        <f>AVERAGE('Energy data 1990 - 2020'!H974)</f>
        <v>105.4712933</v>
      </c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1:16">
      <c r="A975" s="5">
        <f>SUM('Energy data 1990 - 2020'!D975:E975)</f>
        <v>345.25895061399996</v>
      </c>
      <c r="B975" s="5"/>
      <c r="C975" s="5">
        <f>AVERAGE('Energy data 1990 - 2020'!H975)</f>
        <v>100.06367729999999</v>
      </c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>
      <c r="A976" s="5">
        <f>SUM('Energy data 1990 - 2020'!D976:E976)</f>
        <v>367.07751904099996</v>
      </c>
      <c r="B976" s="5"/>
      <c r="C976" s="5">
        <f>AVERAGE('Energy data 1990 - 2020'!H976)</f>
        <v>112.67698559999999</v>
      </c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1:16">
      <c r="A977" s="5">
        <f>SUM('Energy data 1990 - 2020'!D977:E977)</f>
        <v>390.22312739299997</v>
      </c>
      <c r="B977" s="5"/>
      <c r="C977" s="5">
        <f>AVERAGE('Energy data 1990 - 2020'!H977)</f>
        <v>122.7799667</v>
      </c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>
      <c r="A978" s="5">
        <f>SUM('Energy data 1990 - 2020'!D978:E978)</f>
        <v>382.38043705199999</v>
      </c>
      <c r="B978" s="5"/>
      <c r="C978" s="5">
        <f>AVERAGE('Energy data 1990 - 2020'!H978)</f>
        <v>118.0822137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>
      <c r="A979" s="5">
        <f>SUM('Energy data 1990 - 2020'!D979:E979)</f>
        <v>382.02259607299999</v>
      </c>
      <c r="B979" s="5"/>
      <c r="C979" s="5">
        <f>AVERAGE('Energy data 1990 - 2020'!H979)</f>
        <v>120.40050890000001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>
      <c r="A980" s="5">
        <f>SUM('Energy data 1990 - 2020'!D980:E980)</f>
        <v>403.41373110800004</v>
      </c>
      <c r="B980" s="5"/>
      <c r="C980" s="5">
        <f>AVERAGE('Energy data 1990 - 2020'!H980)</f>
        <v>131.15698510000001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1:16">
      <c r="A981" s="5">
        <f>SUM('Energy data 1990 - 2020'!D981:E981)</f>
        <v>435.63785468699996</v>
      </c>
      <c r="B981" s="5"/>
      <c r="C981" s="5">
        <f>AVERAGE('Energy data 1990 - 2020'!H981)</f>
        <v>142.12975650000001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>
      <c r="A982" s="5">
        <f>SUM('Energy data 1990 - 2020'!D982:E982)</f>
        <v>411.15964023200002</v>
      </c>
      <c r="B982" s="5"/>
      <c r="C982" s="5">
        <f>AVERAGE('Energy data 1990 - 2020'!H982)</f>
        <v>144.01755159999999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>
      <c r="A983" s="5">
        <f>SUM('Energy data 1990 - 2020'!D983:E983)</f>
        <v>433.38237948200003</v>
      </c>
      <c r="B983" s="5"/>
      <c r="C983" s="5">
        <f>AVERAGE('Energy data 1990 - 2020'!H983)</f>
        <v>134.4504833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>
      <c r="A984" s="5">
        <f>SUM('Energy data 1990 - 2020'!D984:E984)</f>
        <v>417.33654145399998</v>
      </c>
      <c r="B984" s="5"/>
      <c r="C984" s="5">
        <f>AVERAGE('Energy data 1990 - 2020'!H984)</f>
        <v>136.92281439999999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1:16">
      <c r="A985" s="5">
        <f>SUM('Energy data 1990 - 2020'!D985:E985)</f>
        <v>434.61377337200003</v>
      </c>
      <c r="B985" s="5"/>
      <c r="C985" s="5">
        <f>AVERAGE('Energy data 1990 - 2020'!H985)</f>
        <v>130.9824912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>
      <c r="A986" s="5">
        <f>SUM('Energy data 1990 - 2020'!D986:E986)</f>
        <v>444.42579594800003</v>
      </c>
      <c r="B986" s="5"/>
      <c r="C986" s="5">
        <f>AVERAGE('Energy data 1990 - 2020'!H986)</f>
        <v>129.87432749999999</v>
      </c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>
      <c r="A987" s="5">
        <f>SUM('Energy data 1990 - 2020'!D987:E987)</f>
        <v>456.46894856800003</v>
      </c>
      <c r="B987" s="5"/>
      <c r="C987" s="5">
        <f>AVERAGE('Energy data 1990 - 2020'!H987)</f>
        <v>137.6851748</v>
      </c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>
      <c r="A988" s="5">
        <f>SUM('Energy data 1990 - 2020'!D988:E988)</f>
        <v>431.374666897</v>
      </c>
      <c r="B988" s="5"/>
      <c r="C988" s="5">
        <f>AVERAGE('Energy data 1990 - 2020'!H988)</f>
        <v>128.81774440000001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1:16">
      <c r="A989" s="5">
        <f>SUM('Energy data 1990 - 2020'!D989:E989)</f>
        <v>432.88182109600001</v>
      </c>
      <c r="B989" s="5"/>
      <c r="C989" s="5">
        <f>AVERAGE('Energy data 1990 - 2020'!H989)</f>
        <v>135.0785218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>
      <c r="A990" s="5">
        <f>SUM('Energy data 1990 - 2020'!D990:E990)</f>
        <v>439.87600555300003</v>
      </c>
      <c r="B990" s="5"/>
      <c r="C990" s="5">
        <f>AVERAGE('Energy data 1990 - 2020'!H990)</f>
        <v>135.89113639999999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>
      <c r="A991" s="5">
        <f>SUM('Energy data 1990 - 2020'!D991:E991)</f>
        <v>437.020728701</v>
      </c>
      <c r="B991" s="5"/>
      <c r="C991" s="5">
        <f>AVERAGE('Energy data 1990 - 2020'!H991)</f>
        <v>134.23844690000001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>
      <c r="A992" s="5">
        <f>SUM('Energy data 1990 - 2020'!D992:E992)</f>
        <v>425.39267359400003</v>
      </c>
      <c r="B992" s="5"/>
      <c r="C992" s="5">
        <f>AVERAGE('Energy data 1990 - 2020'!H992)</f>
        <v>128.928348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>
      <c r="A993" s="5">
        <f>SUM('Energy data 1990 - 2020'!D993:E993)</f>
        <v>397.88925923899995</v>
      </c>
      <c r="B993" s="5"/>
      <c r="C993" s="5">
        <f>AVERAGE('Energy data 1990 - 2020'!H993)</f>
        <v>124.0744029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>
      <c r="A994" s="5">
        <f>SUM('Energy data 1990 - 2020'!D994:E994)</f>
        <v>246.08854295899999</v>
      </c>
      <c r="B994" s="5"/>
      <c r="C994" s="5">
        <f>AVERAGE('Energy data 1990 - 2020'!H994)</f>
        <v>93.966237509999999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>
      <c r="A995" s="5">
        <f>SUM('Energy data 1990 - 2020'!D995:E995)</f>
        <v>270.22534511800001</v>
      </c>
      <c r="B995" s="5"/>
      <c r="C995" s="5">
        <f>AVERAGE('Energy data 1990 - 2020'!H995)</f>
        <v>100.8423495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>
      <c r="A996" s="5">
        <f>SUM('Energy data 1990 - 2020'!D996:E996)</f>
        <v>293.47040325500001</v>
      </c>
      <c r="B996" s="5"/>
      <c r="C996" s="5">
        <f>AVERAGE('Energy data 1990 - 2020'!H996)</f>
        <v>111.39723600000001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1:16">
      <c r="A997" s="5">
        <f>SUM('Energy data 1990 - 2020'!D997:E997)</f>
        <v>319.93676605599995</v>
      </c>
      <c r="B997" s="5"/>
      <c r="C997" s="5">
        <f>AVERAGE('Energy data 1990 - 2020'!H997)</f>
        <v>124.97130629999999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1:16">
      <c r="A998" s="5">
        <f>SUM('Energy data 1990 - 2020'!D998:E998)</f>
        <v>345.05194570899999</v>
      </c>
      <c r="B998" s="5"/>
      <c r="C998" s="5">
        <f>AVERAGE('Energy data 1990 - 2020'!H998)</f>
        <v>132.87876170000001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1:16">
      <c r="A999" s="5">
        <f>SUM('Energy data 1990 - 2020'!D999:E999)</f>
        <v>374.44037667700002</v>
      </c>
      <c r="B999" s="5"/>
      <c r="C999" s="5">
        <f>AVERAGE('Energy data 1990 - 2020'!H999)</f>
        <v>145.6994249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>
      <c r="A1000" s="5">
        <f>SUM('Energy data 1990 - 2020'!D1000:E1000)</f>
        <v>398.01102848699998</v>
      </c>
      <c r="B1000" s="5"/>
      <c r="C1000" s="5">
        <f>AVERAGE('Energy data 1990 - 2020'!H1000)</f>
        <v>158.15779800000001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spans="1:16">
      <c r="A1001" s="5">
        <f>SUM('Energy data 1990 - 2020'!D1001:E1001)</f>
        <v>420.837088096</v>
      </c>
      <c r="B1001" s="5"/>
      <c r="C1001" s="5">
        <f>AVERAGE('Energy data 1990 - 2020'!H1001)</f>
        <v>172.3055578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spans="1:16">
      <c r="A1002" s="5">
        <f>SUM('Energy data 1990 - 2020'!D1002:E1002)</f>
        <v>363.38316466999999</v>
      </c>
      <c r="B1002" s="5"/>
      <c r="C1002" s="5">
        <f>AVERAGE('Energy data 1990 - 2020'!H1002)</f>
        <v>157.58937839999999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1:16">
      <c r="A1003" s="5">
        <f>SUM('Energy data 1990 - 2020'!D1003:E1003)</f>
        <v>397.20090407100002</v>
      </c>
      <c r="B1003" s="5"/>
      <c r="C1003" s="5">
        <f>AVERAGE('Energy data 1990 - 2020'!H1003)</f>
        <v>174.48519379999999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1:16">
      <c r="A1004" s="5">
        <f>SUM('Energy data 1990 - 2020'!D1004:E1004)</f>
        <v>448.879113453</v>
      </c>
      <c r="B1004" s="5"/>
      <c r="C1004" s="5">
        <f>AVERAGE('Energy data 1990 - 2020'!H1004)</f>
        <v>190.09350559999999</v>
      </c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1:16">
      <c r="A1005" s="5">
        <f>SUM('Energy data 1990 - 2020'!D1005:E1005)</f>
        <v>466.49307120399999</v>
      </c>
      <c r="B1005" s="5"/>
      <c r="C1005" s="5">
        <f>AVERAGE('Energy data 1990 - 2020'!H1005)</f>
        <v>193.3738458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spans="1:16">
      <c r="A1006" s="5">
        <f>SUM('Energy data 1990 - 2020'!D1006:E1006)</f>
        <v>464.13310064899997</v>
      </c>
      <c r="B1006" s="5"/>
      <c r="C1006" s="5">
        <f>AVERAGE('Energy data 1990 - 2020'!H1006)</f>
        <v>201.4700062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1:16">
      <c r="A1007" s="5">
        <f>SUM('Energy data 1990 - 2020'!D1007:E1007)</f>
        <v>467.10911457599997</v>
      </c>
      <c r="B1007" s="5"/>
      <c r="C1007" s="5">
        <f>AVERAGE('Energy data 1990 - 2020'!H1007)</f>
        <v>205.8124487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spans="1:16">
      <c r="A1008" s="5">
        <f>SUM('Energy data 1990 - 2020'!D1008:E1008)</f>
        <v>489.97858666100001</v>
      </c>
      <c r="B1008" s="5"/>
      <c r="C1008" s="5">
        <f>AVERAGE('Energy data 1990 - 2020'!H1008)</f>
        <v>212.16988670000001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spans="1:16">
      <c r="A1009" s="5">
        <f>SUM('Energy data 1990 - 2020'!D1009:E1009)</f>
        <v>495.04251277899999</v>
      </c>
      <c r="B1009" s="5"/>
      <c r="C1009" s="5">
        <f>AVERAGE('Energy data 1990 - 2020'!H1009)</f>
        <v>213.9595046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1:16">
      <c r="A1010" s="5">
        <f>SUM('Energy data 1990 - 2020'!D1010:E1010)</f>
        <v>498.13293151699997</v>
      </c>
      <c r="B1010" s="5"/>
      <c r="C1010" s="5">
        <f>AVERAGE('Energy data 1990 - 2020'!H1010)</f>
        <v>217.80555699999999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spans="1:16">
      <c r="A1011" s="5">
        <f>SUM('Energy data 1990 - 2020'!D1011:E1011)</f>
        <v>519.30632437300005</v>
      </c>
      <c r="B1011" s="5"/>
      <c r="C1011" s="5">
        <f>AVERAGE('Energy data 1990 - 2020'!H1011)</f>
        <v>226.73895540000001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1:16">
      <c r="A1012" s="5">
        <f>SUM('Energy data 1990 - 2020'!D1012:E1012)</f>
        <v>532.60533361899991</v>
      </c>
      <c r="B1012" s="5"/>
      <c r="C1012" s="5">
        <f>AVERAGE('Energy data 1990 - 2020'!H1012)</f>
        <v>231.9695146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1:16">
      <c r="A1013" s="5">
        <f>SUM('Energy data 1990 - 2020'!D1013:E1013)</f>
        <v>544.60345057999996</v>
      </c>
      <c r="B1013" s="5"/>
      <c r="C1013" s="5">
        <f>AVERAGE('Energy data 1990 - 2020'!H1013)</f>
        <v>234.3266003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spans="1:16">
      <c r="A1014" s="5">
        <f>SUM('Energy data 1990 - 2020'!D1014:E1014)</f>
        <v>596.18900799300002</v>
      </c>
      <c r="B1014" s="5"/>
      <c r="C1014" s="5">
        <f>AVERAGE('Energy data 1990 - 2020'!H1014)</f>
        <v>255.59830020000001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spans="1:16">
      <c r="A1015" s="5">
        <f>SUM('Energy data 1990 - 2020'!D1015:E1015)</f>
        <v>627.94232998699999</v>
      </c>
      <c r="B1015" s="5"/>
      <c r="C1015" s="5">
        <f>AVERAGE('Energy data 1990 - 2020'!H1015)</f>
        <v>266.51319369999999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spans="1:16">
      <c r="A1016" s="5">
        <f>SUM('Energy data 1990 - 2020'!D1016:E1016)</f>
        <v>633.17282271199997</v>
      </c>
      <c r="B1016" s="5"/>
      <c r="C1016" s="5">
        <f>AVERAGE('Energy data 1990 - 2020'!H1016)</f>
        <v>270.51394149999999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1:16">
      <c r="A1017" s="5">
        <f>SUM('Energy data 1990 - 2020'!D1017:E1017)</f>
        <v>630.47177344599993</v>
      </c>
      <c r="B1017" s="5"/>
      <c r="C1017" s="5">
        <f>AVERAGE('Energy data 1990 - 2020'!H1017)</f>
        <v>271.50273700000002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spans="1:16">
      <c r="A1018" s="5">
        <f>SUM('Energy data 1990 - 2020'!D1018:E1018)</f>
        <v>626.54259308900009</v>
      </c>
      <c r="B1018" s="5"/>
      <c r="C1018" s="5">
        <f>AVERAGE('Energy data 1990 - 2020'!H1018)</f>
        <v>276.82251980000001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spans="1:16">
      <c r="A1019" s="5">
        <f>SUM('Energy data 1990 - 2020'!D1019:E1019)</f>
        <v>640.68898418599997</v>
      </c>
      <c r="B1019" s="5"/>
      <c r="C1019" s="5">
        <f>AVERAGE('Energy data 1990 - 2020'!H1019)</f>
        <v>283.00696699999997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spans="1:16">
      <c r="A1020" s="5">
        <f>SUM('Energy data 1990 - 2020'!D1020:E1020)</f>
        <v>658.13620433600011</v>
      </c>
      <c r="B1020" s="5"/>
      <c r="C1020" s="5">
        <f>AVERAGE('Energy data 1990 - 2020'!H1020)</f>
        <v>293.3488547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spans="1:16">
      <c r="A1021" s="5">
        <f>SUM('Energy data 1990 - 2020'!D1021:E1021)</f>
        <v>667.59730221999996</v>
      </c>
      <c r="B1021" s="5"/>
      <c r="C1021" s="5">
        <f>AVERAGE('Energy data 1990 - 2020'!H1021)</f>
        <v>295.0460033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spans="1:16">
      <c r="A1022" s="5">
        <f>SUM('Energy data 1990 - 2020'!D1022:E1022)</f>
        <v>669.6320000070001</v>
      </c>
      <c r="B1022" s="5"/>
      <c r="C1022" s="5">
        <f>AVERAGE('Energy data 1990 - 2020'!H1022)</f>
        <v>295.80903769999998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spans="1:16">
      <c r="A1023" s="5">
        <f>SUM('Energy data 1990 - 2020'!D1023:E1023)</f>
        <v>610.50115325599995</v>
      </c>
      <c r="B1023" s="5"/>
      <c r="C1023" s="5">
        <f>AVERAGE('Energy data 1990 - 2020'!H1023)</f>
        <v>292.54849259999997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spans="1:16">
      <c r="A1024" s="5">
        <f>SUM('Energy data 1990 - 2020'!D1024:E1024)</f>
        <v>571.78303616099993</v>
      </c>
      <c r="B1024" s="5"/>
      <c r="C1024" s="5">
        <f>AVERAGE('Energy data 1990 - 2020'!H1024)</f>
        <v>282.75092080000002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spans="1:16">
      <c r="A1025" s="5">
        <f>SUM('Energy data 1990 - 2020'!D1025:E1025)</f>
        <v>207.774693211</v>
      </c>
      <c r="B1025" s="5"/>
      <c r="C1025" s="5">
        <f>AVERAGE('Energy data 1990 - 2020'!H1025)</f>
        <v>90.095050369999996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spans="1:16">
      <c r="A1026" s="5">
        <f>SUM('Energy data 1990 - 2020'!D1026:E1026)</f>
        <v>216.536413229</v>
      </c>
      <c r="B1026" s="5"/>
      <c r="C1026" s="5">
        <f>AVERAGE('Energy data 1990 - 2020'!H1026)</f>
        <v>93.451549270000001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spans="1:16">
      <c r="A1027" s="5">
        <f>SUM('Energy data 1990 - 2020'!D1027:E1027)</f>
        <v>226.93095716800002</v>
      </c>
      <c r="B1027" s="5"/>
      <c r="C1027" s="5">
        <f>AVERAGE('Energy data 1990 - 2020'!H1027)</f>
        <v>95.190160219999996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spans="1:16">
      <c r="A1028" s="5">
        <f>SUM('Energy data 1990 - 2020'!D1028:E1028)</f>
        <v>213.044861811</v>
      </c>
      <c r="B1028" s="5"/>
      <c r="C1028" s="5">
        <f>AVERAGE('Energy data 1990 - 2020'!H1028)</f>
        <v>91.300365510000006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spans="1:16">
      <c r="A1029" s="5">
        <f>SUM('Energy data 1990 - 2020'!D1029:E1029)</f>
        <v>221.21836754500001</v>
      </c>
      <c r="B1029" s="5"/>
      <c r="C1029" s="5">
        <f>AVERAGE('Energy data 1990 - 2020'!H1029)</f>
        <v>96.341068309999997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spans="1:16">
      <c r="A1030" s="5">
        <f>SUM('Energy data 1990 - 2020'!D1030:E1030)</f>
        <v>233.828205935</v>
      </c>
      <c r="B1030" s="5"/>
      <c r="C1030" s="5">
        <f>AVERAGE('Energy data 1990 - 2020'!H1030)</f>
        <v>100.78230859999999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spans="1:16">
      <c r="A1031" s="5">
        <f>SUM('Energy data 1990 - 2020'!D1031:E1031)</f>
        <v>223.82227546799999</v>
      </c>
      <c r="B1031" s="5"/>
      <c r="C1031" s="5">
        <f>AVERAGE('Energy data 1990 - 2020'!H1031)</f>
        <v>99.299209050000002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spans="1:16">
      <c r="A1032" s="5">
        <f>SUM('Energy data 1990 - 2020'!D1032:E1032)</f>
        <v>243.10874808299999</v>
      </c>
      <c r="B1032" s="5"/>
      <c r="C1032" s="5">
        <f>AVERAGE('Energy data 1990 - 2020'!H1032)</f>
        <v>105.54166840000001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spans="1:16">
      <c r="A1033" s="5">
        <f>SUM('Energy data 1990 - 2020'!D1033:E1033)</f>
        <v>251.446122301</v>
      </c>
      <c r="B1033" s="5"/>
      <c r="C1033" s="5">
        <f>AVERAGE('Energy data 1990 - 2020'!H1033)</f>
        <v>110.8685545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spans="1:16">
      <c r="A1034" s="5">
        <f>SUM('Energy data 1990 - 2020'!D1034:E1034)</f>
        <v>272.68566347399997</v>
      </c>
      <c r="B1034" s="5"/>
      <c r="C1034" s="5">
        <f>AVERAGE('Energy data 1990 - 2020'!H1034)</f>
        <v>116.23626470000001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spans="1:16">
      <c r="A1035" s="5">
        <f>SUM('Energy data 1990 - 2020'!D1035:E1035)</f>
        <v>288.83583681099998</v>
      </c>
      <c r="B1035" s="5"/>
      <c r="C1035" s="5">
        <f>AVERAGE('Energy data 1990 - 2020'!H1035)</f>
        <v>121.3625097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spans="1:16">
      <c r="A1036" s="5">
        <f>SUM('Energy data 1990 - 2020'!D1036:E1036)</f>
        <v>289.045343597</v>
      </c>
      <c r="B1036" s="5"/>
      <c r="C1036" s="5">
        <f>AVERAGE('Energy data 1990 - 2020'!H1036)</f>
        <v>124.5507868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spans="1:16">
      <c r="A1037" s="5">
        <f>SUM('Energy data 1990 - 2020'!D1037:E1037)</f>
        <v>306.31212116700004</v>
      </c>
      <c r="B1037" s="5"/>
      <c r="C1037" s="5">
        <f>AVERAGE('Energy data 1990 - 2020'!H1037)</f>
        <v>128.2773909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spans="1:16">
      <c r="A1038" s="5">
        <f>SUM('Energy data 1990 - 2020'!D1038:E1038)</f>
        <v>312.645757033</v>
      </c>
      <c r="B1038" s="5"/>
      <c r="C1038" s="5">
        <f>AVERAGE('Energy data 1990 - 2020'!H1038)</f>
        <v>132.70520379999999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spans="1:16">
      <c r="A1039" s="5">
        <f>SUM('Energy data 1990 - 2020'!D1039:E1039)</f>
        <v>328.158033139</v>
      </c>
      <c r="B1039" s="5"/>
      <c r="C1039" s="5">
        <f>AVERAGE('Energy data 1990 - 2020'!H1039)</f>
        <v>138.74223910000001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spans="1:16">
      <c r="A1040" s="5">
        <f>SUM('Energy data 1990 - 2020'!D1040:E1040)</f>
        <v>342.11007168999998</v>
      </c>
      <c r="B1040" s="5"/>
      <c r="C1040" s="5">
        <f>AVERAGE('Energy data 1990 - 2020'!H1040)</f>
        <v>141.8553182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spans="1:16">
      <c r="A1041" s="5">
        <f>SUM('Energy data 1990 - 2020'!D1041:E1041)</f>
        <v>333.07864914200002</v>
      </c>
      <c r="B1041" s="5"/>
      <c r="C1041" s="5">
        <f>AVERAGE('Energy data 1990 - 2020'!H1041)</f>
        <v>141.32237889999999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spans="1:16">
      <c r="A1042" s="5">
        <f>SUM('Energy data 1990 - 2020'!D1042:E1042)</f>
        <v>346.86088515900002</v>
      </c>
      <c r="B1042" s="5"/>
      <c r="C1042" s="5">
        <f>AVERAGE('Energy data 1990 - 2020'!H1042)</f>
        <v>143.36286079999999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spans="1:16">
      <c r="A1043" s="5">
        <f>SUM('Energy data 1990 - 2020'!D1043:E1043)</f>
        <v>318.00955672999999</v>
      </c>
      <c r="B1043" s="5"/>
      <c r="C1043" s="5">
        <f>AVERAGE('Energy data 1990 - 2020'!H1043)</f>
        <v>138.5975727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spans="1:16">
      <c r="A1044" s="5">
        <f>SUM('Energy data 1990 - 2020'!D1044:E1044)</f>
        <v>282.71914461099999</v>
      </c>
      <c r="B1044" s="5"/>
      <c r="C1044" s="5">
        <f>AVERAGE('Energy data 1990 - 2020'!H1044)</f>
        <v>127.40534100000001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spans="1:16">
      <c r="A1045" s="5">
        <f>SUM('Energy data 1990 - 2020'!D1045:E1045)</f>
        <v>269.08969465700005</v>
      </c>
      <c r="B1045" s="5"/>
      <c r="C1045" s="5">
        <f>AVERAGE('Energy data 1990 - 2020'!H1045)</f>
        <v>127.0966078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spans="1:16">
      <c r="A1046" s="5">
        <f>SUM('Energy data 1990 - 2020'!D1046:E1046)</f>
        <v>272.50420848700003</v>
      </c>
      <c r="B1046" s="5"/>
      <c r="C1046" s="5">
        <f>AVERAGE('Energy data 1990 - 2020'!H1046)</f>
        <v>125.12381999999999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spans="1:16">
      <c r="A1047" s="5">
        <f>SUM('Energy data 1990 - 2020'!D1047:E1047)</f>
        <v>267.62212010600001</v>
      </c>
      <c r="B1047" s="5"/>
      <c r="C1047" s="5">
        <f>AVERAGE('Energy data 1990 - 2020'!H1047)</f>
        <v>124.38380119999999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spans="1:16">
      <c r="A1048" s="5">
        <f>SUM('Energy data 1990 - 2020'!D1048:E1048)</f>
        <v>240.33612920300001</v>
      </c>
      <c r="B1048" s="5"/>
      <c r="C1048" s="5">
        <f>AVERAGE('Energy data 1990 - 2020'!H1048)</f>
        <v>115.8489865</v>
      </c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spans="1:16">
      <c r="A1049" s="5">
        <f>SUM('Energy data 1990 - 2020'!D1049:E1049)</f>
        <v>238.088394795</v>
      </c>
      <c r="B1049" s="5"/>
      <c r="C1049" s="5">
        <f>AVERAGE('Energy data 1990 - 2020'!H1049)</f>
        <v>113.19988429999999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spans="1:16">
      <c r="A1050" s="5">
        <f>SUM('Energy data 1990 - 2020'!D1050:E1050)</f>
        <v>253.84201418399999</v>
      </c>
      <c r="B1050" s="5"/>
      <c r="C1050" s="5">
        <f>AVERAGE('Energy data 1990 - 2020'!H1050)</f>
        <v>117.47859649999999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spans="1:16">
      <c r="A1051" s="5">
        <f>SUM('Energy data 1990 - 2020'!D1051:E1051)</f>
        <v>244.895629926</v>
      </c>
      <c r="B1051" s="5"/>
      <c r="C1051" s="5">
        <f>AVERAGE('Energy data 1990 - 2020'!H1051)</f>
        <v>118.4749132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spans="1:16">
      <c r="A1052" s="5">
        <f>SUM('Energy data 1990 - 2020'!D1052:E1052)</f>
        <v>260.28254274</v>
      </c>
      <c r="B1052" s="5"/>
      <c r="C1052" s="5">
        <f>AVERAGE('Energy data 1990 - 2020'!H1052)</f>
        <v>124.6538434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spans="1:16">
      <c r="A1053" s="5">
        <f>SUM('Energy data 1990 - 2020'!D1053:E1053)</f>
        <v>255.46774148199998</v>
      </c>
      <c r="B1053" s="5"/>
      <c r="C1053" s="5">
        <f>AVERAGE('Energy data 1990 - 2020'!H1053)</f>
        <v>124.2383476</v>
      </c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spans="1:16">
      <c r="A1054" s="5">
        <f>SUM('Energy data 1990 - 2020'!D1054:E1054)</f>
        <v>239.09215143199998</v>
      </c>
      <c r="B1054" s="5"/>
      <c r="C1054" s="5">
        <f>AVERAGE('Energy data 1990 - 2020'!H1054)</f>
        <v>120.66016860000001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spans="1:16">
      <c r="A1055" s="5">
        <f>SUM('Energy data 1990 - 2020'!D1055:E1055)</f>
        <v>192.91535802300001</v>
      </c>
      <c r="B1055" s="5"/>
      <c r="C1055" s="5">
        <f>AVERAGE('Energy data 1990 - 2020'!H1055)</f>
        <v>106.88292749999999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spans="1:16">
      <c r="A1056" s="5">
        <f>SUM('Energy data 1990 - 2020'!D1056:E1056)</f>
        <v>53.693018571000003</v>
      </c>
      <c r="B1056" s="5"/>
      <c r="C1056" s="5">
        <f>AVERAGE('Energy data 1990 - 2020'!H1056)</f>
        <v>47.199333639999999</v>
      </c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spans="1:16">
      <c r="A1057" s="5">
        <f>SUM('Energy data 1990 - 2020'!D1057:E1057)</f>
        <v>53.881145769999996</v>
      </c>
      <c r="B1057" s="5"/>
      <c r="C1057" s="5">
        <f>AVERAGE('Energy data 1990 - 2020'!H1057)</f>
        <v>48.691528290000001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spans="1:16">
      <c r="A1058" s="5">
        <f>SUM('Energy data 1990 - 2020'!D1058:E1058)</f>
        <v>54.44418494</v>
      </c>
      <c r="B1058" s="5"/>
      <c r="C1058" s="5">
        <f>AVERAGE('Energy data 1990 - 2020'!H1058)</f>
        <v>46.523716280000002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spans="1:16">
      <c r="A1059" s="5">
        <f>SUM('Energy data 1990 - 2020'!D1059:E1059)</f>
        <v>53.648481523000001</v>
      </c>
      <c r="B1059" s="5"/>
      <c r="C1059" s="5">
        <f>AVERAGE('Energy data 1990 - 2020'!H1059)</f>
        <v>46.479902000000003</v>
      </c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spans="1:16">
      <c r="A1060" s="5">
        <f>SUM('Energy data 1990 - 2020'!D1060:E1060)</f>
        <v>56.435901898999994</v>
      </c>
      <c r="B1060" s="5"/>
      <c r="C1060" s="5">
        <f>AVERAGE('Energy data 1990 - 2020'!H1060)</f>
        <v>49.702566310000002</v>
      </c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spans="1:16">
      <c r="A1061" s="5">
        <f>SUM('Energy data 1990 - 2020'!D1061:E1061)</f>
        <v>56.161382055000004</v>
      </c>
      <c r="B1061" s="5"/>
      <c r="C1061" s="5">
        <f>AVERAGE('Energy data 1990 - 2020'!H1061)</f>
        <v>50.310320910000002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spans="1:16">
      <c r="A1062" s="5">
        <f>SUM('Energy data 1990 - 2020'!D1062:E1062)</f>
        <v>61.673133194999998</v>
      </c>
      <c r="B1062" s="5"/>
      <c r="C1062" s="5">
        <f>AVERAGE('Energy data 1990 - 2020'!H1062)</f>
        <v>51.47588949</v>
      </c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spans="1:16">
      <c r="A1063" s="5">
        <f>SUM('Energy data 1990 - 2020'!D1063:E1063)</f>
        <v>56.165651996000001</v>
      </c>
      <c r="B1063" s="5"/>
      <c r="C1063" s="5">
        <f>AVERAGE('Energy data 1990 - 2020'!H1063)</f>
        <v>50.184794799999999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spans="1:16">
      <c r="A1064" s="5">
        <f>SUM('Energy data 1990 - 2020'!D1064:E1064)</f>
        <v>56.968933377999996</v>
      </c>
      <c r="B1064" s="5"/>
      <c r="C1064" s="5">
        <f>AVERAGE('Energy data 1990 - 2020'!H1064)</f>
        <v>51.04563641</v>
      </c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spans="1:16">
      <c r="A1065" s="5">
        <f>SUM('Energy data 1990 - 2020'!D1065:E1065)</f>
        <v>55.539724623000005</v>
      </c>
      <c r="B1065" s="5"/>
      <c r="C1065" s="5">
        <f>AVERAGE('Energy data 1990 - 2020'!H1065)</f>
        <v>50.11648563</v>
      </c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spans="1:16">
      <c r="A1066" s="5">
        <f>SUM('Energy data 1990 - 2020'!D1066:E1066)</f>
        <v>52.049978578999998</v>
      </c>
      <c r="B1066" s="5"/>
      <c r="C1066" s="5">
        <f>AVERAGE('Energy data 1990 - 2020'!H1066)</f>
        <v>47.528272659999999</v>
      </c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spans="1:16">
      <c r="A1067" s="5">
        <f>SUM('Energy data 1990 - 2020'!D1067:E1067)</f>
        <v>52.882932066000002</v>
      </c>
      <c r="B1067" s="5"/>
      <c r="C1067" s="5">
        <f>AVERAGE('Energy data 1990 - 2020'!H1067)</f>
        <v>50.499275480000001</v>
      </c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spans="1:16">
      <c r="A1068" s="5">
        <f>SUM('Energy data 1990 - 2020'!D1068:E1068)</f>
        <v>54.339460928999998</v>
      </c>
      <c r="B1068" s="5"/>
      <c r="C1068" s="5">
        <f>AVERAGE('Energy data 1990 - 2020'!H1068)</f>
        <v>51.738500989999999</v>
      </c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spans="1:16">
      <c r="A1069" s="5">
        <f>SUM('Energy data 1990 - 2020'!D1069:E1069)</f>
        <v>55.749025589999995</v>
      </c>
      <c r="B1069" s="5"/>
      <c r="C1069" s="5">
        <f>AVERAGE('Energy data 1990 - 2020'!H1069)</f>
        <v>50.590580289999998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spans="1:16">
      <c r="A1070" s="5">
        <f>SUM('Energy data 1990 - 2020'!D1070:E1070)</f>
        <v>54.105679624000004</v>
      </c>
      <c r="B1070" s="5"/>
      <c r="C1070" s="5">
        <f>AVERAGE('Energy data 1990 - 2020'!H1070)</f>
        <v>52.555260390000001</v>
      </c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spans="1:16">
      <c r="A1071" s="5">
        <f>SUM('Energy data 1990 - 2020'!D1071:E1071)</f>
        <v>51.374372121999997</v>
      </c>
      <c r="B1071" s="5"/>
      <c r="C1071" s="5">
        <f>AVERAGE('Energy data 1990 - 2020'!H1071)</f>
        <v>51.571357679999998</v>
      </c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spans="1:16">
      <c r="A1072" s="5">
        <f>SUM('Energy data 1990 - 2020'!D1072:E1072)</f>
        <v>52.401448598999998</v>
      </c>
      <c r="B1072" s="5"/>
      <c r="C1072" s="5">
        <f>AVERAGE('Energy data 1990 - 2020'!H1072)</f>
        <v>50.201783689999999</v>
      </c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spans="1:16">
      <c r="A1073" s="5">
        <f>SUM('Energy data 1990 - 2020'!D1073:E1073)</f>
        <v>49.896001565000006</v>
      </c>
      <c r="B1073" s="5"/>
      <c r="C1073" s="5">
        <f>AVERAGE('Energy data 1990 - 2020'!H1073)</f>
        <v>49.933508750000001</v>
      </c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spans="1:16">
      <c r="A1074" s="5">
        <f>SUM('Energy data 1990 - 2020'!D1074:E1074)</f>
        <v>48.961733615999997</v>
      </c>
      <c r="B1074" s="5"/>
      <c r="C1074" s="5">
        <f>AVERAGE('Energy data 1990 - 2020'!H1074)</f>
        <v>49.553119219999999</v>
      </c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spans="1:16">
      <c r="A1075" s="5">
        <f>SUM('Energy data 1990 - 2020'!D1075:E1075)</f>
        <v>45.089946472000001</v>
      </c>
      <c r="B1075" s="5"/>
      <c r="C1075" s="5">
        <f>AVERAGE('Energy data 1990 - 2020'!H1075)</f>
        <v>45.386452349999999</v>
      </c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spans="1:16">
      <c r="A1076" s="5">
        <f>SUM('Energy data 1990 - 2020'!D1076:E1076)</f>
        <v>50.174443466</v>
      </c>
      <c r="B1076" s="5"/>
      <c r="C1076" s="5">
        <f>AVERAGE('Energy data 1990 - 2020'!H1076)</f>
        <v>50.874461599999997</v>
      </c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spans="1:16">
      <c r="A1077" s="5">
        <f>SUM('Energy data 1990 - 2020'!D1077:E1077)</f>
        <v>45.721874137999997</v>
      </c>
      <c r="B1077" s="5"/>
      <c r="C1077" s="5">
        <f>AVERAGE('Energy data 1990 - 2020'!H1077)</f>
        <v>49.575526050000001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spans="1:16">
      <c r="A1078" s="5">
        <f>SUM('Energy data 1990 - 2020'!D1078:E1078)</f>
        <v>42.860642564000003</v>
      </c>
      <c r="B1078" s="5"/>
      <c r="C1078" s="5">
        <f>AVERAGE('Energy data 1990 - 2020'!H1078)</f>
        <v>50.080332650000003</v>
      </c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spans="1:16">
      <c r="A1079" s="5">
        <f>SUM('Energy data 1990 - 2020'!D1079:E1079)</f>
        <v>41.385884203000003</v>
      </c>
      <c r="B1079" s="5"/>
      <c r="C1079" s="5">
        <f>AVERAGE('Energy data 1990 - 2020'!H1079)</f>
        <v>49.270223610000002</v>
      </c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spans="1:16">
      <c r="A1080" s="5">
        <f>SUM('Energy data 1990 - 2020'!D1080:E1080)</f>
        <v>40.056981405000002</v>
      </c>
      <c r="B1080" s="5"/>
      <c r="C1080" s="5">
        <f>AVERAGE('Energy data 1990 - 2020'!H1080)</f>
        <v>48.057204810000002</v>
      </c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spans="1:16">
      <c r="A1081" s="5">
        <f>SUM('Energy data 1990 - 2020'!D1081:E1081)</f>
        <v>39.836487663999996</v>
      </c>
      <c r="B1081" s="5"/>
      <c r="C1081" s="5">
        <f>AVERAGE('Energy data 1990 - 2020'!H1081)</f>
        <v>44.362168969999999</v>
      </c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spans="1:16">
      <c r="A1082" s="5">
        <f>SUM('Energy data 1990 - 2020'!D1082:E1082)</f>
        <v>39.848129934000006</v>
      </c>
      <c r="B1082" s="5"/>
      <c r="C1082" s="5">
        <f>AVERAGE('Energy data 1990 - 2020'!H1082)</f>
        <v>47.743684500000001</v>
      </c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spans="1:16">
      <c r="A1083" s="5">
        <f>SUM('Energy data 1990 - 2020'!D1083:E1083)</f>
        <v>39.852648180999999</v>
      </c>
      <c r="B1083" s="5"/>
      <c r="C1083" s="5">
        <f>AVERAGE('Energy data 1990 - 2020'!H1083)</f>
        <v>49.051356830000003</v>
      </c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spans="1:16">
      <c r="A1084" s="5">
        <f>SUM('Energy data 1990 - 2020'!D1084:E1084)</f>
        <v>37.322063685000003</v>
      </c>
      <c r="B1084" s="5"/>
      <c r="C1084" s="5">
        <f>AVERAGE('Energy data 1990 - 2020'!H1084)</f>
        <v>49.736077590000001</v>
      </c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spans="1:16">
      <c r="A1085" s="5">
        <f>SUM('Energy data 1990 - 2020'!D1085:E1085)</f>
        <v>36.811289854999998</v>
      </c>
      <c r="B1085" s="5"/>
      <c r="C1085" s="5">
        <f>AVERAGE('Energy data 1990 - 2020'!H1085)</f>
        <v>48.84835528</v>
      </c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spans="1:16">
      <c r="A1086" s="5">
        <f>SUM('Energy data 1990 - 2020'!D1086:E1086)</f>
        <v>32.890181843000001</v>
      </c>
      <c r="B1086" s="5"/>
      <c r="C1086" s="5">
        <f>AVERAGE('Energy data 1990 - 2020'!H1086)</f>
        <v>46.8129299</v>
      </c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spans="1:16">
      <c r="A1087" s="5">
        <f>SUM('Energy data 1990 - 2020'!D1087:E1087)</f>
        <v>114.756959653</v>
      </c>
      <c r="B1087" s="5"/>
      <c r="C1087" s="5">
        <f>AVERAGE('Energy data 1990 - 2020'!H1087)</f>
        <v>47.601186810000002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spans="1:16">
      <c r="A1088" s="5">
        <f>SUM('Energy data 1990 - 2020'!D1088:E1088)</f>
        <v>123.950438256</v>
      </c>
      <c r="B1088" s="5"/>
      <c r="C1088" s="5">
        <f>AVERAGE('Energy data 1990 - 2020'!H1088)</f>
        <v>51.517610099999999</v>
      </c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spans="1:16">
      <c r="A1089" s="5">
        <f>SUM('Energy data 1990 - 2020'!D1089:E1089)</f>
        <v>131.330127906</v>
      </c>
      <c r="B1089" s="5"/>
      <c r="C1089" s="5">
        <f>AVERAGE('Energy data 1990 - 2020'!H1089)</f>
        <v>53.736098570000003</v>
      </c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spans="1:16">
      <c r="A1090" s="5">
        <f>SUM('Energy data 1990 - 2020'!D1090:E1090)</f>
        <v>140.499203368</v>
      </c>
      <c r="B1090" s="5"/>
      <c r="C1090" s="5">
        <f>AVERAGE('Energy data 1990 - 2020'!H1090)</f>
        <v>57.540415950000003</v>
      </c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spans="1:16">
      <c r="A1091" s="5">
        <f>SUM('Energy data 1990 - 2020'!D1091:E1091)</f>
        <v>148.75039124899999</v>
      </c>
      <c r="B1091" s="5"/>
      <c r="C1091" s="5">
        <f>AVERAGE('Energy data 1990 - 2020'!H1091)</f>
        <v>60.349554789999999</v>
      </c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spans="1:16">
      <c r="A1092" s="5">
        <f>SUM('Energy data 1990 - 2020'!D1092:E1092)</f>
        <v>157.60263599500001</v>
      </c>
      <c r="B1092" s="5"/>
      <c r="C1092" s="5">
        <f>AVERAGE('Energy data 1990 - 2020'!H1092)</f>
        <v>63.452333779999996</v>
      </c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spans="1:16">
      <c r="A1093" s="5">
        <f>SUM('Energy data 1990 - 2020'!D1093:E1093)</f>
        <v>165.283777491</v>
      </c>
      <c r="B1093" s="5"/>
      <c r="C1093" s="5">
        <f>AVERAGE('Energy data 1990 - 2020'!H1093)</f>
        <v>66.734820020000001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spans="1:16">
      <c r="A1094" s="5">
        <f>SUM('Energy data 1990 - 2020'!D1094:E1094)</f>
        <v>178.08646417900002</v>
      </c>
      <c r="B1094" s="5"/>
      <c r="C1094" s="5">
        <f>AVERAGE('Energy data 1990 - 2020'!H1094)</f>
        <v>70.562968699999999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spans="1:16">
      <c r="A1095" s="5">
        <f>SUM('Energy data 1990 - 2020'!D1095:E1095)</f>
        <v>188.51751824299998</v>
      </c>
      <c r="B1095" s="5"/>
      <c r="C1095" s="5">
        <f>AVERAGE('Energy data 1990 - 2020'!H1095)</f>
        <v>75.416882619999996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spans="1:16">
      <c r="A1096" s="5">
        <f>SUM('Energy data 1990 - 2020'!D1096:E1096)</f>
        <v>197.06406596600002</v>
      </c>
      <c r="B1096" s="5"/>
      <c r="C1096" s="5">
        <f>AVERAGE('Energy data 1990 - 2020'!H1096)</f>
        <v>78.545681329999994</v>
      </c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spans="1:16">
      <c r="A1097" s="5">
        <f>SUM('Energy data 1990 - 2020'!D1097:E1097)</f>
        <v>214.82150183900001</v>
      </c>
      <c r="B1097" s="5"/>
      <c r="C1097" s="5">
        <f>AVERAGE('Energy data 1990 - 2020'!H1097)</f>
        <v>84.918131149999994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spans="1:16">
      <c r="A1098" s="5">
        <f>SUM('Energy data 1990 - 2020'!D1098:E1098)</f>
        <v>223.285132922</v>
      </c>
      <c r="B1098" s="5"/>
      <c r="C1098" s="5">
        <f>AVERAGE('Energy data 1990 - 2020'!H1098)</f>
        <v>86.493292460000006</v>
      </c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spans="1:16">
      <c r="A1099" s="5">
        <f>SUM('Energy data 1990 - 2020'!D1099:E1099)</f>
        <v>231.22808857499999</v>
      </c>
      <c r="B1099" s="5"/>
      <c r="C1099" s="5">
        <f>AVERAGE('Energy data 1990 - 2020'!H1099)</f>
        <v>90.473440670000002</v>
      </c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spans="1:16">
      <c r="A1100" s="5">
        <f>SUM('Energy data 1990 - 2020'!D1100:E1100)</f>
        <v>241.84193439700002</v>
      </c>
      <c r="B1100" s="5"/>
      <c r="C1100" s="5">
        <f>AVERAGE('Energy data 1990 - 2020'!H1100)</f>
        <v>94.230527850000001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spans="1:16">
      <c r="A1101" s="5">
        <f>SUM('Energy data 1990 - 2020'!D1101:E1101)</f>
        <v>249.841642769</v>
      </c>
      <c r="B1101" s="5"/>
      <c r="C1101" s="5">
        <f>AVERAGE('Energy data 1990 - 2020'!H1101)</f>
        <v>95.521059829999999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spans="1:16">
      <c r="A1102" s="5">
        <f>SUM('Energy data 1990 - 2020'!D1102:E1102)</f>
        <v>253.360125079</v>
      </c>
      <c r="B1102" s="5"/>
      <c r="C1102" s="5">
        <f>AVERAGE('Energy data 1990 - 2020'!H1102)</f>
        <v>97.604425489999997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spans="1:16">
      <c r="A1103" s="5">
        <f>SUM('Energy data 1990 - 2020'!D1103:E1103)</f>
        <v>260.95844323</v>
      </c>
      <c r="B1103" s="5"/>
      <c r="C1103" s="5">
        <f>AVERAGE('Energy data 1990 - 2020'!H1103)</f>
        <v>100.3625924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spans="1:16">
      <c r="A1104" s="5">
        <f>SUM('Energy data 1990 - 2020'!D1104:E1104)</f>
        <v>265.68525605299999</v>
      </c>
      <c r="B1104" s="5"/>
      <c r="C1104" s="5">
        <f>AVERAGE('Energy data 1990 - 2020'!H1104)</f>
        <v>104.84371419999999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spans="1:16">
      <c r="A1105" s="5">
        <f>SUM('Energy data 1990 - 2020'!D1105:E1105)</f>
        <v>253.22751532300001</v>
      </c>
      <c r="B1105" s="5"/>
      <c r="C1105" s="5">
        <f>AVERAGE('Energy data 1990 - 2020'!H1105)</f>
        <v>100.73633770000001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spans="1:16">
      <c r="A1106" s="5">
        <f>SUM('Energy data 1990 - 2020'!D1106:E1106)</f>
        <v>239.53909850400001</v>
      </c>
      <c r="B1106" s="5"/>
      <c r="C1106" s="5">
        <f>AVERAGE('Energy data 1990 - 2020'!H1106)</f>
        <v>100.3306961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spans="1:16">
      <c r="A1107" s="5">
        <f>SUM('Energy data 1990 - 2020'!D1107:E1107)</f>
        <v>256.50106530100004</v>
      </c>
      <c r="B1107" s="5"/>
      <c r="C1107" s="5">
        <f>AVERAGE('Energy data 1990 - 2020'!H1107)</f>
        <v>105.89533969999999</v>
      </c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spans="1:16">
      <c r="A1108" s="5">
        <f>SUM('Energy data 1990 - 2020'!D1108:E1108)</f>
        <v>262.39726416999997</v>
      </c>
      <c r="B1108" s="5"/>
      <c r="C1108" s="5">
        <f>AVERAGE('Energy data 1990 - 2020'!H1108)</f>
        <v>105.4558033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spans="1:16">
      <c r="A1109" s="5">
        <f>SUM('Energy data 1990 - 2020'!D1109:E1109)</f>
        <v>257.964555416</v>
      </c>
      <c r="B1109" s="5"/>
      <c r="C1109" s="5">
        <f>AVERAGE('Energy data 1990 - 2020'!H1109)</f>
        <v>105.0339049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spans="1:16">
      <c r="A1110" s="5">
        <f>SUM('Energy data 1990 - 2020'!D1110:E1110)</f>
        <v>259.80695846899999</v>
      </c>
      <c r="B1110" s="5"/>
      <c r="C1110" s="5">
        <f>AVERAGE('Energy data 1990 - 2020'!H1110)</f>
        <v>106.8817829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spans="1:16">
      <c r="A1111" s="5">
        <f>SUM('Energy data 1990 - 2020'!D1111:E1111)</f>
        <v>266.94192992399996</v>
      </c>
      <c r="B1111" s="5"/>
      <c r="C1111" s="5">
        <f>AVERAGE('Energy data 1990 - 2020'!H1111)</f>
        <v>109.07789699999999</v>
      </c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spans="1:16">
      <c r="A1112" s="5">
        <f>SUM('Energy data 1990 - 2020'!D1112:E1112)</f>
        <v>267.55832388300001</v>
      </c>
      <c r="B1112" s="5"/>
      <c r="C1112" s="5">
        <f>AVERAGE('Energy data 1990 - 2020'!H1112)</f>
        <v>106.85508280000001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spans="1:16">
      <c r="A1113" s="5">
        <f>SUM('Energy data 1990 - 2020'!D1113:E1113)</f>
        <v>270.95002645</v>
      </c>
      <c r="B1113" s="5"/>
      <c r="C1113" s="5">
        <f>AVERAGE('Energy data 1990 - 2020'!H1113)</f>
        <v>108.6318418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spans="1:16">
      <c r="A1114" s="5">
        <f>SUM('Energy data 1990 - 2020'!D1114:E1114)</f>
        <v>278.39384741199996</v>
      </c>
      <c r="B1114" s="5"/>
      <c r="C1114" s="5">
        <f>AVERAGE('Energy data 1990 - 2020'!H1114)</f>
        <v>107.4045804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spans="1:16">
      <c r="A1115" s="5">
        <f>SUM('Energy data 1990 - 2020'!D1115:E1115)</f>
        <v>274.17860453200001</v>
      </c>
      <c r="B1115" s="5"/>
      <c r="C1115" s="5">
        <f>AVERAGE('Energy data 1990 - 2020'!H1115)</f>
        <v>110.2785339</v>
      </c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spans="1:16">
      <c r="A1116" s="5">
        <f>SUM('Energy data 1990 - 2020'!D1116:E1116)</f>
        <v>263.59777042200005</v>
      </c>
      <c r="B1116" s="5"/>
      <c r="C1116" s="5">
        <f>AVERAGE('Energy data 1990 - 2020'!H1116)</f>
        <v>107.555148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spans="1:16">
      <c r="A1117" s="5">
        <f>SUM('Energy data 1990 - 2020'!D1117:E1117)</f>
        <v>259.57718951300001</v>
      </c>
      <c r="B1117" s="5"/>
      <c r="C1117" s="5">
        <f>AVERAGE('Energy data 1990 - 2020'!H1117)</f>
        <v>105.45635729999999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spans="1:16">
      <c r="A1118" s="5">
        <f>SUM('Energy data 1990 - 2020'!D1118:E1118)</f>
        <v>82.841271977999995</v>
      </c>
      <c r="B1118" s="5"/>
      <c r="C1118" s="5">
        <f>AVERAGE('Energy data 1990 - 2020'!H1118)</f>
        <v>42.178578000000002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spans="1:16">
      <c r="A1119" s="5">
        <f>SUM('Energy data 1990 - 2020'!D1119:E1119)</f>
        <v>92.042291430999995</v>
      </c>
      <c r="B1119" s="5"/>
      <c r="C1119" s="5">
        <f>AVERAGE('Energy data 1990 - 2020'!H1119)</f>
        <v>45.795729899999998</v>
      </c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spans="1:16">
      <c r="A1120" s="5">
        <f>SUM('Energy data 1990 - 2020'!D1120:E1120)</f>
        <v>100.36854803199999</v>
      </c>
      <c r="B1120" s="5"/>
      <c r="C1120" s="5">
        <f>AVERAGE('Energy data 1990 - 2020'!H1120)</f>
        <v>48.765915309999997</v>
      </c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spans="1:16">
      <c r="A1121" s="5">
        <f>SUM('Energy data 1990 - 2020'!D1121:E1121)</f>
        <v>113.30700879</v>
      </c>
      <c r="B1121" s="5"/>
      <c r="C1121" s="5">
        <f>AVERAGE('Energy data 1990 - 2020'!H1121)</f>
        <v>51.425544389999999</v>
      </c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spans="1:16">
      <c r="A1122" s="5">
        <f>SUM('Energy data 1990 - 2020'!D1122:E1122)</f>
        <v>127.24852013600001</v>
      </c>
      <c r="B1122" s="5"/>
      <c r="C1122" s="5">
        <f>AVERAGE('Energy data 1990 - 2020'!H1122)</f>
        <v>56.83009157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spans="1:16">
      <c r="A1123" s="5">
        <f>SUM('Energy data 1990 - 2020'!D1123:E1123)</f>
        <v>143.34224355999999</v>
      </c>
      <c r="B1123" s="5"/>
      <c r="C1123" s="5">
        <f>AVERAGE('Energy data 1990 - 2020'!H1123)</f>
        <v>61.929114310000003</v>
      </c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spans="1:16">
      <c r="A1124" s="5">
        <f>SUM('Energy data 1990 - 2020'!D1124:E1124)</f>
        <v>161.58421769899999</v>
      </c>
      <c r="B1124" s="5"/>
      <c r="C1124" s="5">
        <f>AVERAGE('Energy data 1990 - 2020'!H1124)</f>
        <v>69.246946370000003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spans="1:16">
      <c r="A1125" s="5">
        <f>SUM('Energy data 1990 - 2020'!D1125:E1125)</f>
        <v>165.59920049999999</v>
      </c>
      <c r="B1125" s="5"/>
      <c r="C1125" s="5">
        <f>AVERAGE('Energy data 1990 - 2020'!H1125)</f>
        <v>70.537674539999998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spans="1:16">
      <c r="A1126" s="5">
        <f>SUM('Energy data 1990 - 2020'!D1126:E1126)</f>
        <v>150.76887921900001</v>
      </c>
      <c r="B1126" s="5"/>
      <c r="C1126" s="5">
        <f>AVERAGE('Energy data 1990 - 2020'!H1126)</f>
        <v>66.138271399999994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spans="1:16">
      <c r="A1127" s="5">
        <f>SUM('Energy data 1990 - 2020'!D1127:E1127)</f>
        <v>156.909637105</v>
      </c>
      <c r="B1127" s="5"/>
      <c r="C1127" s="5">
        <f>AVERAGE('Energy data 1990 - 2020'!H1127)</f>
        <v>70.609181129999996</v>
      </c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spans="1:16">
      <c r="A1128" s="5">
        <f>SUM('Energy data 1990 - 2020'!D1128:E1128)</f>
        <v>157.60615370299999</v>
      </c>
      <c r="B1128" s="5"/>
      <c r="C1128" s="5">
        <f>AVERAGE('Energy data 1990 - 2020'!H1128)</f>
        <v>72.29276539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spans="1:16">
      <c r="A1129" s="5">
        <f>SUM('Energy data 1990 - 2020'!D1129:E1129)</f>
        <v>165.925498065</v>
      </c>
      <c r="B1129" s="5"/>
      <c r="C1129" s="5">
        <f>AVERAGE('Energy data 1990 - 2020'!H1129)</f>
        <v>74.396123590000002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spans="1:16">
      <c r="A1130" s="5">
        <f>SUM('Energy data 1990 - 2020'!D1130:E1130)</f>
        <v>177.45713366999999</v>
      </c>
      <c r="B1130" s="5"/>
      <c r="C1130" s="5">
        <f>AVERAGE('Energy data 1990 - 2020'!H1130)</f>
        <v>82.271374420000001</v>
      </c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spans="1:16">
      <c r="A1131" s="5">
        <f>SUM('Energy data 1990 - 2020'!D1131:E1131)</f>
        <v>186.73457369899998</v>
      </c>
      <c r="B1131" s="5"/>
      <c r="C1131" s="5">
        <f>AVERAGE('Energy data 1990 - 2020'!H1131)</f>
        <v>89.12299428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spans="1:16">
      <c r="A1132" s="5">
        <f>SUM('Energy data 1990 - 2020'!D1132:E1132)</f>
        <v>203.62273687999999</v>
      </c>
      <c r="B1132" s="5"/>
      <c r="C1132" s="5">
        <f>AVERAGE('Energy data 1990 - 2020'!H1132)</f>
        <v>96.307854840000005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spans="1:16">
      <c r="A1133" s="5">
        <f>SUM('Energy data 1990 - 2020'!D1133:E1133)</f>
        <v>209.86621159499998</v>
      </c>
      <c r="B1133" s="5"/>
      <c r="C1133" s="5">
        <f>AVERAGE('Energy data 1990 - 2020'!H1133)</f>
        <v>99.183410539999997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spans="1:16">
      <c r="A1134" s="5">
        <f>SUM('Energy data 1990 - 2020'!D1134:E1134)</f>
        <v>211.86246880299998</v>
      </c>
      <c r="B1134" s="5"/>
      <c r="C1134" s="5">
        <f>AVERAGE('Energy data 1990 - 2020'!H1134)</f>
        <v>101.06018330000001</v>
      </c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spans="1:16">
      <c r="A1135" s="5">
        <f>SUM('Energy data 1990 - 2020'!D1135:E1135)</f>
        <v>219.64864021700001</v>
      </c>
      <c r="B1135" s="5"/>
      <c r="C1135" s="5">
        <f>AVERAGE('Energy data 1990 - 2020'!H1135)</f>
        <v>105.3439786</v>
      </c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spans="1:16">
      <c r="A1136" s="5">
        <f>SUM('Energy data 1990 - 2020'!D1136:E1136)</f>
        <v>225.57240894500001</v>
      </c>
      <c r="B1136" s="5"/>
      <c r="C1136" s="5">
        <f>AVERAGE('Energy data 1990 - 2020'!H1136)</f>
        <v>108.1235835</v>
      </c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spans="1:16">
      <c r="A1137" s="5">
        <f>SUM('Energy data 1990 - 2020'!D1137:E1137)</f>
        <v>220.23343090699998</v>
      </c>
      <c r="B1137" s="5"/>
      <c r="C1137" s="5">
        <f>AVERAGE('Energy data 1990 - 2020'!H1137)</f>
        <v>107.72298960000001</v>
      </c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spans="1:16">
      <c r="A1138" s="5">
        <f>SUM('Energy data 1990 - 2020'!D1138:E1138)</f>
        <v>237.42273517300001</v>
      </c>
      <c r="B1138" s="5"/>
      <c r="C1138" s="5">
        <f>AVERAGE('Energy data 1990 - 2020'!H1138)</f>
        <v>117.8627587</v>
      </c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spans="1:16">
      <c r="A1139" s="5">
        <f>SUM('Energy data 1990 - 2020'!D1139:E1139)</f>
        <v>237.03497519999999</v>
      </c>
      <c r="B1139" s="5"/>
      <c r="C1139" s="5">
        <f>AVERAGE('Energy data 1990 - 2020'!H1139)</f>
        <v>117.64516159999999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spans="1:16">
      <c r="A1140" s="5">
        <f>SUM('Energy data 1990 - 2020'!D1140:E1140)</f>
        <v>254.04053926899999</v>
      </c>
      <c r="B1140" s="5"/>
      <c r="C1140" s="5">
        <f>AVERAGE('Energy data 1990 - 2020'!H1140)</f>
        <v>126.2511306</v>
      </c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spans="1:16">
      <c r="A1141" s="5">
        <f>SUM('Energy data 1990 - 2020'!D1141:E1141)</f>
        <v>265.80601481100001</v>
      </c>
      <c r="B1141" s="5"/>
      <c r="C1141" s="5">
        <f>AVERAGE('Energy data 1990 - 2020'!H1141)</f>
        <v>136.2583443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spans="1:16">
      <c r="A1142" s="5">
        <f>SUM('Energy data 1990 - 2020'!D1142:E1142)</f>
        <v>261.52496234799997</v>
      </c>
      <c r="B1142" s="5"/>
      <c r="C1142" s="5">
        <f>AVERAGE('Energy data 1990 - 2020'!H1142)</f>
        <v>135.59396100000001</v>
      </c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spans="1:16">
      <c r="A1143" s="5">
        <f>SUM('Energy data 1990 - 2020'!D1143:E1143)</f>
        <v>265.51144114300001</v>
      </c>
      <c r="B1143" s="5"/>
      <c r="C1143" s="5">
        <f>AVERAGE('Energy data 1990 - 2020'!H1143)</f>
        <v>136.23031090000001</v>
      </c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spans="1:16">
      <c r="A1144" s="5">
        <f>SUM('Energy data 1990 - 2020'!D1144:E1144)</f>
        <v>261.78801449099996</v>
      </c>
      <c r="B1144" s="5"/>
      <c r="C1144" s="5">
        <f>AVERAGE('Energy data 1990 - 2020'!H1144)</f>
        <v>139.3592309</v>
      </c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spans="1:16">
      <c r="A1145" s="5">
        <f>SUM('Energy data 1990 - 2020'!D1145:E1145)</f>
        <v>261.658486573</v>
      </c>
      <c r="B1145" s="5"/>
      <c r="C1145" s="5">
        <f>AVERAGE('Energy data 1990 - 2020'!H1145)</f>
        <v>138.6134289</v>
      </c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spans="1:16">
      <c r="A1146" s="5">
        <f>SUM('Energy data 1990 - 2020'!D1146:E1146)</f>
        <v>260.18241343299997</v>
      </c>
      <c r="B1146" s="5"/>
      <c r="C1146" s="5">
        <f>AVERAGE('Energy data 1990 - 2020'!H1146)</f>
        <v>135.81026439999999</v>
      </c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spans="1:16">
      <c r="A1147" s="5">
        <f>SUM('Energy data 1990 - 2020'!D1147:E1147)</f>
        <v>261.39399275799997</v>
      </c>
      <c r="B1147" s="5"/>
      <c r="C1147" s="5">
        <f>AVERAGE('Energy data 1990 - 2020'!H1147)</f>
        <v>136.5290071</v>
      </c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spans="1:16">
      <c r="A1148" s="5">
        <f>SUM('Energy data 1990 - 2020'!D1148:E1148)</f>
        <v>259.85032654700001</v>
      </c>
      <c r="B1148" s="5"/>
      <c r="C1148" s="5">
        <f>AVERAGE('Energy data 1990 - 2020'!H1148)</f>
        <v>125.38724019999999</v>
      </c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spans="1:16">
      <c r="A1149" s="5">
        <f>SUM('Energy data 1990 - 2020'!D1149:E1149)</f>
        <v>135.10523151000001</v>
      </c>
      <c r="B1149" s="5"/>
      <c r="C1149" s="5">
        <f>AVERAGE('Energy data 1990 - 2020'!H1149)</f>
        <v>51.445225479999998</v>
      </c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spans="1:16">
      <c r="A1150" s="5">
        <f>SUM('Energy data 1990 - 2020'!D1150:E1150)</f>
        <v>136.819655686</v>
      </c>
      <c r="B1150" s="5"/>
      <c r="C1150" s="5">
        <f>AVERAGE('Energy data 1990 - 2020'!H1150)</f>
        <v>50.57813445</v>
      </c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spans="1:16">
      <c r="A1151" s="5">
        <f>SUM('Energy data 1990 - 2020'!D1151:E1151)</f>
        <v>142.749295518</v>
      </c>
      <c r="B1151" s="5"/>
      <c r="C1151" s="5">
        <f>AVERAGE('Energy data 1990 - 2020'!H1151)</f>
        <v>52.846940459999999</v>
      </c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spans="1:16">
      <c r="A1152" s="5">
        <f>SUM('Energy data 1990 - 2020'!D1152:E1152)</f>
        <v>148.20092456400002</v>
      </c>
      <c r="B1152" s="5"/>
      <c r="C1152" s="5">
        <f>AVERAGE('Energy data 1990 - 2020'!H1152)</f>
        <v>56.349992829999998</v>
      </c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spans="1:16">
      <c r="A1153" s="5">
        <f>SUM('Energy data 1990 - 2020'!D1153:E1153)</f>
        <v>146.58664249</v>
      </c>
      <c r="B1153" s="5"/>
      <c r="C1153" s="5">
        <f>AVERAGE('Energy data 1990 - 2020'!H1153)</f>
        <v>55.662481020000001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spans="1:16">
      <c r="A1154" s="5">
        <f>SUM('Energy data 1990 - 2020'!D1154:E1154)</f>
        <v>160.45569625799999</v>
      </c>
      <c r="B1154" s="5"/>
      <c r="C1154" s="5">
        <f>AVERAGE('Energy data 1990 - 2020'!H1154)</f>
        <v>60.900737210000003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spans="1:16">
      <c r="A1155" s="5">
        <f>SUM('Energy data 1990 - 2020'!D1155:E1155)</f>
        <v>176.25108119999999</v>
      </c>
      <c r="B1155" s="5"/>
      <c r="C1155" s="5">
        <f>AVERAGE('Energy data 1990 - 2020'!H1155)</f>
        <v>66.482984799999997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spans="1:16">
      <c r="A1156" s="5">
        <f>SUM('Energy data 1990 - 2020'!D1156:E1156)</f>
        <v>185.23036453099999</v>
      </c>
      <c r="B1156" s="5"/>
      <c r="C1156" s="5">
        <f>AVERAGE('Energy data 1990 - 2020'!H1156)</f>
        <v>69.756888779999997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spans="1:16">
      <c r="A1157" s="5">
        <f>SUM('Energy data 1990 - 2020'!D1157:E1157)</f>
        <v>186.13190806099999</v>
      </c>
      <c r="B1157" s="5"/>
      <c r="C1157" s="5">
        <f>AVERAGE('Energy data 1990 - 2020'!H1157)</f>
        <v>70.813832910000002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spans="1:16">
      <c r="A1158" s="5">
        <f>SUM('Energy data 1990 - 2020'!D1158:E1158)</f>
        <v>184.57139392300002</v>
      </c>
      <c r="B1158" s="5"/>
      <c r="C1158" s="5">
        <f>AVERAGE('Energy data 1990 - 2020'!H1158)</f>
        <v>69.755400809999998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spans="1:16">
      <c r="A1159" s="5">
        <f>SUM('Energy data 1990 - 2020'!D1159:E1159)</f>
        <v>205.50664196900001</v>
      </c>
      <c r="B1159" s="5"/>
      <c r="C1159" s="5">
        <f>AVERAGE('Energy data 1990 - 2020'!H1159)</f>
        <v>76.273739879999994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spans="1:16">
      <c r="A1160" s="5">
        <f>SUM('Energy data 1990 - 2020'!D1160:E1160)</f>
        <v>186.196451806</v>
      </c>
      <c r="B1160" s="5"/>
      <c r="C1160" s="5">
        <f>AVERAGE('Energy data 1990 - 2020'!H1160)</f>
        <v>70.244965329999999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spans="1:16">
      <c r="A1161" s="5">
        <f>SUM('Energy data 1990 - 2020'!D1161:E1161)</f>
        <v>196.28550688800001</v>
      </c>
      <c r="B1161" s="5"/>
      <c r="C1161" s="5">
        <f>AVERAGE('Energy data 1990 - 2020'!H1161)</f>
        <v>74.231298800000005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spans="1:16">
      <c r="A1162" s="5">
        <f>SUM('Energy data 1990 - 2020'!D1162:E1162)</f>
        <v>207.71809285500001</v>
      </c>
      <c r="B1162" s="5"/>
      <c r="C1162" s="5">
        <f>AVERAGE('Energy data 1990 - 2020'!H1162)</f>
        <v>78.6764522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spans="1:16">
      <c r="A1163" s="5">
        <f>SUM('Energy data 1990 - 2020'!D1163:E1163)</f>
        <v>214.183121798</v>
      </c>
      <c r="B1163" s="5"/>
      <c r="C1163" s="5">
        <f>AVERAGE('Energy data 1990 - 2020'!H1163)</f>
        <v>80.711817409999995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spans="1:16">
      <c r="A1164" s="5">
        <f>SUM('Energy data 1990 - 2020'!D1164:E1164)</f>
        <v>222.054261478</v>
      </c>
      <c r="B1164" s="5"/>
      <c r="C1164" s="5">
        <f>AVERAGE('Energy data 1990 - 2020'!H1164)</f>
        <v>83.967511060000007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spans="1:16">
      <c r="A1165" s="5">
        <f>SUM('Energy data 1990 - 2020'!D1165:E1165)</f>
        <v>247.534066215</v>
      </c>
      <c r="B1165" s="5"/>
      <c r="C1165" s="5">
        <f>AVERAGE('Energy data 1990 - 2020'!H1165)</f>
        <v>93.044306000000006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spans="1:16">
      <c r="A1166" s="5">
        <f>SUM('Energy data 1990 - 2020'!D1166:E1166)</f>
        <v>271.07067218399999</v>
      </c>
      <c r="B1166" s="5"/>
      <c r="C1166" s="5">
        <f>AVERAGE('Energy data 1990 - 2020'!H1166)</f>
        <v>100.2904453</v>
      </c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spans="1:16">
      <c r="A1167" s="5">
        <f>SUM('Energy data 1990 - 2020'!D1167:E1167)</f>
        <v>269.86966582899998</v>
      </c>
      <c r="B1167" s="5"/>
      <c r="C1167" s="5">
        <f>AVERAGE('Energy data 1990 - 2020'!H1167)</f>
        <v>98.399873619999994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spans="1:16">
      <c r="A1168" s="5">
        <f>SUM('Energy data 1990 - 2020'!D1168:E1168)</f>
        <v>269.499416188</v>
      </c>
      <c r="B1168" s="5"/>
      <c r="C1168" s="5">
        <f>AVERAGE('Energy data 1990 - 2020'!H1168)</f>
        <v>98.246731299999993</v>
      </c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spans="1:16">
      <c r="A1169" s="5">
        <f>SUM('Energy data 1990 - 2020'!D1169:E1169)</f>
        <v>276.12947447400001</v>
      </c>
      <c r="B1169" s="5"/>
      <c r="C1169" s="5">
        <f>AVERAGE('Energy data 1990 - 2020'!H1169)</f>
        <v>105.6853624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spans="1:16">
      <c r="A1170" s="5">
        <f>SUM('Energy data 1990 - 2020'!D1170:E1170)</f>
        <v>296.92591070899999</v>
      </c>
      <c r="B1170" s="5"/>
      <c r="C1170" s="5">
        <f>AVERAGE('Energy data 1990 - 2020'!H1170)</f>
        <v>112.4807753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spans="1:16">
      <c r="A1171" s="5">
        <f>SUM('Energy data 1990 - 2020'!D1171:E1171)</f>
        <v>308.55307908999998</v>
      </c>
      <c r="B1171" s="5"/>
      <c r="C1171" s="5">
        <f>AVERAGE('Energy data 1990 - 2020'!H1171)</f>
        <v>117.787457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spans="1:16">
      <c r="A1172" s="5">
        <f>SUM('Energy data 1990 - 2020'!D1172:E1172)</f>
        <v>297.49881149300001</v>
      </c>
      <c r="B1172" s="5"/>
      <c r="C1172" s="5">
        <f>AVERAGE('Energy data 1990 - 2020'!H1172)</f>
        <v>115.1412062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spans="1:16">
      <c r="A1173" s="5">
        <f>SUM('Energy data 1990 - 2020'!D1173:E1173)</f>
        <v>318.97196345099997</v>
      </c>
      <c r="B1173" s="5"/>
      <c r="C1173" s="5">
        <f>AVERAGE('Energy data 1990 - 2020'!H1173)</f>
        <v>119.2097642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spans="1:16">
      <c r="A1174" s="5">
        <f>SUM('Energy data 1990 - 2020'!D1174:E1174)</f>
        <v>331.56525966300001</v>
      </c>
      <c r="B1174" s="5"/>
      <c r="C1174" s="5">
        <f>AVERAGE('Energy data 1990 - 2020'!H1174)</f>
        <v>129.09599370000001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spans="1:16">
      <c r="A1175" s="5">
        <f>SUM('Energy data 1990 - 2020'!D1175:E1175)</f>
        <v>351.83560744900001</v>
      </c>
      <c r="B1175" s="5"/>
      <c r="C1175" s="5">
        <f>AVERAGE('Energy data 1990 - 2020'!H1175)</f>
        <v>136.87220629999999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spans="1:16">
      <c r="A1176" s="5">
        <f>SUM('Energy data 1990 - 2020'!D1176:E1176)</f>
        <v>389.24102134200001</v>
      </c>
      <c r="B1176" s="5"/>
      <c r="C1176" s="5">
        <f>AVERAGE('Energy data 1990 - 2020'!H1176)</f>
        <v>146.99294130000001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spans="1:16">
      <c r="A1177" s="5">
        <f>SUM('Energy data 1990 - 2020'!D1177:E1177)</f>
        <v>386.05815368899999</v>
      </c>
      <c r="B1177" s="5"/>
      <c r="C1177" s="5">
        <f>AVERAGE('Energy data 1990 - 2020'!H1177)</f>
        <v>144.36222960000001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spans="1:16">
      <c r="A1178" s="5">
        <f>SUM('Energy data 1990 - 2020'!D1178:E1178)</f>
        <v>376.30142945399996</v>
      </c>
      <c r="B1178" s="5"/>
      <c r="C1178" s="5">
        <f>AVERAGE('Energy data 1990 - 2020'!H1178)</f>
        <v>144.65684759999999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spans="1:16">
      <c r="A1179" s="5">
        <f>SUM('Energy data 1990 - 2020'!D1179:E1179)</f>
        <v>356.58233158899998</v>
      </c>
      <c r="B1179" s="5"/>
      <c r="C1179" s="5">
        <f>AVERAGE('Energy data 1990 - 2020'!H1179)</f>
        <v>140.7140593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spans="1:16">
      <c r="A1180" s="5">
        <f>SUM('Energy data 1990 - 2020'!D1180:E1180)</f>
        <v>692.95595715900004</v>
      </c>
      <c r="B1180" s="5"/>
      <c r="C1180" s="5">
        <f>AVERAGE('Energy data 1990 - 2020'!H1180)</f>
        <v>252.04528769999999</v>
      </c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spans="1:16">
      <c r="A1181" s="5">
        <f>SUM('Energy data 1990 - 2020'!D1181:E1181)</f>
        <v>657.44490338000003</v>
      </c>
      <c r="B1181" s="5"/>
      <c r="C1181" s="5">
        <f>AVERAGE('Energy data 1990 - 2020'!H1181)</f>
        <v>252.36024620000001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spans="1:16">
      <c r="A1182" s="5">
        <f>SUM('Energy data 1990 - 2020'!D1182:E1182)</f>
        <v>567.21244630800004</v>
      </c>
      <c r="B1182" s="5"/>
      <c r="C1182" s="5">
        <f>AVERAGE('Energy data 1990 - 2020'!H1182)</f>
        <v>219.55835830000001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spans="1:16">
      <c r="A1183" s="5">
        <f>SUM('Energy data 1990 - 2020'!D1183:E1183)</f>
        <v>505.20571751100005</v>
      </c>
      <c r="B1183" s="5"/>
      <c r="C1183" s="5">
        <f>AVERAGE('Energy data 1990 - 2020'!H1183)</f>
        <v>194.5781547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spans="1:16">
      <c r="A1184" s="5">
        <f>SUM('Energy data 1990 - 2020'!D1184:E1184)</f>
        <v>418.65717247400005</v>
      </c>
      <c r="B1184" s="5"/>
      <c r="C1184" s="5">
        <f>AVERAGE('Energy data 1990 - 2020'!H1184)</f>
        <v>165.79118930000001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spans="1:16">
      <c r="A1185" s="5">
        <f>SUM('Energy data 1990 - 2020'!D1185:E1185)</f>
        <v>417.59906609299998</v>
      </c>
      <c r="B1185" s="5"/>
      <c r="C1185" s="5">
        <f>AVERAGE('Energy data 1990 - 2020'!H1185)</f>
        <v>163.71664129999999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spans="1:16">
      <c r="A1186" s="5">
        <f>SUM('Energy data 1990 - 2020'!D1186:E1186)</f>
        <v>352.60019430699998</v>
      </c>
      <c r="B1186" s="5"/>
      <c r="C1186" s="5">
        <f>AVERAGE('Energy data 1990 - 2020'!H1186)</f>
        <v>149.99048300000001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spans="1:16">
      <c r="A1187" s="5">
        <f>SUM('Energy data 1990 - 2020'!D1187:E1187)</f>
        <v>337.07856506000002</v>
      </c>
      <c r="B1187" s="5"/>
      <c r="C1187" s="5">
        <f>AVERAGE('Energy data 1990 - 2020'!H1187)</f>
        <v>143.51471789999999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spans="1:16">
      <c r="A1188" s="5">
        <f>SUM('Energy data 1990 - 2020'!D1188:E1188)</f>
        <v>320.00393048400002</v>
      </c>
      <c r="B1188" s="5"/>
      <c r="C1188" s="5">
        <f>AVERAGE('Energy data 1990 - 2020'!H1188)</f>
        <v>135.71366219999999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spans="1:16">
      <c r="A1189" s="5">
        <f>SUM('Energy data 1990 - 2020'!D1189:E1189)</f>
        <v>317.22289924500001</v>
      </c>
      <c r="B1189" s="5"/>
      <c r="C1189" s="5">
        <f>AVERAGE('Energy data 1990 - 2020'!H1189)</f>
        <v>135.08016979999999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spans="1:16">
      <c r="A1190" s="5">
        <f>SUM('Energy data 1990 - 2020'!D1190:E1190)</f>
        <v>311.11928228800002</v>
      </c>
      <c r="B1190" s="5"/>
      <c r="C1190" s="5">
        <f>AVERAGE('Energy data 1990 - 2020'!H1190)</f>
        <v>133.81206510000001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spans="1:16">
      <c r="A1191" s="5">
        <f>SUM('Energy data 1990 - 2020'!D1191:E1191)</f>
        <v>304.71263078800001</v>
      </c>
      <c r="B1191" s="5"/>
      <c r="C1191" s="5">
        <f>AVERAGE('Energy data 1990 - 2020'!H1191)</f>
        <v>134.11414360000001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spans="1:16">
      <c r="A1192" s="5">
        <f>SUM('Energy data 1990 - 2020'!D1192:E1192)</f>
        <v>303.72507485599999</v>
      </c>
      <c r="B1192" s="5"/>
      <c r="C1192" s="5">
        <f>AVERAGE('Energy data 1990 - 2020'!H1192)</f>
        <v>135.6192417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spans="1:16">
      <c r="A1193" s="5">
        <f>SUM('Energy data 1990 - 2020'!D1193:E1193)</f>
        <v>314.91131529500001</v>
      </c>
      <c r="B1193" s="5"/>
      <c r="C1193" s="5">
        <f>AVERAGE('Energy data 1990 - 2020'!H1193)</f>
        <v>140.7978119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spans="1:16">
      <c r="A1194" s="5">
        <f>SUM('Energy data 1990 - 2020'!D1194:E1194)</f>
        <v>304.19125302399999</v>
      </c>
      <c r="B1194" s="5"/>
      <c r="C1194" s="5">
        <f>AVERAGE('Energy data 1990 - 2020'!H1194)</f>
        <v>141.92621500000001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spans="1:16">
      <c r="A1195" s="5">
        <f>SUM('Energy data 1990 - 2020'!D1195:E1195)</f>
        <v>313.54351681499998</v>
      </c>
      <c r="B1195" s="5"/>
      <c r="C1195" s="5">
        <f>AVERAGE('Energy data 1990 - 2020'!H1195)</f>
        <v>141.0458692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spans="1:16">
      <c r="A1196" s="5">
        <f>SUM('Energy data 1990 - 2020'!D1196:E1196)</f>
        <v>307.91777892700003</v>
      </c>
      <c r="B1196" s="5"/>
      <c r="C1196" s="5">
        <f>AVERAGE('Energy data 1990 - 2020'!H1196)</f>
        <v>136.79008260000001</v>
      </c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spans="1:16">
      <c r="A1197" s="5">
        <f>SUM('Energy data 1990 - 2020'!D1197:E1197)</f>
        <v>317.40645977499997</v>
      </c>
      <c r="B1197" s="5"/>
      <c r="C1197" s="5">
        <f>AVERAGE('Energy data 1990 - 2020'!H1197)</f>
        <v>139.2331265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spans="1:16">
      <c r="A1198" s="5">
        <f>SUM('Energy data 1990 - 2020'!D1198:E1198)</f>
        <v>306.21408308099996</v>
      </c>
      <c r="B1198" s="5"/>
      <c r="C1198" s="5">
        <f>AVERAGE('Energy data 1990 - 2020'!H1198)</f>
        <v>134.6323715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spans="1:16">
      <c r="A1199" s="5">
        <f>SUM('Energy data 1990 - 2020'!D1199:E1199)</f>
        <v>259.73777154100003</v>
      </c>
      <c r="B1199" s="5"/>
      <c r="C1199" s="5">
        <f>AVERAGE('Energy data 1990 - 2020'!H1199)</f>
        <v>114.39749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spans="1:16">
      <c r="A1200" s="5">
        <f>SUM('Energy data 1990 - 2020'!D1200:E1200)</f>
        <v>278.66751572200002</v>
      </c>
      <c r="B1200" s="5"/>
      <c r="C1200" s="5">
        <f>AVERAGE('Energy data 1990 - 2020'!H1200)</f>
        <v>132.28976539999999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spans="1:16">
      <c r="A1201" s="5">
        <f>SUM('Energy data 1990 - 2020'!D1201:E1201)</f>
        <v>293.11440314199996</v>
      </c>
      <c r="B1201" s="5"/>
      <c r="C1201" s="5">
        <f>AVERAGE('Energy data 1990 - 2020'!H1201)</f>
        <v>126.4448769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spans="1:16">
      <c r="A1202" s="5">
        <f>SUM('Energy data 1990 - 2020'!D1202:E1202)</f>
        <v>287.444725887</v>
      </c>
      <c r="B1202" s="5"/>
      <c r="C1202" s="5">
        <f>AVERAGE('Energy data 1990 - 2020'!H1202)</f>
        <v>122.4011922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spans="1:16">
      <c r="A1203" s="5">
        <f>SUM('Energy data 1990 - 2020'!D1203:E1203)</f>
        <v>276.347035678</v>
      </c>
      <c r="B1203" s="5"/>
      <c r="C1203" s="5">
        <f>AVERAGE('Energy data 1990 - 2020'!H1203)</f>
        <v>116.05850580000001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spans="1:16">
      <c r="A1204" s="5">
        <f>SUM('Energy data 1990 - 2020'!D1204:E1204)</f>
        <v>233.34305823299999</v>
      </c>
      <c r="B1204" s="5"/>
      <c r="C1204" s="5">
        <f>AVERAGE('Energy data 1990 - 2020'!H1204)</f>
        <v>105.6298091</v>
      </c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spans="1:16">
      <c r="A1205" s="5">
        <f>SUM('Energy data 1990 - 2020'!D1205:E1205)</f>
        <v>193.74863939799999</v>
      </c>
      <c r="B1205" s="5"/>
      <c r="C1205" s="5">
        <f>AVERAGE('Energy data 1990 - 2020'!H1205)</f>
        <v>92.788436379999993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spans="1:16">
      <c r="A1206" s="5">
        <f>SUM('Energy data 1990 - 2020'!D1206:E1206)</f>
        <v>194.36506229599999</v>
      </c>
      <c r="B1206" s="5"/>
      <c r="C1206" s="5">
        <f>AVERAGE('Energy data 1990 - 2020'!H1206)</f>
        <v>91.506741120000001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spans="1:16">
      <c r="A1207" s="5">
        <f>SUM('Energy data 1990 - 2020'!D1207:E1207)</f>
        <v>178.65958684200001</v>
      </c>
      <c r="B1207" s="5"/>
      <c r="C1207" s="5">
        <f>AVERAGE('Energy data 1990 - 2020'!H1207)</f>
        <v>89.40725157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spans="1:16">
      <c r="A1208" s="5">
        <f>SUM('Energy data 1990 - 2020'!D1208:E1208)</f>
        <v>189.71188203099999</v>
      </c>
      <c r="B1208" s="5"/>
      <c r="C1208" s="5">
        <f>AVERAGE('Energy data 1990 - 2020'!H1208)</f>
        <v>93.473614249999997</v>
      </c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spans="1:16">
      <c r="A1209" s="5">
        <f>SUM('Energy data 1990 - 2020'!D1209:E1209)</f>
        <v>176.36572940099998</v>
      </c>
      <c r="B1209" s="5"/>
      <c r="C1209" s="5">
        <f>AVERAGE('Energy data 1990 - 2020'!H1209)</f>
        <v>89.363396690000002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spans="1:16">
      <c r="A1210" s="5">
        <f>SUM('Energy data 1990 - 2020'!D1210:E1210)</f>
        <v>171.68412557299999</v>
      </c>
      <c r="B1210" s="5"/>
      <c r="C1210" s="5">
        <f>AVERAGE('Energy data 1990 - 2020'!H1210)</f>
        <v>86.405040889999995</v>
      </c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spans="1:16">
      <c r="A1211" s="5">
        <f>SUM('Energy data 1990 - 2020'!D1211:E1211)</f>
        <v>54.680191331000003</v>
      </c>
      <c r="B1211" s="5"/>
      <c r="C1211" s="5">
        <f>AVERAGE('Energy data 1990 - 2020'!H1211)</f>
        <v>20.388425030000001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spans="1:16">
      <c r="A1212" s="5">
        <f>SUM('Energy data 1990 - 2020'!D1212:E1212)</f>
        <v>61.977163126000001</v>
      </c>
      <c r="B1212" s="5"/>
      <c r="C1212" s="5">
        <f>AVERAGE('Energy data 1990 - 2020'!H1212)</f>
        <v>23.457612319999999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spans="1:16">
      <c r="A1213" s="5">
        <f>SUM('Energy data 1990 - 2020'!D1213:E1213)</f>
        <v>59.445809832999998</v>
      </c>
      <c r="B1213" s="5"/>
      <c r="C1213" s="5">
        <f>AVERAGE('Energy data 1990 - 2020'!H1213)</f>
        <v>22.33763587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spans="1:16">
      <c r="A1214" s="5">
        <f>SUM('Energy data 1990 - 2020'!D1214:E1214)</f>
        <v>62.926053064000001</v>
      </c>
      <c r="B1214" s="5"/>
      <c r="C1214" s="5">
        <f>AVERAGE('Energy data 1990 - 2020'!H1214)</f>
        <v>23.49341287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spans="1:16">
      <c r="A1215" s="5">
        <f>SUM('Energy data 1990 - 2020'!D1215:E1215)</f>
        <v>68.889601827999996</v>
      </c>
      <c r="B1215" s="5"/>
      <c r="C1215" s="5">
        <f>AVERAGE('Energy data 1990 - 2020'!H1215)</f>
        <v>26.025356779999999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spans="1:16">
      <c r="A1216" s="5">
        <f>SUM('Energy data 1990 - 2020'!D1216:E1216)</f>
        <v>73.09344853399999</v>
      </c>
      <c r="B1216" s="5"/>
      <c r="C1216" s="5">
        <f>AVERAGE('Energy data 1990 - 2020'!H1216)</f>
        <v>27.659896549999999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spans="1:16">
      <c r="A1217" s="5">
        <f>SUM('Energy data 1990 - 2020'!D1217:E1217)</f>
        <v>76.18477593499999</v>
      </c>
      <c r="B1217" s="5"/>
      <c r="C1217" s="5">
        <f>AVERAGE('Energy data 1990 - 2020'!H1217)</f>
        <v>29.222894419999999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spans="1:16">
      <c r="A1218" s="5">
        <f>SUM('Energy data 1990 - 2020'!D1218:E1218)</f>
        <v>80.106585037000002</v>
      </c>
      <c r="B1218" s="5"/>
      <c r="C1218" s="5">
        <f>AVERAGE('Energy data 1990 - 2020'!H1218)</f>
        <v>30.827285549999999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spans="1:16">
      <c r="A1219" s="5">
        <f>SUM('Energy data 1990 - 2020'!D1219:E1219)</f>
        <v>81.911690114999999</v>
      </c>
      <c r="B1219" s="5"/>
      <c r="C1219" s="5">
        <f>AVERAGE('Energy data 1990 - 2020'!H1219)</f>
        <v>31.54518642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spans="1:16">
      <c r="A1220" s="5">
        <f>SUM('Energy data 1990 - 2020'!D1220:E1220)</f>
        <v>84.279579437999999</v>
      </c>
      <c r="B1220" s="5"/>
      <c r="C1220" s="5">
        <f>AVERAGE('Energy data 1990 - 2020'!H1220)</f>
        <v>32.224651829999999</v>
      </c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spans="1:16">
      <c r="A1221" s="5">
        <f>SUM('Energy data 1990 - 2020'!D1221:E1221)</f>
        <v>83.505621559000005</v>
      </c>
      <c r="B1221" s="5"/>
      <c r="C1221" s="5">
        <f>AVERAGE('Energy data 1990 - 2020'!H1221)</f>
        <v>31.472787319999998</v>
      </c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spans="1:16">
      <c r="A1222" s="5">
        <f>SUM('Energy data 1990 - 2020'!D1222:E1222)</f>
        <v>96.213286850000003</v>
      </c>
      <c r="B1222" s="5"/>
      <c r="C1222" s="5">
        <f>AVERAGE('Energy data 1990 - 2020'!H1222)</f>
        <v>40.000587799999998</v>
      </c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spans="1:16">
      <c r="A1223" s="5">
        <f>SUM('Energy data 1990 - 2020'!D1223:E1223)</f>
        <v>98.122081429999994</v>
      </c>
      <c r="B1223" s="5"/>
      <c r="C1223" s="5">
        <f>AVERAGE('Energy data 1990 - 2020'!H1223)</f>
        <v>39.401903539999999</v>
      </c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spans="1:16">
      <c r="A1224" s="5">
        <f>SUM('Energy data 1990 - 2020'!D1224:E1224)</f>
        <v>102.64520377699999</v>
      </c>
      <c r="B1224" s="5"/>
      <c r="C1224" s="5">
        <f>AVERAGE('Energy data 1990 - 2020'!H1224)</f>
        <v>38.499605979999998</v>
      </c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spans="1:16">
      <c r="A1225" s="5">
        <f>SUM('Energy data 1990 - 2020'!D1225:E1225)</f>
        <v>108.699409086</v>
      </c>
      <c r="B1225" s="5"/>
      <c r="C1225" s="5">
        <f>AVERAGE('Energy data 1990 - 2020'!H1225)</f>
        <v>41.834427259999998</v>
      </c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spans="1:16">
      <c r="A1226" s="5">
        <f>SUM('Energy data 1990 - 2020'!D1226:E1226)</f>
        <v>115.19106249799999</v>
      </c>
      <c r="B1226" s="5"/>
      <c r="C1226" s="5">
        <f>AVERAGE('Energy data 1990 - 2020'!H1226)</f>
        <v>44.47799285</v>
      </c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spans="1:16">
      <c r="A1227" s="5">
        <f>SUM('Energy data 1990 - 2020'!D1227:E1227)</f>
        <v>119.159155998</v>
      </c>
      <c r="B1227" s="5"/>
      <c r="C1227" s="5">
        <f>AVERAGE('Energy data 1990 - 2020'!H1227)</f>
        <v>46.212619500000002</v>
      </c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spans="1:16">
      <c r="A1228" s="5">
        <f>SUM('Energy data 1990 - 2020'!D1228:E1228)</f>
        <v>128.091872975</v>
      </c>
      <c r="B1228" s="5"/>
      <c r="C1228" s="5">
        <f>AVERAGE('Energy data 1990 - 2020'!H1228)</f>
        <v>50.159163739999997</v>
      </c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spans="1:16">
      <c r="A1229" s="5">
        <f>SUM('Energy data 1990 - 2020'!D1229:E1229)</f>
        <v>149.914771957</v>
      </c>
      <c r="B1229" s="5"/>
      <c r="C1229" s="5">
        <f>AVERAGE('Energy data 1990 - 2020'!H1229)</f>
        <v>59.34011752</v>
      </c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spans="1:16">
      <c r="A1230" s="5">
        <f>SUM('Energy data 1990 - 2020'!D1230:E1230)</f>
        <v>152.02513200999999</v>
      </c>
      <c r="B1230" s="5"/>
      <c r="C1230" s="5">
        <f>AVERAGE('Energy data 1990 - 2020'!H1230)</f>
        <v>63.548889459999998</v>
      </c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spans="1:16">
      <c r="A1231" s="5">
        <f>SUM('Energy data 1990 - 2020'!D1231:E1231)</f>
        <v>159.01641838899999</v>
      </c>
      <c r="B1231" s="5"/>
      <c r="C1231" s="5">
        <f>AVERAGE('Energy data 1990 - 2020'!H1231)</f>
        <v>61.329273780000001</v>
      </c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spans="1:16">
      <c r="A1232" s="5">
        <f>SUM('Energy data 1990 - 2020'!D1232:E1232)</f>
        <v>162.982952772</v>
      </c>
      <c r="B1232" s="5"/>
      <c r="C1232" s="5">
        <f>AVERAGE('Energy data 1990 - 2020'!H1232)</f>
        <v>60.272333320000001</v>
      </c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spans="1:16">
      <c r="A1233" s="5">
        <f>SUM('Energy data 1990 - 2020'!D1233:E1233)</f>
        <v>173.728588409</v>
      </c>
      <c r="B1233" s="5"/>
      <c r="C1233" s="5">
        <f>AVERAGE('Energy data 1990 - 2020'!H1233)</f>
        <v>64.00660843</v>
      </c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spans="1:16">
      <c r="A1234" s="5">
        <f>SUM('Energy data 1990 - 2020'!D1234:E1234)</f>
        <v>180.471506234</v>
      </c>
      <c r="B1234" s="5"/>
      <c r="C1234" s="5">
        <f>AVERAGE('Energy data 1990 - 2020'!H1234)</f>
        <v>67.536929299999997</v>
      </c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spans="1:16">
      <c r="A1235" s="5">
        <f>SUM('Energy data 1990 - 2020'!D1235:E1235)</f>
        <v>179.22152095300001</v>
      </c>
      <c r="B1235" s="5"/>
      <c r="C1235" s="5">
        <f>AVERAGE('Energy data 1990 - 2020'!H1235)</f>
        <v>73.970926930000005</v>
      </c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spans="1:16">
      <c r="A1236" s="5">
        <f>SUM('Energy data 1990 - 2020'!D1236:E1236)</f>
        <v>190.05792917799999</v>
      </c>
      <c r="B1236" s="5"/>
      <c r="C1236" s="5">
        <f>AVERAGE('Energy data 1990 - 2020'!H1236)</f>
        <v>75.794251130000006</v>
      </c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spans="1:16">
      <c r="A1237" s="5">
        <f>SUM('Energy data 1990 - 2020'!D1237:E1237)</f>
        <v>195.64143525200001</v>
      </c>
      <c r="B1237" s="5"/>
      <c r="C1237" s="5">
        <f>AVERAGE('Energy data 1990 - 2020'!H1237)</f>
        <v>79.255812129999995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spans="1:16">
      <c r="A1238" s="5">
        <f>SUM('Energy data 1990 - 2020'!D1238:E1238)</f>
        <v>204.48178682</v>
      </c>
      <c r="B1238" s="5"/>
      <c r="C1238" s="5">
        <f>AVERAGE('Energy data 1990 - 2020'!H1238)</f>
        <v>78.275513579999995</v>
      </c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spans="1:16">
      <c r="A1239" s="5">
        <f>SUM('Energy data 1990 - 2020'!D1239:E1239)</f>
        <v>196.272521888</v>
      </c>
      <c r="B1239" s="5"/>
      <c r="C1239" s="5">
        <f>AVERAGE('Energy data 1990 - 2020'!H1239)</f>
        <v>77.91603911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spans="1:16">
      <c r="A1240" s="5">
        <f>SUM('Energy data 1990 - 2020'!D1240:E1240)</f>
        <v>194.369282572</v>
      </c>
      <c r="B1240" s="5"/>
      <c r="C1240" s="5">
        <f>AVERAGE('Energy data 1990 - 2020'!H1240)</f>
        <v>83.050619510000004</v>
      </c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spans="1:16">
      <c r="A1241" s="5">
        <f>SUM('Energy data 1990 - 2020'!D1241:E1241)</f>
        <v>187.65183155999998</v>
      </c>
      <c r="B1241" s="5"/>
      <c r="C1241" s="5">
        <f>AVERAGE('Energy data 1990 - 2020'!H1241)</f>
        <v>80.669594320000002</v>
      </c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spans="1:16">
      <c r="A1242" s="5">
        <f>SUM('Energy data 1990 - 2020'!D1242:E1242)</f>
        <v>558.86266346000002</v>
      </c>
      <c r="B1242" s="5"/>
      <c r="C1242" s="5">
        <f>AVERAGE('Energy data 1990 - 2020'!H1242)</f>
        <v>205.96471940000001</v>
      </c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spans="1:16">
      <c r="A1243" s="5">
        <f>SUM('Energy data 1990 - 2020'!D1243:E1243)</f>
        <v>566.70392732400001</v>
      </c>
      <c r="B1243" s="5"/>
      <c r="C1243" s="5">
        <f>AVERAGE('Energy data 1990 - 2020'!H1243)</f>
        <v>213.0663883</v>
      </c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spans="1:16">
      <c r="A1244" s="5">
        <f>SUM('Energy data 1990 - 2020'!D1244:E1244)</f>
        <v>560.19851862600001</v>
      </c>
      <c r="B1244" s="5"/>
      <c r="C1244" s="5">
        <f>AVERAGE('Energy data 1990 - 2020'!H1244)</f>
        <v>212.6200547</v>
      </c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spans="1:16">
      <c r="A1245" s="5">
        <f>SUM('Energy data 1990 - 2020'!D1245:E1245)</f>
        <v>543.86700589999998</v>
      </c>
      <c r="B1245" s="5"/>
      <c r="C1245" s="5">
        <f>AVERAGE('Energy data 1990 - 2020'!H1245)</f>
        <v>214.8313832</v>
      </c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spans="1:16">
      <c r="A1246" s="5">
        <f>SUM('Energy data 1990 - 2020'!D1246:E1246)</f>
        <v>535.36337365899999</v>
      </c>
      <c r="B1246" s="5"/>
      <c r="C1246" s="5">
        <f>AVERAGE('Energy data 1990 - 2020'!H1246)</f>
        <v>216.39500839999999</v>
      </c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spans="1:16">
      <c r="A1247" s="5">
        <f>SUM('Energy data 1990 - 2020'!D1247:E1247)</f>
        <v>525.91496929199991</v>
      </c>
      <c r="B1247" s="5"/>
      <c r="C1247" s="5">
        <f>AVERAGE('Energy data 1990 - 2020'!H1247)</f>
        <v>216.777163</v>
      </c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spans="1:16">
      <c r="A1248" s="5">
        <f>SUM('Energy data 1990 - 2020'!D1248:E1248)</f>
        <v>547.05739938399995</v>
      </c>
      <c r="B1248" s="5"/>
      <c r="C1248" s="5">
        <f>AVERAGE('Energy data 1990 - 2020'!H1248)</f>
        <v>225.93714420000001</v>
      </c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spans="1:16">
      <c r="A1249" s="5">
        <f>SUM('Energy data 1990 - 2020'!D1249:E1249)</f>
        <v>522.165042664</v>
      </c>
      <c r="B1249" s="5"/>
      <c r="C1249" s="5">
        <f>AVERAGE('Energy data 1990 - 2020'!H1249)</f>
        <v>219.334734</v>
      </c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spans="1:16">
      <c r="A1250" s="5">
        <f>SUM('Energy data 1990 - 2020'!D1250:E1250)</f>
        <v>528.325747116</v>
      </c>
      <c r="B1250" s="5"/>
      <c r="C1250" s="5">
        <f>AVERAGE('Energy data 1990 - 2020'!H1250)</f>
        <v>221.44243599999999</v>
      </c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spans="1:16">
      <c r="A1251" s="5">
        <f>SUM('Energy data 1990 - 2020'!D1251:E1251)</f>
        <v>525.44427388999998</v>
      </c>
      <c r="B1251" s="5"/>
      <c r="C1251" s="5">
        <f>AVERAGE('Energy data 1990 - 2020'!H1251)</f>
        <v>222.02375380000001</v>
      </c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spans="1:16">
      <c r="A1252" s="5">
        <f>SUM('Energy data 1990 - 2020'!D1252:E1252)</f>
        <v>533.962520681</v>
      </c>
      <c r="B1252" s="5"/>
      <c r="C1252" s="5">
        <f>AVERAGE('Energy data 1990 - 2020'!H1252)</f>
        <v>222.93652979999999</v>
      </c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spans="1:16">
      <c r="A1253" s="5">
        <f>SUM('Energy data 1990 - 2020'!D1253:E1253)</f>
        <v>546.48702790599998</v>
      </c>
      <c r="B1253" s="5"/>
      <c r="C1253" s="5">
        <f>AVERAGE('Energy data 1990 - 2020'!H1253)</f>
        <v>223.7644325</v>
      </c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spans="1:16">
      <c r="A1254" s="5">
        <f>SUM('Energy data 1990 - 2020'!D1254:E1254)</f>
        <v>531.39561206400003</v>
      </c>
      <c r="B1254" s="5"/>
      <c r="C1254" s="5">
        <f>AVERAGE('Energy data 1990 - 2020'!H1254)</f>
        <v>220.6104129</v>
      </c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spans="1:16">
      <c r="A1255" s="5">
        <f>SUM('Energy data 1990 - 2020'!D1255:E1255)</f>
        <v>545.834408263</v>
      </c>
      <c r="B1255" s="5"/>
      <c r="C1255" s="5">
        <f>AVERAGE('Energy data 1990 - 2020'!H1255)</f>
        <v>224.46536230000001</v>
      </c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spans="1:16">
      <c r="A1256" s="5">
        <f>SUM('Energy data 1990 - 2020'!D1256:E1256)</f>
        <v>545.979217447</v>
      </c>
      <c r="B1256" s="5"/>
      <c r="C1256" s="5">
        <f>AVERAGE('Energy data 1990 - 2020'!H1256)</f>
        <v>221.74595640000001</v>
      </c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spans="1:16">
      <c r="A1257" s="5">
        <f>SUM('Energy data 1990 - 2020'!D1257:E1257)</f>
        <v>544.713471594</v>
      </c>
      <c r="B1257" s="5"/>
      <c r="C1257" s="5">
        <f>AVERAGE('Energy data 1990 - 2020'!H1257)</f>
        <v>222.79846699999999</v>
      </c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spans="1:16">
      <c r="A1258" s="5">
        <f>SUM('Energy data 1990 - 2020'!D1258:E1258)</f>
        <v>545.71683137700006</v>
      </c>
      <c r="B1258" s="5"/>
      <c r="C1258" s="5">
        <f>AVERAGE('Energy data 1990 - 2020'!H1258)</f>
        <v>219.05287010000001</v>
      </c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spans="1:16">
      <c r="A1259" s="5">
        <f>SUM('Energy data 1990 - 2020'!D1259:E1259)</f>
        <v>534.7946998079999</v>
      </c>
      <c r="B1259" s="5"/>
      <c r="C1259" s="5">
        <f>AVERAGE('Energy data 1990 - 2020'!H1259)</f>
        <v>211.13952209999999</v>
      </c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spans="1:16">
      <c r="A1260" s="5">
        <f>SUM('Energy data 1990 - 2020'!D1260:E1260)</f>
        <v>518.73712902199998</v>
      </c>
      <c r="B1260" s="5"/>
      <c r="C1260" s="5">
        <f>AVERAGE('Energy data 1990 - 2020'!H1260)</f>
        <v>208.81422850000001</v>
      </c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spans="1:16">
      <c r="A1261" s="5">
        <f>SUM('Energy data 1990 - 2020'!D1261:E1261)</f>
        <v>471.32014782100003</v>
      </c>
      <c r="B1261" s="5"/>
      <c r="C1261" s="5">
        <f>AVERAGE('Energy data 1990 - 2020'!H1261)</f>
        <v>196.3706081</v>
      </c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spans="1:16">
      <c r="A1262" s="5">
        <f>SUM('Energy data 1990 - 2020'!D1262:E1262)</f>
        <v>487.56676210199998</v>
      </c>
      <c r="B1262" s="5"/>
      <c r="C1262" s="5">
        <f>AVERAGE('Energy data 1990 - 2020'!H1262)</f>
        <v>203.61446380000001</v>
      </c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spans="1:16">
      <c r="A1263" s="5">
        <f>SUM('Energy data 1990 - 2020'!D1263:E1263)</f>
        <v>448.450845765</v>
      </c>
      <c r="B1263" s="5"/>
      <c r="C1263" s="5">
        <f>AVERAGE('Energy data 1990 - 2020'!H1263)</f>
        <v>188.82456440000001</v>
      </c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spans="1:16">
      <c r="A1264" s="5">
        <f>SUM('Energy data 1990 - 2020'!D1264:E1264)</f>
        <v>470.18356571699996</v>
      </c>
      <c r="B1264" s="5"/>
      <c r="C1264" s="5">
        <f>AVERAGE('Energy data 1990 - 2020'!H1264)</f>
        <v>193.84717800000001</v>
      </c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spans="1:16">
      <c r="A1265" s="5">
        <f>SUM('Energy data 1990 - 2020'!D1265:E1265)</f>
        <v>457.520298997</v>
      </c>
      <c r="B1265" s="5"/>
      <c r="C1265" s="5">
        <f>AVERAGE('Energy data 1990 - 2020'!H1265)</f>
        <v>191.03787919999999</v>
      </c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spans="1:16">
      <c r="A1266" s="5">
        <f>SUM('Energy data 1990 - 2020'!D1266:E1266)</f>
        <v>416.84802411700002</v>
      </c>
      <c r="B1266" s="5"/>
      <c r="C1266" s="5">
        <f>AVERAGE('Energy data 1990 - 2020'!H1266)</f>
        <v>179.98338240000001</v>
      </c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spans="1:16">
      <c r="A1267" s="5">
        <f>SUM('Energy data 1990 - 2020'!D1267:E1267)</f>
        <v>404.64420714700003</v>
      </c>
      <c r="B1267" s="5"/>
      <c r="C1267" s="5">
        <f>AVERAGE('Energy data 1990 - 2020'!H1267)</f>
        <v>181.73929089999999</v>
      </c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spans="1:16">
      <c r="A1268" s="5">
        <f>SUM('Energy data 1990 - 2020'!D1268:E1268)</f>
        <v>381.34683960400002</v>
      </c>
      <c r="B1268" s="5"/>
      <c r="C1268" s="5">
        <f>AVERAGE('Energy data 1990 - 2020'!H1268)</f>
        <v>178.66390290000001</v>
      </c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spans="1:16">
      <c r="A1269" s="5">
        <f>SUM('Energy data 1990 - 2020'!D1269:E1269)</f>
        <v>369.07888426699998</v>
      </c>
      <c r="B1269" s="5"/>
      <c r="C1269" s="5">
        <f>AVERAGE('Energy data 1990 - 2020'!H1269)</f>
        <v>176.0933004</v>
      </c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spans="1:16">
      <c r="A1270" s="5">
        <f>SUM('Energy data 1990 - 2020'!D1270:E1270)</f>
        <v>361.28745822799999</v>
      </c>
      <c r="B1270" s="5"/>
      <c r="C1270" s="5">
        <f>AVERAGE('Energy data 1990 - 2020'!H1270)</f>
        <v>175.22375289999999</v>
      </c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spans="1:16">
      <c r="A1271" s="5">
        <f>SUM('Energy data 1990 - 2020'!D1271:E1271)</f>
        <v>348.62007077699997</v>
      </c>
      <c r="B1271" s="5"/>
      <c r="C1271" s="5">
        <f>AVERAGE('Energy data 1990 - 2020'!H1271)</f>
        <v>170.22785880000001</v>
      </c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spans="1:16">
      <c r="A1272" s="5">
        <f>SUM('Energy data 1990 - 2020'!D1272:E1272)</f>
        <v>306.19302579499998</v>
      </c>
      <c r="B1272" s="5"/>
      <c r="C1272" s="5">
        <f>AVERAGE('Energy data 1990 - 2020'!H1272)</f>
        <v>154.45800589999999</v>
      </c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  <row r="1273" spans="1:16">
      <c r="A1273" s="5">
        <f>SUM('Energy data 1990 - 2020'!D1273:E1273)</f>
        <v>4868.7394266269994</v>
      </c>
      <c r="B1273" s="5"/>
      <c r="C1273" s="5">
        <f>AVERAGE('Energy data 1990 - 2020'!H1273)</f>
        <v>1909.947279</v>
      </c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4" spans="1:16">
      <c r="A1274" s="5">
        <f>SUM('Energy data 1990 - 2020'!D1274:E1274)</f>
        <v>4815.9072418289998</v>
      </c>
      <c r="B1274" s="5"/>
      <c r="C1274" s="5">
        <f>AVERAGE('Energy data 1990 - 2020'!H1274)</f>
        <v>1925.369193</v>
      </c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</row>
    <row r="1275" spans="1:16">
      <c r="A1275" s="5">
        <f>SUM('Energy data 1990 - 2020'!D1275:E1275)</f>
        <v>4893.6718522519996</v>
      </c>
      <c r="B1275" s="5"/>
      <c r="C1275" s="5">
        <f>AVERAGE('Energy data 1990 - 2020'!H1275)</f>
        <v>1963.7806700000001</v>
      </c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</row>
    <row r="1276" spans="1:16">
      <c r="A1276" s="5">
        <f>SUM('Energy data 1990 - 2020'!D1276:E1276)</f>
        <v>5017.5525095920002</v>
      </c>
      <c r="B1276" s="5"/>
      <c r="C1276" s="5">
        <f>AVERAGE('Energy data 1990 - 2020'!H1276)</f>
        <v>1998.2339139999999</v>
      </c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</row>
    <row r="1277" spans="1:16">
      <c r="A1277" s="5">
        <f>SUM('Energy data 1990 - 2020'!D1277:E1277)</f>
        <v>5097.9241112609998</v>
      </c>
      <c r="B1277" s="5"/>
      <c r="C1277" s="5">
        <f>AVERAGE('Energy data 1990 - 2020'!H1277)</f>
        <v>2035.7538420000001</v>
      </c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78" spans="1:16">
      <c r="A1278" s="5">
        <f>SUM('Energy data 1990 - 2020'!D1278:E1278)</f>
        <v>5151.8884625609999</v>
      </c>
      <c r="B1278" s="5"/>
      <c r="C1278" s="5">
        <f>AVERAGE('Energy data 1990 - 2020'!H1278)</f>
        <v>2062.6084799999999</v>
      </c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</row>
    <row r="1279" spans="1:16">
      <c r="A1279" s="5">
        <f>SUM('Energy data 1990 - 2020'!D1279:E1279)</f>
        <v>5319.8265200329997</v>
      </c>
      <c r="B1279" s="5"/>
      <c r="C1279" s="5">
        <f>AVERAGE('Energy data 1990 - 2020'!H1279)</f>
        <v>2108.2242919999999</v>
      </c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</row>
    <row r="1280" spans="1:16">
      <c r="A1280" s="5">
        <f>SUM('Energy data 1990 - 2020'!D1280:E1280)</f>
        <v>5586.0545451950002</v>
      </c>
      <c r="B1280" s="5"/>
      <c r="C1280" s="5">
        <f>AVERAGE('Energy data 1990 - 2020'!H1280)</f>
        <v>2129.6837730000002</v>
      </c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</row>
    <row r="1281" spans="1:16">
      <c r="A1281" s="5">
        <f>SUM('Energy data 1990 - 2020'!D1281:E1281)</f>
        <v>5622.5665779370001</v>
      </c>
      <c r="B1281" s="5"/>
      <c r="C1281" s="5">
        <f>AVERAGE('Energy data 1990 - 2020'!H1281)</f>
        <v>2147.7332710000001</v>
      </c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</row>
    <row r="1282" spans="1:16">
      <c r="A1282" s="5">
        <f>SUM('Energy data 1990 - 2020'!D1282:E1282)</f>
        <v>5655.983461881</v>
      </c>
      <c r="B1282" s="5"/>
      <c r="C1282" s="5">
        <f>AVERAGE('Energy data 1990 - 2020'!H1282)</f>
        <v>2206.0116229999999</v>
      </c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</row>
    <row r="1283" spans="1:16">
      <c r="A1283" s="5">
        <f>SUM('Energy data 1990 - 2020'!D1283:E1283)</f>
        <v>5819.6585222739996</v>
      </c>
      <c r="B1283" s="5"/>
      <c r="C1283" s="5">
        <f>AVERAGE('Energy data 1990 - 2020'!H1283)</f>
        <v>2268.5537840000002</v>
      </c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</row>
    <row r="1284" spans="1:16">
      <c r="A1284" s="5">
        <f>SUM('Energy data 1990 - 2020'!D1284:E1284)</f>
        <v>5798.282856803</v>
      </c>
      <c r="B1284" s="5"/>
      <c r="C1284" s="5">
        <f>AVERAGE('Energy data 1990 - 2020'!H1284)</f>
        <v>2225.9287340000001</v>
      </c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</row>
    <row r="1285" spans="1:16">
      <c r="A1285" s="5">
        <f>SUM('Energy data 1990 - 2020'!D1285:E1285)</f>
        <v>5652.9261789760003</v>
      </c>
      <c r="B1285" s="5"/>
      <c r="C1285" s="5">
        <f>AVERAGE('Energy data 1990 - 2020'!H1285)</f>
        <v>2256.190615</v>
      </c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</row>
    <row r="1286" spans="1:16">
      <c r="A1286" s="5">
        <f>SUM('Energy data 1990 - 2020'!D1286:E1286)</f>
        <v>5710.4081176280006</v>
      </c>
      <c r="B1286" s="5"/>
      <c r="C1286" s="5">
        <f>AVERAGE('Energy data 1990 - 2020'!H1286)</f>
        <v>2261.5194179999999</v>
      </c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</row>
    <row r="1287" spans="1:16">
      <c r="A1287" s="5">
        <f>SUM('Energy data 1990 - 2020'!D1287:E1287)</f>
        <v>5789.5613782580003</v>
      </c>
      <c r="B1287" s="5"/>
      <c r="C1287" s="5">
        <f>AVERAGE('Energy data 1990 - 2020'!H1287)</f>
        <v>2308.1508669999998</v>
      </c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</row>
    <row r="1288" spans="1:16">
      <c r="A1288" s="5">
        <f>SUM('Energy data 1990 - 2020'!D1288:E1288)</f>
        <v>5805.0432729989998</v>
      </c>
      <c r="B1288" s="5"/>
      <c r="C1288" s="5">
        <f>AVERAGE('Energy data 1990 - 2020'!H1288)</f>
        <v>2319.5729860000001</v>
      </c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</row>
    <row r="1289" spans="1:16">
      <c r="A1289" s="5">
        <f>SUM('Energy data 1990 - 2020'!D1289:E1289)</f>
        <v>5699.5612515580005</v>
      </c>
      <c r="B1289" s="5"/>
      <c r="C1289" s="5">
        <f>AVERAGE('Energy data 1990 - 2020'!H1289)</f>
        <v>2297.5896729999999</v>
      </c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</row>
    <row r="1290" spans="1:16">
      <c r="A1290" s="5">
        <f>SUM('Energy data 1990 - 2020'!D1290:E1290)</f>
        <v>5785.5294913349999</v>
      </c>
      <c r="B1290" s="5"/>
      <c r="C1290" s="5">
        <f>AVERAGE('Energy data 1990 - 2020'!H1290)</f>
        <v>2338.0351949999999</v>
      </c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</row>
    <row r="1291" spans="1:16">
      <c r="A1291" s="5">
        <f>SUM('Energy data 1990 - 2020'!D1291:E1291)</f>
        <v>5604.3978332380002</v>
      </c>
      <c r="B1291" s="5"/>
      <c r="C1291" s="5">
        <f>AVERAGE('Energy data 1990 - 2020'!H1291)</f>
        <v>2277.5270519999999</v>
      </c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</row>
    <row r="1292" spans="1:16">
      <c r="A1292" s="5">
        <f>SUM('Energy data 1990 - 2020'!D1292:E1292)</f>
        <v>5212.3329697969994</v>
      </c>
      <c r="B1292" s="5"/>
      <c r="C1292" s="5">
        <f>AVERAGE('Energy data 1990 - 2020'!H1292)</f>
        <v>2165.2203490000002</v>
      </c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</row>
    <row r="1293" spans="1:16">
      <c r="A1293" s="5">
        <f>SUM('Energy data 1990 - 2020'!D1293:E1293)</f>
        <v>5447.4865261579998</v>
      </c>
      <c r="B1293" s="5"/>
      <c r="C1293" s="5">
        <f>AVERAGE('Energy data 1990 - 2020'!H1293)</f>
        <v>2217.4753449999998</v>
      </c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4" spans="1:16">
      <c r="A1294" s="5">
        <f>SUM('Energy data 1990 - 2020'!D1294:E1294)</f>
        <v>5239.4179761740006</v>
      </c>
      <c r="B1294" s="5"/>
      <c r="C1294" s="5">
        <f>AVERAGE('Energy data 1990 - 2020'!H1294)</f>
        <v>2191.4322529999999</v>
      </c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</row>
    <row r="1295" spans="1:16">
      <c r="A1295" s="5">
        <f>SUM('Energy data 1990 - 2020'!D1295:E1295)</f>
        <v>5049.7625836140005</v>
      </c>
      <c r="B1295" s="5"/>
      <c r="C1295" s="5">
        <f>AVERAGE('Energy data 1990 - 2020'!H1295)</f>
        <v>2152.3419359999998</v>
      </c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</row>
    <row r="1296" spans="1:16">
      <c r="A1296" s="5">
        <f>SUM('Energy data 1990 - 2020'!D1296:E1296)</f>
        <v>5153.2474226100003</v>
      </c>
      <c r="B1296" s="5"/>
      <c r="C1296" s="5">
        <f>AVERAGE('Energy data 1990 - 2020'!H1296)</f>
        <v>2190.1876560000001</v>
      </c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</row>
    <row r="1297" spans="1:16">
      <c r="A1297" s="5">
        <f>SUM('Energy data 1990 - 2020'!D1297:E1297)</f>
        <v>5193.9911367029999</v>
      </c>
      <c r="B1297" s="5"/>
      <c r="C1297" s="5">
        <f>AVERAGE('Energy data 1990 - 2020'!H1297)</f>
        <v>2216.495872</v>
      </c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298" spans="1:16">
      <c r="A1298" s="5">
        <f>SUM('Energy data 1990 - 2020'!D1298:E1298)</f>
        <v>5046.3762926879999</v>
      </c>
      <c r="B1298" s="5"/>
      <c r="C1298" s="5">
        <f>AVERAGE('Energy data 1990 - 2020'!H1298)</f>
        <v>2192.2406550000001</v>
      </c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</row>
    <row r="1299" spans="1:16">
      <c r="A1299" s="5">
        <f>SUM('Energy data 1990 - 2020'!D1299:E1299)</f>
        <v>4951.2061256859997</v>
      </c>
      <c r="B1299" s="5"/>
      <c r="C1299" s="5">
        <f>AVERAGE('Energy data 1990 - 2020'!H1299)</f>
        <v>2168.4923690000001</v>
      </c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</row>
    <row r="1300" spans="1:16">
      <c r="A1300" s="5">
        <f>SUM('Energy data 1990 - 2020'!D1300:E1300)</f>
        <v>4892.9191652119998</v>
      </c>
      <c r="B1300" s="5"/>
      <c r="C1300" s="5">
        <f>AVERAGE('Energy data 1990 - 2020'!H1300)</f>
        <v>2160.9643080000001</v>
      </c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</row>
    <row r="1301" spans="1:16">
      <c r="A1301" s="5">
        <f>SUM('Energy data 1990 - 2020'!D1301:E1301)</f>
        <v>5058.0935524850001</v>
      </c>
      <c r="B1301" s="5"/>
      <c r="C1301" s="5">
        <f>AVERAGE('Energy data 1990 - 2020'!H1301)</f>
        <v>2236.220902</v>
      </c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2" spans="1:16">
      <c r="A1302" s="5">
        <f>SUM('Energy data 1990 - 2020'!D1302:E1302)</f>
        <v>4934.8656237759997</v>
      </c>
      <c r="B1302" s="5"/>
      <c r="C1302" s="5">
        <f>AVERAGE('Energy data 1990 - 2020'!H1302)</f>
        <v>2213.6555920000001</v>
      </c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</row>
    <row r="1303" spans="1:16">
      <c r="A1303" s="5">
        <f>SUM('Energy data 1990 - 2020'!D1303:E1303)</f>
        <v>4406.8624588109997</v>
      </c>
      <c r="B1303" s="5"/>
      <c r="C1303" s="5">
        <f>AVERAGE('Energy data 1990 - 2020'!H1303)</f>
        <v>2045.7097409999999</v>
      </c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</row>
    <row r="1304" spans="1:16">
      <c r="A1304" s="5">
        <f>SUM('Energy data 1990 - 2020'!D1304:E1304)</f>
        <v>121.760211364</v>
      </c>
      <c r="B1304" s="5"/>
      <c r="C1304" s="5">
        <f>AVERAGE('Energy data 1990 - 2020'!H1304)</f>
        <v>47.392838009999998</v>
      </c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</row>
    <row r="1305" spans="1:16">
      <c r="A1305" s="5">
        <f>SUM('Energy data 1990 - 2020'!D1305:E1305)</f>
        <v>122.56994102099999</v>
      </c>
      <c r="B1305" s="5"/>
      <c r="C1305" s="5">
        <f>AVERAGE('Energy data 1990 - 2020'!H1305)</f>
        <v>48.042378790000001</v>
      </c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</row>
    <row r="1306" spans="1:16">
      <c r="A1306" s="5">
        <f>SUM('Energy data 1990 - 2020'!D1306:E1306)</f>
        <v>113.999993668</v>
      </c>
      <c r="B1306" s="5"/>
      <c r="C1306" s="5">
        <f>AVERAGE('Energy data 1990 - 2020'!H1306)</f>
        <v>45.09373574</v>
      </c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</row>
    <row r="1307" spans="1:16">
      <c r="A1307" s="5">
        <f>SUM('Energy data 1990 - 2020'!D1307:E1307)</f>
        <v>114.385035215</v>
      </c>
      <c r="B1307" s="5"/>
      <c r="C1307" s="5">
        <f>AVERAGE('Energy data 1990 - 2020'!H1307)</f>
        <v>46.854725219999999</v>
      </c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</row>
    <row r="1308" spans="1:16">
      <c r="A1308" s="5">
        <f>SUM('Energy data 1990 - 2020'!D1308:E1308)</f>
        <v>111.181328256</v>
      </c>
      <c r="B1308" s="5"/>
      <c r="C1308" s="5">
        <f>AVERAGE('Energy data 1990 - 2020'!H1308)</f>
        <v>46.324193370000003</v>
      </c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</row>
    <row r="1309" spans="1:16">
      <c r="A1309" s="5">
        <f>SUM('Energy data 1990 - 2020'!D1309:E1309)</f>
        <v>102.055877856</v>
      </c>
      <c r="B1309" s="5"/>
      <c r="C1309" s="5">
        <f>AVERAGE('Energy data 1990 - 2020'!H1309)</f>
        <v>42.889409129999997</v>
      </c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</row>
    <row r="1310" spans="1:16">
      <c r="A1310" s="5">
        <f>SUM('Energy data 1990 - 2020'!D1310:E1310)</f>
        <v>103.29508926600001</v>
      </c>
      <c r="B1310" s="5"/>
      <c r="C1310" s="5">
        <f>AVERAGE('Energy data 1990 - 2020'!H1310)</f>
        <v>44.34022976</v>
      </c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</row>
    <row r="1311" spans="1:16">
      <c r="A1311" s="5">
        <f>SUM('Energy data 1990 - 2020'!D1311:E1311)</f>
        <v>105.376028615</v>
      </c>
      <c r="B1311" s="5"/>
      <c r="C1311" s="5">
        <f>AVERAGE('Energy data 1990 - 2020'!H1311)</f>
        <v>45.091858760000001</v>
      </c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</row>
    <row r="1312" spans="1:16">
      <c r="A1312" s="5">
        <f>SUM('Energy data 1990 - 2020'!D1312:E1312)</f>
        <v>115.417346486</v>
      </c>
      <c r="B1312" s="5"/>
      <c r="C1312" s="5">
        <f>AVERAGE('Energy data 1990 - 2020'!H1312)</f>
        <v>47.268059059999999</v>
      </c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</row>
    <row r="1313" spans="1:16">
      <c r="A1313" s="5">
        <f>SUM('Energy data 1990 - 2020'!D1313:E1313)</f>
        <v>116.675253083</v>
      </c>
      <c r="B1313" s="5"/>
      <c r="C1313" s="5">
        <f>AVERAGE('Energy data 1990 - 2020'!H1313)</f>
        <v>49.656791050000002</v>
      </c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4" spans="1:16">
      <c r="A1314" s="5">
        <f>SUM('Energy data 1990 - 2020'!D1314:E1314)</f>
        <v>123.51212553100001</v>
      </c>
      <c r="B1314" s="5"/>
      <c r="C1314" s="5">
        <f>AVERAGE('Energy data 1990 - 2020'!H1314)</f>
        <v>50.901720949999998</v>
      </c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</row>
    <row r="1315" spans="1:16">
      <c r="A1315" s="5">
        <f>SUM('Energy data 1990 - 2020'!D1315:E1315)</f>
        <v>124.320906018</v>
      </c>
      <c r="B1315" s="5"/>
      <c r="C1315" s="5">
        <f>AVERAGE('Energy data 1990 - 2020'!H1315)</f>
        <v>51.22975357</v>
      </c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</row>
    <row r="1316" spans="1:16">
      <c r="A1316" s="5">
        <f>SUM('Energy data 1990 - 2020'!D1316:E1316)</f>
        <v>126.93302835700001</v>
      </c>
      <c r="B1316" s="5"/>
      <c r="C1316" s="5">
        <f>AVERAGE('Energy data 1990 - 2020'!H1316)</f>
        <v>53.006138559999997</v>
      </c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</row>
    <row r="1317" spans="1:16">
      <c r="A1317" s="5">
        <f>SUM('Energy data 1990 - 2020'!D1317:E1317)</f>
        <v>119.69004413499999</v>
      </c>
      <c r="B1317" s="5"/>
      <c r="C1317" s="5">
        <f>AVERAGE('Energy data 1990 - 2020'!H1317)</f>
        <v>51.274488550000001</v>
      </c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18" spans="1:16">
      <c r="A1318" s="5">
        <f>SUM('Energy data 1990 - 2020'!D1318:E1318)</f>
        <v>122.478699015</v>
      </c>
      <c r="B1318" s="5"/>
      <c r="C1318" s="5">
        <f>AVERAGE('Energy data 1990 - 2020'!H1318)</f>
        <v>50.72929791</v>
      </c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</row>
    <row r="1319" spans="1:16">
      <c r="A1319" s="5">
        <f>SUM('Energy data 1990 - 2020'!D1319:E1319)</f>
        <v>115.577752488</v>
      </c>
      <c r="B1319" s="5"/>
      <c r="C1319" s="5">
        <f>AVERAGE('Energy data 1990 - 2020'!H1319)</f>
        <v>47.996542509999998</v>
      </c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</row>
    <row r="1320" spans="1:16">
      <c r="A1320" s="5">
        <f>SUM('Energy data 1990 - 2020'!D1320:E1320)</f>
        <v>122.695410651</v>
      </c>
      <c r="B1320" s="5"/>
      <c r="C1320" s="5">
        <f>AVERAGE('Energy data 1990 - 2020'!H1320)</f>
        <v>49.337893149999999</v>
      </c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</row>
    <row r="1321" spans="1:16">
      <c r="A1321" s="5">
        <f>SUM('Energy data 1990 - 2020'!D1321:E1321)</f>
        <v>118.85300228599999</v>
      </c>
      <c r="B1321" s="5"/>
      <c r="C1321" s="5">
        <f>AVERAGE('Energy data 1990 - 2020'!H1321)</f>
        <v>47.833028169999999</v>
      </c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</row>
    <row r="1322" spans="1:16">
      <c r="A1322" s="5">
        <f>SUM('Energy data 1990 - 2020'!D1322:E1322)</f>
        <v>124.4381767</v>
      </c>
      <c r="B1322" s="5"/>
      <c r="C1322" s="5">
        <f>AVERAGE('Energy data 1990 - 2020'!H1322)</f>
        <v>49.7229788</v>
      </c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</row>
    <row r="1323" spans="1:16">
      <c r="A1323" s="5">
        <f>SUM('Energy data 1990 - 2020'!D1323:E1323)</f>
        <v>114.49745013500001</v>
      </c>
      <c r="B1323" s="5"/>
      <c r="C1323" s="5">
        <f>AVERAGE('Energy data 1990 - 2020'!H1323)</f>
        <v>45.633517920000003</v>
      </c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</row>
    <row r="1324" spans="1:16">
      <c r="A1324" s="5">
        <f>SUM('Energy data 1990 - 2020'!D1324:E1324)</f>
        <v>122.60845555900001</v>
      </c>
      <c r="B1324" s="5"/>
      <c r="C1324" s="5">
        <f>AVERAGE('Energy data 1990 - 2020'!H1324)</f>
        <v>48.996791880000004</v>
      </c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</row>
    <row r="1325" spans="1:16">
      <c r="A1325" s="5">
        <f>SUM('Energy data 1990 - 2020'!D1325:E1325)</f>
        <v>125.217165119</v>
      </c>
      <c r="B1325" s="5"/>
      <c r="C1325" s="5">
        <f>AVERAGE('Energy data 1990 - 2020'!H1325)</f>
        <v>49.63583509</v>
      </c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</row>
    <row r="1326" spans="1:16">
      <c r="A1326" s="5">
        <f>SUM('Energy data 1990 - 2020'!D1326:E1326)</f>
        <v>111.45913641600001</v>
      </c>
      <c r="B1326" s="5"/>
      <c r="C1326" s="5">
        <f>AVERAGE('Energy data 1990 - 2020'!H1326)</f>
        <v>44.04384563</v>
      </c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</row>
    <row r="1327" spans="1:16">
      <c r="A1327" s="5">
        <f>SUM('Energy data 1990 - 2020'!D1327:E1327)</f>
        <v>113.303048866</v>
      </c>
      <c r="B1327" s="5"/>
      <c r="C1327" s="5">
        <f>AVERAGE('Energy data 1990 - 2020'!H1327)</f>
        <v>44.068318410000003</v>
      </c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</row>
    <row r="1328" spans="1:16">
      <c r="A1328" s="5">
        <f>SUM('Energy data 1990 - 2020'!D1328:E1328)</f>
        <v>105.36430302399999</v>
      </c>
      <c r="B1328" s="5"/>
      <c r="C1328" s="5">
        <f>AVERAGE('Energy data 1990 - 2020'!H1328)</f>
        <v>41.038271000000002</v>
      </c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</row>
    <row r="1329" spans="1:16">
      <c r="A1329" s="5">
        <f>SUM('Energy data 1990 - 2020'!D1329:E1329)</f>
        <v>99.975915066999988</v>
      </c>
      <c r="B1329" s="5"/>
      <c r="C1329" s="5">
        <f>AVERAGE('Energy data 1990 - 2020'!H1329)</f>
        <v>39.317350419999997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</row>
    <row r="1330" spans="1:16">
      <c r="A1330" s="5">
        <f>SUM('Energy data 1990 - 2020'!D1330:E1330)</f>
        <v>105.82461015600001</v>
      </c>
      <c r="B1330" s="5"/>
      <c r="C1330" s="5">
        <f>AVERAGE('Energy data 1990 - 2020'!H1330)</f>
        <v>41.514410079999998</v>
      </c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</row>
    <row r="1331" spans="1:16">
      <c r="A1331" s="5">
        <f>SUM('Energy data 1990 - 2020'!D1331:E1331)</f>
        <v>110.03685258599999</v>
      </c>
      <c r="B1331" s="5"/>
      <c r="C1331" s="5">
        <f>AVERAGE('Energy data 1990 - 2020'!H1331)</f>
        <v>43.744748280000003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</row>
    <row r="1332" spans="1:16">
      <c r="A1332" s="5">
        <f>SUM('Energy data 1990 - 2020'!D1332:E1332)</f>
        <v>110.586184489</v>
      </c>
      <c r="B1332" s="5"/>
      <c r="C1332" s="5">
        <f>AVERAGE('Energy data 1990 - 2020'!H1332)</f>
        <v>46.393578290000001</v>
      </c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</row>
    <row r="1333" spans="1:16">
      <c r="A1333" s="5">
        <f>SUM('Energy data 1990 - 2020'!D1333:E1333)</f>
        <v>113.89304013899999</v>
      </c>
      <c r="B1333" s="5"/>
      <c r="C1333" s="5">
        <f>AVERAGE('Energy data 1990 - 2020'!H1333)</f>
        <v>47.421578250000003</v>
      </c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4" spans="1:16">
      <c r="A1334" s="5">
        <f>SUM('Energy data 1990 - 2020'!D1334:E1334)</f>
        <v>109.242366316</v>
      </c>
      <c r="B1334" s="5"/>
      <c r="C1334" s="5">
        <f>AVERAGE('Energy data 1990 - 2020'!H1334)</f>
        <v>44.119506540000003</v>
      </c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</row>
    <row r="1335" spans="1:16">
      <c r="A1335" s="5">
        <f>SUM('Energy data 1990 - 2020'!D1335:E1335)</f>
        <v>95.953384212000003</v>
      </c>
      <c r="B1335" s="5"/>
      <c r="C1335" s="5">
        <f>AVERAGE('Energy data 1990 - 2020'!H1335)</f>
        <v>39.606710880000001</v>
      </c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</row>
    <row r="1336" spans="1:16">
      <c r="A1336" s="5">
        <f>SUM('Energy data 1990 - 2020'!D1336:E1336)</f>
        <v>95.335204437999991</v>
      </c>
      <c r="B1336" s="5"/>
      <c r="C1336" s="5">
        <f>AVERAGE('Energy data 1990 - 2020'!H1336)</f>
        <v>41.368012550000003</v>
      </c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</row>
    <row r="1337" spans="1:16">
      <c r="A1337" s="5">
        <f>SUM('Energy data 1990 - 2020'!D1337:E1337)</f>
        <v>97.106767947999998</v>
      </c>
      <c r="B1337" s="5"/>
      <c r="C1337" s="5">
        <f>AVERAGE('Energy data 1990 - 2020'!H1337)</f>
        <v>46.270808789999997</v>
      </c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</row>
    <row r="1338" spans="1:16">
      <c r="A1338" s="5">
        <f>SUM('Energy data 1990 - 2020'!D1338:E1338)</f>
        <v>102.94629787</v>
      </c>
      <c r="B1338" s="5"/>
      <c r="C1338" s="5">
        <f>AVERAGE('Energy data 1990 - 2020'!H1338)</f>
        <v>43.096443069999999</v>
      </c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</row>
    <row r="1339" spans="1:16">
      <c r="A1339" s="5">
        <f>SUM('Energy data 1990 - 2020'!D1339:E1339)</f>
        <v>102.64283815600001</v>
      </c>
      <c r="B1339" s="5"/>
      <c r="C1339" s="5">
        <f>AVERAGE('Energy data 1990 - 2020'!H1339)</f>
        <v>49.949468680000003</v>
      </c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</row>
    <row r="1340" spans="1:16">
      <c r="A1340" s="5">
        <f>SUM('Energy data 1990 - 2020'!D1340:E1340)</f>
        <v>109.144901604</v>
      </c>
      <c r="B1340" s="5"/>
      <c r="C1340" s="5">
        <f>AVERAGE('Energy data 1990 - 2020'!H1340)</f>
        <v>46.859277710000001</v>
      </c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</row>
    <row r="1341" spans="1:16">
      <c r="A1341" s="5">
        <f>SUM('Energy data 1990 - 2020'!D1341:E1341)</f>
        <v>117.203182583</v>
      </c>
      <c r="B1341" s="5"/>
      <c r="C1341" s="5">
        <f>AVERAGE('Energy data 1990 - 2020'!H1341)</f>
        <v>49.939414839999998</v>
      </c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</row>
    <row r="1342" spans="1:16">
      <c r="A1342" s="5">
        <f>SUM('Energy data 1990 - 2020'!D1342:E1342)</f>
        <v>121.916630398</v>
      </c>
      <c r="B1342" s="5"/>
      <c r="C1342" s="5">
        <f>AVERAGE('Energy data 1990 - 2020'!H1342)</f>
        <v>49.73154795</v>
      </c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</row>
    <row r="1343" spans="1:16">
      <c r="A1343" s="5">
        <f>SUM('Energy data 1990 - 2020'!D1343:E1343)</f>
        <v>118.166055938</v>
      </c>
      <c r="B1343" s="5"/>
      <c r="C1343" s="5">
        <f>AVERAGE('Energy data 1990 - 2020'!H1343)</f>
        <v>52.358394250000003</v>
      </c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</row>
    <row r="1344" spans="1:16">
      <c r="A1344" s="5">
        <f>SUM('Energy data 1990 - 2020'!D1344:E1344)</f>
        <v>117.581191473</v>
      </c>
      <c r="B1344" s="5"/>
      <c r="C1344" s="5">
        <f>AVERAGE('Energy data 1990 - 2020'!H1344)</f>
        <v>57.74199634</v>
      </c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</row>
    <row r="1345" spans="1:16">
      <c r="A1345" s="5">
        <f>SUM('Energy data 1990 - 2020'!D1345:E1345)</f>
        <v>124.654623468</v>
      </c>
      <c r="B1345" s="5"/>
      <c r="C1345" s="5">
        <f>AVERAGE('Energy data 1990 - 2020'!H1345)</f>
        <v>58.653867900000002</v>
      </c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</row>
    <row r="1346" spans="1:16">
      <c r="A1346" s="5">
        <f>SUM('Energy data 1990 - 2020'!D1346:E1346)</f>
        <v>130.151046296</v>
      </c>
      <c r="B1346" s="5"/>
      <c r="C1346" s="5">
        <f>AVERAGE('Energy data 1990 - 2020'!H1346)</f>
        <v>54.666265529999997</v>
      </c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</row>
    <row r="1347" spans="1:16">
      <c r="A1347" s="5">
        <f>SUM('Energy data 1990 - 2020'!D1347:E1347)</f>
        <v>136.622088636</v>
      </c>
      <c r="B1347" s="5"/>
      <c r="C1347" s="5">
        <f>AVERAGE('Energy data 1990 - 2020'!H1347)</f>
        <v>67.375350130000001</v>
      </c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</row>
    <row r="1348" spans="1:16">
      <c r="A1348" s="5">
        <f>SUM('Energy data 1990 - 2020'!D1348:E1348)</f>
        <v>131.482364168</v>
      </c>
      <c r="B1348" s="5"/>
      <c r="C1348" s="5">
        <f>AVERAGE('Energy data 1990 - 2020'!H1348)</f>
        <v>62.976048759999998</v>
      </c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</row>
    <row r="1349" spans="1:16">
      <c r="A1349" s="5">
        <f>SUM('Energy data 1990 - 2020'!D1349:E1349)</f>
        <v>136.18421597700001</v>
      </c>
      <c r="B1349" s="5"/>
      <c r="C1349" s="5">
        <f>AVERAGE('Energy data 1990 - 2020'!H1349)</f>
        <v>60.717247759999999</v>
      </c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</row>
    <row r="1350" spans="1:16">
      <c r="A1350" s="5">
        <f>SUM('Energy data 1990 - 2020'!D1350:E1350)</f>
        <v>144.354500868</v>
      </c>
      <c r="B1350" s="5"/>
      <c r="C1350" s="5">
        <f>AVERAGE('Energy data 1990 - 2020'!H1350)</f>
        <v>63.526822350000003</v>
      </c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</row>
    <row r="1351" spans="1:16">
      <c r="A1351" s="5">
        <f>SUM('Energy data 1990 - 2020'!D1351:E1351)</f>
        <v>142.37142974599999</v>
      </c>
      <c r="B1351" s="5"/>
      <c r="C1351" s="5">
        <f>AVERAGE('Energy data 1990 - 2020'!H1351)</f>
        <v>64.666109149999997</v>
      </c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</row>
    <row r="1352" spans="1:16">
      <c r="A1352" s="5">
        <f>SUM('Energy data 1990 - 2020'!D1352:E1352)</f>
        <v>138.08020650500001</v>
      </c>
      <c r="B1352" s="5"/>
      <c r="C1352" s="5">
        <f>AVERAGE('Energy data 1990 - 2020'!H1352)</f>
        <v>66.125088079999998</v>
      </c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</row>
    <row r="1353" spans="1:16">
      <c r="A1353" s="5">
        <f>SUM('Energy data 1990 - 2020'!D1353:E1353)</f>
        <v>145.671901835</v>
      </c>
      <c r="B1353" s="5"/>
      <c r="C1353" s="5">
        <f>AVERAGE('Energy data 1990 - 2020'!H1353)</f>
        <v>65.566795450000001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4" spans="1:16">
      <c r="A1354" s="5">
        <f>SUM('Energy data 1990 - 2020'!D1354:E1354)</f>
        <v>146.97432362200001</v>
      </c>
      <c r="B1354" s="5"/>
      <c r="C1354" s="5">
        <f>AVERAGE('Energy data 1990 - 2020'!H1354)</f>
        <v>63.201552530000001</v>
      </c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</row>
    <row r="1355" spans="1:16">
      <c r="A1355" s="5">
        <f>SUM('Energy data 1990 - 2020'!D1355:E1355)</f>
        <v>158.73965343100002</v>
      </c>
      <c r="B1355" s="5"/>
      <c r="C1355" s="5">
        <f>AVERAGE('Energy data 1990 - 2020'!H1355)</f>
        <v>75.343838230000003</v>
      </c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</row>
    <row r="1356" spans="1:16">
      <c r="A1356" s="5">
        <f>SUM('Energy data 1990 - 2020'!D1356:E1356)</f>
        <v>153.11442042500002</v>
      </c>
      <c r="B1356" s="5"/>
      <c r="C1356" s="5">
        <f>AVERAGE('Energy data 1990 - 2020'!H1356)</f>
        <v>67.257265790000005</v>
      </c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</row>
    <row r="1357" spans="1:16">
      <c r="A1357" s="5">
        <f>SUM('Energy data 1990 - 2020'!D1357:E1357)</f>
        <v>164.73117815500001</v>
      </c>
      <c r="B1357" s="5"/>
      <c r="C1357" s="5">
        <f>AVERAGE('Energy data 1990 - 2020'!H1357)</f>
        <v>68.754426309999999</v>
      </c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58" spans="1:16">
      <c r="A1358" s="5">
        <f>SUM('Energy data 1990 - 2020'!D1358:E1358)</f>
        <v>161.356302863</v>
      </c>
      <c r="B1358" s="5"/>
      <c r="C1358" s="5">
        <f>AVERAGE('Energy data 1990 - 2020'!H1358)</f>
        <v>76.133726960000004</v>
      </c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</row>
    <row r="1359" spans="1:16">
      <c r="A1359" s="5">
        <f>SUM('Energy data 1990 - 2020'!D1359:E1359)</f>
        <v>159.25571497800001</v>
      </c>
      <c r="B1359" s="5"/>
      <c r="C1359" s="5">
        <f>AVERAGE('Energy data 1990 - 2020'!H1359)</f>
        <v>66.03834809</v>
      </c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</row>
    <row r="1360" spans="1:16">
      <c r="A1360" s="5">
        <f>SUM('Energy data 1990 - 2020'!D1360:E1360)</f>
        <v>144.21804353100001</v>
      </c>
      <c r="B1360" s="5"/>
      <c r="C1360" s="5">
        <f>AVERAGE('Energy data 1990 - 2020'!H1360)</f>
        <v>64.298862029999995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</row>
    <row r="1361" spans="1:16">
      <c r="A1361" s="5">
        <f>SUM('Energy data 1990 - 2020'!D1361:E1361)</f>
        <v>132.45887775900002</v>
      </c>
      <c r="B1361" s="5"/>
      <c r="C1361" s="5">
        <f>AVERAGE('Energy data 1990 - 2020'!H1361)</f>
        <v>58.807790900000001</v>
      </c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</row>
    <row r="1362" spans="1:16">
      <c r="A1362" s="5">
        <f>SUM('Energy data 1990 - 2020'!D1362:E1362)</f>
        <v>126.329112052</v>
      </c>
      <c r="B1362" s="5"/>
      <c r="C1362" s="5">
        <f>AVERAGE('Energy data 1990 - 2020'!H1362)</f>
        <v>55.828487879999997</v>
      </c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</row>
    <row r="1363" spans="1:16">
      <c r="A1363" s="5">
        <f>SUM('Energy data 1990 - 2020'!D1363:E1363)</f>
        <v>115.95119955</v>
      </c>
      <c r="B1363" s="5"/>
      <c r="C1363" s="5">
        <f>AVERAGE('Energy data 1990 - 2020'!H1363)</f>
        <v>41.918720219999997</v>
      </c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</row>
    <row r="1364" spans="1:16">
      <c r="A1364" s="5">
        <f>SUM('Energy data 1990 - 2020'!D1364:E1364)</f>
        <v>103.99382951800001</v>
      </c>
      <c r="B1364" s="5"/>
      <c r="C1364" s="5">
        <f>AVERAGE('Energy data 1990 - 2020'!H1364)</f>
        <v>36.225424760000003</v>
      </c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</row>
    <row r="1365" spans="1:16">
      <c r="A1365" s="5">
        <f>SUM('Energy data 1990 - 2020'!D1365:E1365)</f>
        <v>87.964834299999993</v>
      </c>
      <c r="B1365" s="5"/>
      <c r="C1365" s="5">
        <f>AVERAGE('Energy data 1990 - 2020'!H1365)</f>
        <v>29.161319259999999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</row>
    <row r="1366" spans="1:1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</row>
    <row r="1367" spans="1:16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</row>
    <row r="1368" spans="1:16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</row>
    <row r="1369" spans="1:16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</row>
    <row r="1370" spans="1:16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</row>
    <row r="1371" spans="1:16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</row>
    <row r="1372" spans="1:16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</row>
    <row r="1373" spans="1:16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4" spans="1:16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</row>
    <row r="1375" spans="1:16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</row>
    <row r="1376" spans="1:1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</row>
    <row r="1377" spans="1:16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</row>
    <row r="1378" spans="1:16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</row>
    <row r="1379" spans="1:16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</row>
    <row r="1380" spans="1:16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</row>
    <row r="1381" spans="1:16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2" spans="1:16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</row>
    <row r="1383" spans="1:16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</row>
    <row r="1384" spans="1:16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</row>
    <row r="1385" spans="1:16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6" spans="1:1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</row>
    <row r="1387" spans="1:16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</row>
    <row r="1388" spans="1:16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</row>
    <row r="1389" spans="1:16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</row>
    <row r="1390" spans="1:16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</row>
    <row r="1391" spans="1:16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</row>
    <row r="1392" spans="1:16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</row>
    <row r="1393" spans="1:16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4" spans="1:16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</row>
    <row r="1395" spans="1:16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</row>
    <row r="1396" spans="1:1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</row>
    <row r="1397" spans="1:16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</row>
    <row r="1398" spans="1:16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</row>
    <row r="1399" spans="1:16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</row>
    <row r="1400" spans="1:16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</row>
    <row r="1401" spans="1:16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2" spans="1:16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</row>
    <row r="1403" spans="1:16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</row>
    <row r="1404" spans="1:16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</row>
    <row r="1405" spans="1:16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</row>
    <row r="1406" spans="1:1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</row>
    <row r="1407" spans="1:16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</row>
    <row r="1408" spans="1:16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</row>
    <row r="1409" spans="1:16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</row>
    <row r="1410" spans="1:16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</row>
    <row r="1411" spans="1:16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</row>
    <row r="1412" spans="1:16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</row>
    <row r="1413" spans="1:16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</row>
    <row r="1414" spans="1:16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</row>
    <row r="1415" spans="1:16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</row>
    <row r="1416" spans="1:1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</row>
    <row r="1417" spans="1:16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</row>
    <row r="1418" spans="1:16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</row>
    <row r="1419" spans="1:16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</row>
    <row r="1420" spans="1:16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</row>
    <row r="1421" spans="1:16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</row>
    <row r="1422" spans="1:16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</row>
    <row r="1423" spans="1:16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</row>
    <row r="1424" spans="1:16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</row>
    <row r="1425" spans="1:16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</row>
    <row r="1426" spans="1:1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</row>
    <row r="1427" spans="1:16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</row>
    <row r="1428" spans="1:16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</row>
    <row r="1429" spans="1:1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</row>
    <row r="1430" spans="1:16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</row>
    <row r="1431" spans="1:16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</row>
    <row r="1432" spans="1:16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</row>
    <row r="1433" spans="1:1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4" spans="1:16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</row>
    <row r="1435" spans="1:16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</row>
    <row r="1436" spans="1:1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</row>
    <row r="1437" spans="1:1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38" spans="1:16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</row>
    <row r="1439" spans="1:16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</row>
    <row r="1440" spans="1:16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</row>
    <row r="1441" spans="1:16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</row>
    <row r="1442" spans="1:16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</row>
    <row r="1443" spans="1:16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</row>
    <row r="1444" spans="1:16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</row>
    <row r="1445" spans="1:16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6" spans="1:16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</row>
    <row r="1447" spans="1:16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</row>
    <row r="1448" spans="1:16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</row>
    <row r="1449" spans="1:1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0" spans="1:16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</row>
    <row r="1451" spans="1:16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</row>
    <row r="1452" spans="1:16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</row>
    <row r="1453" spans="1:1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</row>
    <row r="1454" spans="1:16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</row>
    <row r="1455" spans="1:16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</row>
    <row r="1456" spans="1:1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</row>
    <row r="1457" spans="1:16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</row>
    <row r="1458" spans="1:16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</row>
    <row r="1459" spans="1:16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</row>
    <row r="1460" spans="1:16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</row>
    <row r="1461" spans="1:16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</row>
    <row r="1462" spans="1:16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</row>
    <row r="1463" spans="1:16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</row>
    <row r="1464" spans="1:16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</row>
    <row r="1465" spans="1:16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</row>
    <row r="1466" spans="1:1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</row>
    <row r="1467" spans="1:16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</row>
    <row r="1468" spans="1:16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</row>
    <row r="1469" spans="1:16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</row>
    <row r="1470" spans="1:16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</row>
    <row r="1471" spans="1:16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</row>
    <row r="1472" spans="1:16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</row>
    <row r="1473" spans="1:16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</row>
    <row r="1474" spans="1:16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</row>
    <row r="1475" spans="1:16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</row>
    <row r="1476" spans="1:16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</row>
    <row r="1477" spans="1:16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</row>
    <row r="1478" spans="1:16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</row>
    <row r="1479" spans="1:16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</row>
    <row r="1480" spans="1:16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</row>
    <row r="1481" spans="1:16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2" spans="1:16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</row>
    <row r="1483" spans="1:16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</row>
    <row r="1484" spans="1:16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</row>
    <row r="1485" spans="1:16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</row>
    <row r="1486" spans="1:1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</row>
    <row r="1487" spans="1:16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</row>
    <row r="1488" spans="1:16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</row>
    <row r="1489" spans="1:16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</row>
    <row r="1490" spans="1:16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</row>
    <row r="1491" spans="1:16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</row>
    <row r="1492" spans="1:16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</row>
    <row r="1493" spans="1:16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</row>
    <row r="1494" spans="1:16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</row>
    <row r="1495" spans="1:16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</row>
    <row r="1496" spans="1:16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</row>
    <row r="1497" spans="1:16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</row>
    <row r="1498" spans="1:16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</row>
    <row r="1499" spans="1:16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</row>
    <row r="1500" spans="1:16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</row>
    <row r="1501" spans="1:16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</row>
    <row r="1502" spans="1:16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</row>
    <row r="1503" spans="1:16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</row>
    <row r="1504" spans="1:16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</row>
    <row r="1505" spans="1:16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</row>
    <row r="1506" spans="1:16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</row>
    <row r="1507" spans="1:16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</row>
    <row r="1508" spans="1:16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</row>
    <row r="1509" spans="1:16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</row>
    <row r="1510" spans="1:16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</row>
    <row r="1511" spans="1:16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</row>
    <row r="1512" spans="1:16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</row>
    <row r="1513" spans="1:16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</row>
    <row r="1514" spans="1:16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</row>
    <row r="1515" spans="1:16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</row>
    <row r="1516" spans="1:1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</row>
    <row r="1517" spans="1:16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</row>
    <row r="1518" spans="1:16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</row>
    <row r="1519" spans="1:16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</row>
    <row r="1520" spans="1:16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</row>
    <row r="1521" spans="1:16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</row>
    <row r="1522" spans="1:16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</row>
    <row r="1523" spans="1:16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</row>
    <row r="1524" spans="1:16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</row>
    <row r="1525" spans="1:16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</row>
    <row r="1526" spans="1:16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</row>
    <row r="1527" spans="1:16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</row>
    <row r="1528" spans="1:16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</row>
    <row r="1529" spans="1:16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</row>
    <row r="1530" spans="1:16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</row>
    <row r="1531" spans="1:16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</row>
    <row r="1532" spans="1:16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</row>
    <row r="1533" spans="1:16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</row>
    <row r="1534" spans="1:16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</row>
    <row r="1535" spans="1:16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</row>
    <row r="1536" spans="1:16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</row>
    <row r="1537" spans="1:16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</row>
    <row r="1538" spans="1:16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</row>
    <row r="1539" spans="1:16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</row>
    <row r="1540" spans="1:16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</row>
    <row r="1541" spans="1:16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2" spans="1:16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</row>
    <row r="1543" spans="1:16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</row>
    <row r="1544" spans="1:16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</row>
    <row r="1545" spans="1:16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</row>
    <row r="1546" spans="1:16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</row>
    <row r="1547" spans="1:16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</row>
    <row r="1548" spans="1:16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</row>
    <row r="1549" spans="1:16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</row>
    <row r="1550" spans="1:16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</row>
    <row r="1551" spans="1:16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</row>
    <row r="1552" spans="1:16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</row>
    <row r="1553" spans="1:16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</row>
    <row r="1554" spans="1:16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</row>
    <row r="1555" spans="1:16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</row>
    <row r="1556" spans="1:16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</row>
    <row r="1557" spans="1:16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</row>
    <row r="1558" spans="1:16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</row>
    <row r="1559" spans="1:16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</row>
    <row r="1560" spans="1:16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</row>
    <row r="1561" spans="1:16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</row>
    <row r="1562" spans="1:16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</row>
    <row r="1563" spans="1:16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</row>
    <row r="1564" spans="1:16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</row>
    <row r="1565" spans="1:16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</row>
    <row r="1566" spans="1:16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</row>
    <row r="1567" spans="1:16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</row>
    <row r="1568" spans="1:16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</row>
    <row r="1569" spans="1:16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</row>
    <row r="1570" spans="1:16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</row>
    <row r="1571" spans="1:16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</row>
    <row r="1572" spans="1:16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</row>
    <row r="1573" spans="1:16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</row>
    <row r="1574" spans="1:16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</row>
    <row r="1575" spans="1:16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</row>
    <row r="1576" spans="1:1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</row>
    <row r="1577" spans="1:16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</row>
    <row r="1578" spans="1:16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</row>
    <row r="1579" spans="1:16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</row>
    <row r="1580" spans="1:16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</row>
    <row r="1581" spans="1:16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</row>
    <row r="1582" spans="1:16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</row>
    <row r="1583" spans="1:16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</row>
    <row r="1584" spans="1:16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</row>
    <row r="1585" spans="1:16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</row>
    <row r="1586" spans="1:16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</row>
    <row r="1587" spans="1:16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</row>
    <row r="1588" spans="1:16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</row>
    <row r="1589" spans="1:1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</row>
    <row r="1590" spans="1:16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</row>
    <row r="1591" spans="1:16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</row>
    <row r="1592" spans="1:16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</row>
    <row r="1593" spans="1:16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</row>
    <row r="1594" spans="1:16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</row>
    <row r="1595" spans="1:16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</row>
    <row r="1596" spans="1:1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</row>
    <row r="1597" spans="1:16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</row>
    <row r="1598" spans="1:16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</row>
    <row r="1599" spans="1:16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</row>
    <row r="1600" spans="1:16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</row>
    <row r="1601" spans="1:1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</row>
    <row r="1602" spans="1:16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</row>
    <row r="1603" spans="1:16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</row>
    <row r="1604" spans="1:16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</row>
    <row r="1605" spans="1:16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</row>
    <row r="1606" spans="1:1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</row>
    <row r="1607" spans="1:16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</row>
    <row r="1608" spans="1:16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</row>
    <row r="1609" spans="1:1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</row>
    <row r="1610" spans="1:16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</row>
    <row r="1611" spans="1:16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</row>
    <row r="1612" spans="1:16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</row>
    <row r="1613" spans="1:16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</row>
    <row r="1614" spans="1:16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</row>
    <row r="1615" spans="1:16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</row>
    <row r="1616" spans="1:1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</row>
    <row r="1617" spans="1:16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</row>
    <row r="1618" spans="1:16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</row>
    <row r="1619" spans="1:16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</row>
    <row r="1620" spans="1:16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</row>
    <row r="1621" spans="1:16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2" spans="1:16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</row>
    <row r="1623" spans="1:16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</row>
    <row r="1624" spans="1:16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</row>
    <row r="1625" spans="1:16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</row>
    <row r="1626" spans="1:16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</row>
    <row r="1627" spans="1:16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</row>
    <row r="1628" spans="1:16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</row>
    <row r="1629" spans="1:16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0" spans="1:16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</row>
    <row r="1631" spans="1:16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</row>
    <row r="1632" spans="1:16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</row>
    <row r="1633" spans="1:16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</row>
    <row r="1634" spans="1:16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</row>
    <row r="1635" spans="1:16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</row>
    <row r="1636" spans="1:1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</row>
    <row r="1637" spans="1:16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</row>
    <row r="1638" spans="1:16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</row>
    <row r="1639" spans="1:16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</row>
    <row r="1640" spans="1:16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</row>
    <row r="1641" spans="1:1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</row>
    <row r="1642" spans="1:16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</row>
    <row r="1643" spans="1:16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</row>
    <row r="1644" spans="1:16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</row>
    <row r="1645" spans="1:16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</row>
    <row r="1646" spans="1:1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</row>
    <row r="1647" spans="1:16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</row>
    <row r="1648" spans="1:16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</row>
    <row r="1649" spans="1:16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0" spans="1:16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</row>
    <row r="1651" spans="1:16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</row>
    <row r="1652" spans="1:16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</row>
    <row r="1653" spans="1:16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</row>
    <row r="1654" spans="1:16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</row>
    <row r="1655" spans="1:16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</row>
    <row r="1656" spans="1:16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</row>
    <row r="1657" spans="1:16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</row>
    <row r="1658" spans="1:16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</row>
    <row r="1659" spans="1:16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</row>
    <row r="1660" spans="1:16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</row>
    <row r="1661" spans="1:16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</row>
    <row r="1662" spans="1:16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</row>
    <row r="1663" spans="1:16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</row>
    <row r="1664" spans="1:16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</row>
    <row r="1665" spans="1:16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</row>
    <row r="1666" spans="1:16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</row>
    <row r="1667" spans="1:16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</row>
    <row r="1668" spans="1:16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</row>
    <row r="1669" spans="1:1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</row>
    <row r="1670" spans="1:16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</row>
    <row r="1671" spans="1:16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</row>
    <row r="1672" spans="1:16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</row>
    <row r="1673" spans="1:16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</row>
    <row r="1674" spans="1:16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</row>
    <row r="1675" spans="1:16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</row>
    <row r="1676" spans="1:1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</row>
    <row r="1677" spans="1:16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</row>
    <row r="1678" spans="1:16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</row>
    <row r="1679" spans="1:16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</row>
    <row r="1680" spans="1:16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</row>
    <row r="1681" spans="1:16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</row>
    <row r="1682" spans="1:16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</row>
    <row r="1683" spans="1:16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</row>
    <row r="1684" spans="1:16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</row>
    <row r="1685" spans="1:16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</row>
    <row r="1686" spans="1:16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</row>
    <row r="1687" spans="1:16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</row>
    <row r="1688" spans="1:16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</row>
    <row r="1689" spans="1:16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</row>
    <row r="1690" spans="1:16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</row>
    <row r="1691" spans="1:16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</row>
    <row r="1692" spans="1:16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</row>
    <row r="1693" spans="1:16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</row>
    <row r="1694" spans="1:16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</row>
    <row r="1695" spans="1:16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</row>
    <row r="1696" spans="1:16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</row>
    <row r="1697" spans="1:16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</row>
    <row r="1698" spans="1:16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</row>
    <row r="1699" spans="1:16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</row>
    <row r="1700" spans="1:16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</row>
    <row r="1701" spans="1:16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</row>
    <row r="1702" spans="1:16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</row>
    <row r="1703" spans="1:16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</row>
    <row r="1704" spans="1:16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</row>
    <row r="1705" spans="1:16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</row>
    <row r="1706" spans="1:1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</row>
    <row r="1707" spans="1:16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</row>
    <row r="1708" spans="1:16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</row>
    <row r="1709" spans="1:16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</row>
    <row r="1710" spans="1:16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</row>
    <row r="1711" spans="1:16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</row>
    <row r="1712" spans="1:16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</row>
    <row r="1713" spans="1:16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</row>
    <row r="1714" spans="1:16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</row>
    <row r="1715" spans="1:16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</row>
    <row r="1716" spans="1:1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</row>
    <row r="1717" spans="1:16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</row>
    <row r="1718" spans="1:16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</row>
    <row r="1719" spans="1:16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</row>
    <row r="1720" spans="1:16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</row>
    <row r="1721" spans="1:16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</row>
    <row r="1722" spans="1:16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</row>
    <row r="1723" spans="1:16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</row>
    <row r="1724" spans="1:16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</row>
    <row r="1725" spans="1:16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</row>
    <row r="1726" spans="1:1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</row>
    <row r="1727" spans="1:16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</row>
    <row r="1728" spans="1:16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</row>
    <row r="1729" spans="1:16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</row>
    <row r="1730" spans="1:16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</row>
    <row r="1731" spans="1:16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</row>
    <row r="1732" spans="1:16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</row>
    <row r="1733" spans="1:16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</row>
    <row r="1734" spans="1:16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</row>
    <row r="1735" spans="1:16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</row>
    <row r="1736" spans="1:1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</row>
    <row r="1737" spans="1:16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</row>
    <row r="1738" spans="1:16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</row>
    <row r="1739" spans="1:16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</row>
    <row r="1740" spans="1:16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</row>
    <row r="1741" spans="1:16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</row>
    <row r="1742" spans="1:16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</row>
    <row r="1743" spans="1:16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</row>
    <row r="1744" spans="1:16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</row>
    <row r="1745" spans="1:16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</row>
    <row r="1746" spans="1:1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</row>
    <row r="1747" spans="1:16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</row>
    <row r="1748" spans="1:16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</row>
    <row r="1749" spans="1:16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</row>
    <row r="1750" spans="1:16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</row>
    <row r="1751" spans="1:16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</row>
    <row r="1752" spans="1:16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</row>
    <row r="1753" spans="1:16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</row>
    <row r="1754" spans="1:16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</row>
    <row r="1755" spans="1:16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</row>
    <row r="1756" spans="1:1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</row>
    <row r="1757" spans="1:16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</row>
    <row r="1758" spans="1:16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</row>
    <row r="1759" spans="1:16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</row>
    <row r="1760" spans="1:16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</row>
    <row r="1761" spans="1:16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</row>
    <row r="1762" spans="1:16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</row>
    <row r="1763" spans="1:16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</row>
    <row r="1764" spans="1:16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</row>
    <row r="1765" spans="1:16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</row>
    <row r="1766" spans="1:1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</row>
    <row r="1767" spans="1:16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</row>
    <row r="1768" spans="1:16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</row>
    <row r="1769" spans="1:16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</row>
    <row r="1770" spans="1:16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</row>
    <row r="1771" spans="1:16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</row>
    <row r="1772" spans="1:16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</row>
    <row r="1773" spans="1:16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</row>
    <row r="1774" spans="1:16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</row>
    <row r="1775" spans="1:16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</row>
    <row r="1776" spans="1:1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</row>
    <row r="1777" spans="1:16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</row>
    <row r="1778" spans="1:16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</row>
    <row r="1779" spans="1:16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</row>
    <row r="1780" spans="1:16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</row>
    <row r="1781" spans="1:16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</row>
    <row r="1782" spans="1:16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</row>
    <row r="1783" spans="1:16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</row>
    <row r="1784" spans="1:16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</row>
    <row r="1785" spans="1:1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</row>
    <row r="1786" spans="1:16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</row>
    <row r="1787" spans="1:16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</row>
    <row r="1788" spans="1:16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</row>
    <row r="1789" spans="1:16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</row>
    <row r="1790" spans="1:16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</row>
    <row r="1791" spans="1:16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</row>
    <row r="1792" spans="1:16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</row>
    <row r="1793" spans="1:16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</row>
    <row r="1794" spans="1:16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</row>
    <row r="1795" spans="1:16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</row>
    <row r="1796" spans="1:16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</row>
    <row r="1797" spans="1:16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</row>
    <row r="1798" spans="1:16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</row>
    <row r="1799" spans="1:16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</row>
    <row r="1800" spans="1:16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</row>
    <row r="1801" spans="1:16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</row>
    <row r="1802" spans="1:16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</row>
    <row r="1803" spans="1:16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</row>
    <row r="1804" spans="1:16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</row>
    <row r="1805" spans="1:16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</row>
    <row r="1806" spans="1:16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</row>
    <row r="1807" spans="1:16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</row>
    <row r="1808" spans="1:16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</row>
    <row r="1809" spans="1:16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</row>
    <row r="1810" spans="1:16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</row>
    <row r="1811" spans="1:16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</row>
    <row r="1812" spans="1:16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</row>
    <row r="1813" spans="1:16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</row>
    <row r="1814" spans="1:16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</row>
    <row r="1815" spans="1:16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</row>
    <row r="1816" spans="1:16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</row>
    <row r="1817" spans="1:16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</row>
    <row r="1818" spans="1:16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</row>
    <row r="1819" spans="1:16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</row>
    <row r="1820" spans="1:16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</row>
    <row r="1821" spans="1:16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</row>
    <row r="1822" spans="1:16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</row>
    <row r="1823" spans="1:16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</row>
    <row r="1824" spans="1:16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</row>
    <row r="1825" spans="1:16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</row>
    <row r="1826" spans="1:16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</row>
    <row r="1827" spans="1:16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</row>
    <row r="1828" spans="1:16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</row>
    <row r="1829" spans="1:16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</row>
    <row r="1830" spans="1:16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</row>
    <row r="1831" spans="1:16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</row>
    <row r="1832" spans="1:16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</row>
    <row r="1833" spans="1:16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</row>
    <row r="1834" spans="1:16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</row>
    <row r="1835" spans="1:16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</row>
    <row r="1836" spans="1:1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</row>
    <row r="1837" spans="1:16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</row>
    <row r="1838" spans="1:16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</row>
    <row r="1839" spans="1:16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</row>
    <row r="1840" spans="1:16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</row>
    <row r="1841" spans="1:1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</row>
    <row r="1842" spans="1:16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</row>
    <row r="1843" spans="1:16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</row>
    <row r="1844" spans="1:16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</row>
    <row r="1845" spans="1:16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</row>
    <row r="1846" spans="1:1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</row>
    <row r="1847" spans="1:16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</row>
    <row r="1848" spans="1:16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</row>
    <row r="1849" spans="1:16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</row>
    <row r="1850" spans="1:16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</row>
    <row r="1851" spans="1:16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</row>
    <row r="1852" spans="1:16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</row>
    <row r="1853" spans="1:16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</row>
    <row r="1854" spans="1:16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</row>
    <row r="1855" spans="1:16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</row>
    <row r="1856" spans="1:16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</row>
    <row r="1857" spans="1:16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</row>
    <row r="1858" spans="1:16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</row>
    <row r="1859" spans="1:16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</row>
    <row r="1860" spans="1:16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</row>
    <row r="1861" spans="1:16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</row>
    <row r="1862" spans="1:16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</row>
    <row r="1863" spans="1:16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</row>
    <row r="1864" spans="1:16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</row>
    <row r="1865" spans="1:16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</row>
    <row r="1866" spans="1:16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</row>
    <row r="1867" spans="1:16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</row>
    <row r="1868" spans="1:16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</row>
    <row r="1869" spans="1:1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</row>
    <row r="1870" spans="1:16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</row>
    <row r="1871" spans="1:16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</row>
    <row r="1872" spans="1:16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</row>
    <row r="1873" spans="1:16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</row>
    <row r="1874" spans="1:16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</row>
    <row r="1875" spans="1:16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</row>
    <row r="1876" spans="1:16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</row>
    <row r="1877" spans="1:16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</row>
    <row r="1878" spans="1:16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</row>
    <row r="1879" spans="1:16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</row>
    <row r="1880" spans="1:16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</row>
    <row r="1881" spans="1:16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</row>
    <row r="1882" spans="1:16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</row>
    <row r="1883" spans="1:16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</row>
    <row r="1884" spans="1:16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</row>
    <row r="1885" spans="1:16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</row>
    <row r="1886" spans="1:1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</row>
    <row r="1887" spans="1:16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</row>
    <row r="1888" spans="1:16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</row>
    <row r="1889" spans="1:1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</row>
    <row r="1890" spans="1:16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</row>
    <row r="1891" spans="1:16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</row>
    <row r="1892" spans="1:16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</row>
    <row r="1893" spans="1:16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</row>
    <row r="1894" spans="1:16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</row>
    <row r="1895" spans="1:16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</row>
    <row r="1896" spans="1:1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</row>
    <row r="1897" spans="1:1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</row>
    <row r="1898" spans="1:16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</row>
    <row r="1899" spans="1:16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</row>
    <row r="1900" spans="1:16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</row>
    <row r="1901" spans="1:16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</row>
    <row r="1902" spans="1:16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</row>
    <row r="1903" spans="1:16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</row>
    <row r="1904" spans="1:16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</row>
    <row r="1905" spans="1:1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</row>
    <row r="1906" spans="1:16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</row>
    <row r="1907" spans="1:16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</row>
    <row r="1908" spans="1:16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</row>
    <row r="1909" spans="1:16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</row>
    <row r="1910" spans="1:16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</row>
    <row r="1911" spans="1:16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</row>
    <row r="1912" spans="1:16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</row>
    <row r="1913" spans="1:16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</row>
    <row r="1914" spans="1:16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</row>
    <row r="1915" spans="1:16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</row>
    <row r="1916" spans="1:1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</row>
    <row r="1917" spans="1:16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</row>
    <row r="1918" spans="1:16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</row>
    <row r="1919" spans="1:16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</row>
    <row r="1920" spans="1:16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</row>
    <row r="1921" spans="1:16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</row>
    <row r="1922" spans="1:16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</row>
    <row r="1923" spans="1:16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</row>
    <row r="1924" spans="1:16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</row>
    <row r="1925" spans="1:16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</row>
    <row r="1926" spans="1:1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</row>
    <row r="1927" spans="1:16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</row>
    <row r="1928" spans="1:16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</row>
    <row r="1929" spans="1:16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</row>
    <row r="1930" spans="1:16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</row>
    <row r="1931" spans="1:16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</row>
    <row r="1932" spans="1:16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</row>
    <row r="1933" spans="1:16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</row>
    <row r="1934" spans="1:16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</row>
    <row r="1935" spans="1:16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</row>
    <row r="1936" spans="1:1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</row>
    <row r="1937" spans="1:16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</row>
    <row r="1938" spans="1:16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</row>
    <row r="1939" spans="1:16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</row>
    <row r="1940" spans="1:16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</row>
    <row r="1941" spans="1:16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</row>
    <row r="1942" spans="1:16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</row>
    <row r="1943" spans="1:16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</row>
    <row r="1944" spans="1:16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</row>
    <row r="1945" spans="1:1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</row>
    <row r="1946" spans="1:16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</row>
    <row r="1947" spans="1:16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</row>
    <row r="1948" spans="1:16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</row>
    <row r="1949" spans="1:16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</row>
    <row r="1950" spans="1:16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</row>
    <row r="1951" spans="1:16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</row>
    <row r="1952" spans="1:16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</row>
    <row r="1953" spans="1:16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</row>
    <row r="1954" spans="1:16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</row>
    <row r="1955" spans="1:16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</row>
    <row r="1956" spans="1:16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</row>
    <row r="1957" spans="1:16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</row>
    <row r="1958" spans="1:16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</row>
    <row r="1959" spans="1:16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</row>
    <row r="1960" spans="1:16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</row>
    <row r="1961" spans="1:16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</row>
    <row r="1962" spans="1:16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</row>
    <row r="1963" spans="1:16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</row>
    <row r="1964" spans="1:16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</row>
    <row r="1965" spans="1:16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</row>
    <row r="1966" spans="1:16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</row>
    <row r="1967" spans="1:16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</row>
    <row r="1968" spans="1:16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</row>
    <row r="1969" spans="1:1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</row>
    <row r="1970" spans="1:16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</row>
    <row r="1971" spans="1:16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</row>
    <row r="1972" spans="1:16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</row>
    <row r="1973" spans="1:16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</row>
    <row r="1974" spans="1:16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</row>
    <row r="1975" spans="1:16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</row>
    <row r="1976" spans="1:1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</row>
    <row r="1977" spans="1:16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</row>
    <row r="1978" spans="1:16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</row>
    <row r="1979" spans="1:16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</row>
    <row r="1980" spans="1:16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</row>
    <row r="1981" spans="1:1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</row>
    <row r="1982" spans="1:16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</row>
    <row r="1983" spans="1:16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</row>
    <row r="1984" spans="1:16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</row>
    <row r="1985" spans="1:1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</row>
    <row r="1986" spans="1:16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</row>
    <row r="1987" spans="1:16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</row>
    <row r="1988" spans="1:16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</row>
    <row r="1989" spans="1:16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</row>
    <row r="1990" spans="1:16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</row>
    <row r="1991" spans="1:16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</row>
    <row r="1992" spans="1:16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</row>
    <row r="1993" spans="1:1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</row>
    <row r="1994" spans="1:16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</row>
    <row r="1995" spans="1:16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</row>
    <row r="1996" spans="1:16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</row>
    <row r="1997" spans="1:16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</row>
    <row r="1998" spans="1:16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</row>
    <row r="1999" spans="1:16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</row>
    <row r="2000" spans="1:16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</row>
    <row r="2001" spans="1:16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</row>
    <row r="2002" spans="1:16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</row>
    <row r="2003" spans="1:16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</row>
    <row r="2004" spans="1:16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</row>
    <row r="2005" spans="1:16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</row>
    <row r="2006" spans="1:16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</row>
    <row r="2007" spans="1:16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</row>
    <row r="2008" spans="1:16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</row>
    <row r="2009" spans="1:16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</row>
    <row r="2010" spans="1:16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</row>
    <row r="2011" spans="1:16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</row>
    <row r="2012" spans="1:16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</row>
    <row r="2013" spans="1:1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</row>
    <row r="2014" spans="1:16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</row>
    <row r="2015" spans="1:16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</row>
    <row r="2016" spans="1:16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</row>
    <row r="2017" spans="1:16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</row>
    <row r="2018" spans="1:16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</row>
    <row r="2019" spans="1:16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</row>
    <row r="2020" spans="1:16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</row>
    <row r="2021" spans="1:16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</row>
    <row r="2022" spans="1:16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</row>
    <row r="2023" spans="1:16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</row>
    <row r="2024" spans="1:16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</row>
    <row r="2025" spans="1:16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</row>
    <row r="2026" spans="1:1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</row>
    <row r="2027" spans="1:16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</row>
    <row r="2028" spans="1:16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</row>
    <row r="2029" spans="1:16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</row>
    <row r="2030" spans="1:16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</row>
    <row r="2031" spans="1:16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</row>
    <row r="2032" spans="1:16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</row>
    <row r="2033" spans="1:1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</row>
    <row r="2034" spans="1:16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</row>
    <row r="2035" spans="1:16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</row>
    <row r="2036" spans="1:1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</row>
    <row r="2037" spans="1:16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</row>
    <row r="2038" spans="1:16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</row>
    <row r="2039" spans="1:16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</row>
    <row r="2040" spans="1:16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</row>
    <row r="2041" spans="1:16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</row>
    <row r="2042" spans="1:16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</row>
    <row r="2043" spans="1:16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</row>
    <row r="2044" spans="1:16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</row>
    <row r="2045" spans="1:16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</row>
    <row r="2046" spans="1:1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</row>
    <row r="2047" spans="1:16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</row>
    <row r="2048" spans="1:16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</row>
    <row r="2049" spans="1:16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</row>
    <row r="2050" spans="1:16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</row>
    <row r="2051" spans="1:16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</row>
    <row r="2052" spans="1:16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</row>
    <row r="2053" spans="1:16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</row>
    <row r="2054" spans="1:16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</row>
    <row r="2055" spans="1:16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</row>
    <row r="2056" spans="1:16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</row>
    <row r="2057" spans="1:1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</row>
    <row r="2058" spans="1:16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</row>
    <row r="2059" spans="1:16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</row>
    <row r="2060" spans="1:16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</row>
    <row r="2061" spans="1:1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</row>
    <row r="2062" spans="1:16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</row>
    <row r="2063" spans="1:16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</row>
    <row r="2064" spans="1:16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</row>
    <row r="2065" spans="1:16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</row>
    <row r="2066" spans="1:1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</row>
    <row r="2067" spans="1:16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</row>
    <row r="2068" spans="1:16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</row>
    <row r="2069" spans="1:16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</row>
    <row r="2070" spans="1:16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</row>
    <row r="2071" spans="1:16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</row>
    <row r="2072" spans="1:16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</row>
    <row r="2073" spans="1:16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</row>
    <row r="2074" spans="1:16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</row>
    <row r="2075" spans="1:16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</row>
    <row r="2076" spans="1:16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</row>
    <row r="2077" spans="1:16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</row>
    <row r="2078" spans="1:16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</row>
    <row r="2079" spans="1:16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</row>
    <row r="2080" spans="1:16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</row>
    <row r="2081" spans="1:16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</row>
    <row r="2082" spans="1:16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</row>
    <row r="2083" spans="1:16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</row>
    <row r="2084" spans="1:16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</row>
    <row r="2085" spans="1:16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</row>
    <row r="2086" spans="1:16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</row>
    <row r="2087" spans="1:16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</row>
    <row r="2088" spans="1:16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</row>
    <row r="2089" spans="1:16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</row>
    <row r="2090" spans="1:16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</row>
    <row r="2091" spans="1:16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</row>
    <row r="2092" spans="1:16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</row>
    <row r="2093" spans="1:16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</row>
    <row r="2094" spans="1:16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</row>
    <row r="2095" spans="1:16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</row>
    <row r="2096" spans="1:16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</row>
    <row r="2097" spans="1:16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</row>
    <row r="2098" spans="1:16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</row>
    <row r="2099" spans="1:16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</row>
    <row r="2100" spans="1:16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</row>
    <row r="2101" spans="1:16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</row>
    <row r="2102" spans="1:16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</row>
    <row r="2103" spans="1:16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</row>
    <row r="2104" spans="1:16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</row>
    <row r="2105" spans="1:1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</row>
    <row r="2106" spans="1:16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</row>
    <row r="2107" spans="1:16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</row>
    <row r="2108" spans="1:16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</row>
    <row r="2109" spans="1:16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</row>
    <row r="2110" spans="1:16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</row>
    <row r="2111" spans="1:16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</row>
    <row r="2112" spans="1:16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</row>
    <row r="2113" spans="1:16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</row>
    <row r="2114" spans="1:16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</row>
    <row r="2115" spans="1:16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</row>
    <row r="2116" spans="1:1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</row>
    <row r="2117" spans="1:16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</row>
    <row r="2118" spans="1:16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</row>
    <row r="2119" spans="1:16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</row>
    <row r="2120" spans="1:16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</row>
    <row r="2121" spans="1:16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</row>
    <row r="2122" spans="1:16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</row>
    <row r="2123" spans="1:16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</row>
    <row r="2124" spans="1:16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</row>
    <row r="2125" spans="1:16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</row>
    <row r="2126" spans="1:16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</row>
    <row r="2127" spans="1:16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</row>
    <row r="2128" spans="1:16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</row>
    <row r="2129" spans="1:1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</row>
    <row r="2130" spans="1:16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</row>
    <row r="2131" spans="1:16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</row>
    <row r="2132" spans="1:16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</row>
    <row r="2133" spans="1:1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</row>
    <row r="2134" spans="1:16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</row>
    <row r="2135" spans="1:16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</row>
    <row r="2136" spans="1:16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</row>
    <row r="2137" spans="1:1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</row>
    <row r="2138" spans="1:16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</row>
    <row r="2139" spans="1:16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</row>
    <row r="2140" spans="1:16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</row>
    <row r="2141" spans="1:16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</row>
    <row r="2142" spans="1:16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</row>
    <row r="2143" spans="1:16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</row>
    <row r="2144" spans="1:16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</row>
    <row r="2145" spans="1:1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</row>
    <row r="2146" spans="1:16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</row>
    <row r="2147" spans="1:16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</row>
    <row r="2148" spans="1:16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</row>
    <row r="2149" spans="1:16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</row>
    <row r="2150" spans="1:16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</row>
    <row r="2151" spans="1:16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</row>
    <row r="2152" spans="1:16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</row>
    <row r="2153" spans="1:1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</row>
    <row r="2154" spans="1:16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</row>
    <row r="2155" spans="1:16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</row>
    <row r="2156" spans="1:16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</row>
    <row r="2157" spans="1:16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</row>
    <row r="2158" spans="1:16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</row>
    <row r="2159" spans="1:16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</row>
    <row r="2160" spans="1:16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</row>
    <row r="2161" spans="1:1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</row>
    <row r="2162" spans="1:16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</row>
    <row r="2163" spans="1:16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</row>
    <row r="2164" spans="1:16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</row>
    <row r="2165" spans="1:16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</row>
    <row r="2166" spans="1:16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</row>
    <row r="2167" spans="1:16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</row>
    <row r="2168" spans="1:16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</row>
    <row r="2169" spans="1:16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</row>
    <row r="2170" spans="1:16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</row>
    <row r="2171" spans="1:16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</row>
    <row r="2172" spans="1:16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</row>
    <row r="2173" spans="1:16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</row>
    <row r="2174" spans="1:16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</row>
    <row r="2175" spans="1:16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</row>
    <row r="2176" spans="1:1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</row>
    <row r="2177" spans="1:16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</row>
    <row r="2178" spans="1:16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</row>
    <row r="2179" spans="1:16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</row>
    <row r="2180" spans="1:16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</row>
    <row r="2181" spans="1:16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</row>
    <row r="2182" spans="1:16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</row>
    <row r="2183" spans="1:16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</row>
    <row r="2184" spans="1:16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</row>
    <row r="2185" spans="1:16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</row>
    <row r="2186" spans="1:16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</row>
    <row r="2187" spans="1:16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</row>
    <row r="2188" spans="1:16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</row>
    <row r="2189" spans="1:16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</row>
    <row r="2190" spans="1:16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</row>
    <row r="2191" spans="1:16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</row>
    <row r="2192" spans="1:16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</row>
    <row r="2193" spans="1:16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</row>
    <row r="2194" spans="1:16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</row>
    <row r="2195" spans="1:16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</row>
    <row r="2196" spans="1:16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</row>
    <row r="2197" spans="1:16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</row>
    <row r="2198" spans="1:16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</row>
    <row r="2199" spans="1:16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</row>
    <row r="2200" spans="1:16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</row>
    <row r="2201" spans="1:1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</row>
    <row r="2202" spans="1:16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</row>
    <row r="2203" spans="1:16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</row>
    <row r="2204" spans="1:16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</row>
    <row r="2205" spans="1:16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</row>
    <row r="2206" spans="1:16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</row>
    <row r="2207" spans="1:16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</row>
    <row r="2208" spans="1:16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</row>
    <row r="2209" spans="1:16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</row>
    <row r="2210" spans="1:16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</row>
    <row r="2211" spans="1:16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</row>
    <row r="2212" spans="1:16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</row>
    <row r="2213" spans="1:16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</row>
    <row r="2214" spans="1:16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</row>
    <row r="2215" spans="1:16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</row>
    <row r="2216" spans="1:16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</row>
    <row r="2217" spans="1:16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</row>
    <row r="2218" spans="1:16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</row>
    <row r="2219" spans="1:16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</row>
    <row r="2220" spans="1:16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</row>
    <row r="2221" spans="1:16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</row>
    <row r="2222" spans="1:16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</row>
    <row r="2223" spans="1:16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</row>
    <row r="2224" spans="1:16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</row>
    <row r="2225" spans="1:16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</row>
    <row r="2226" spans="1:16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</row>
    <row r="2227" spans="1:16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</row>
    <row r="2228" spans="1:16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</row>
    <row r="2229" spans="1:16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</row>
    <row r="2230" spans="1:16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</row>
    <row r="2231" spans="1:16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</row>
    <row r="2232" spans="1:16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</row>
    <row r="2233" spans="1:16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</row>
    <row r="2234" spans="1:16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</row>
    <row r="2235" spans="1:16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</row>
    <row r="2236" spans="1:16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</row>
    <row r="2237" spans="1:16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</row>
    <row r="2238" spans="1:16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</row>
    <row r="2239" spans="1:16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</row>
    <row r="2240" spans="1:16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</row>
    <row r="2241" spans="1:16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</row>
    <row r="2242" spans="1:16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</row>
    <row r="2243" spans="1:16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</row>
    <row r="2244" spans="1:16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</row>
    <row r="2245" spans="1:16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</row>
    <row r="2246" spans="1:16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</row>
    <row r="2247" spans="1:16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</row>
    <row r="2248" spans="1:16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</row>
    <row r="2249" spans="1:16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</row>
    <row r="2250" spans="1:16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</row>
    <row r="2251" spans="1:16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</row>
    <row r="2252" spans="1:16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</row>
    <row r="2253" spans="1:16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</row>
    <row r="2254" spans="1:16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</row>
    <row r="2255" spans="1:16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</row>
    <row r="2256" spans="1:16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</row>
    <row r="2257" spans="1:16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</row>
    <row r="2258" spans="1:16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</row>
    <row r="2259" spans="1:16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</row>
    <row r="2260" spans="1:16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</row>
    <row r="2261" spans="1:16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</row>
    <row r="2262" spans="1:16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</row>
    <row r="2263" spans="1:16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</row>
    <row r="2264" spans="1:16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</row>
    <row r="2265" spans="1:16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</row>
    <row r="2266" spans="1:16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</row>
    <row r="2267" spans="1:16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</row>
    <row r="2268" spans="1:16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</row>
    <row r="2269" spans="1:16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</row>
    <row r="2270" spans="1:16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</row>
    <row r="2271" spans="1:16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</row>
    <row r="2272" spans="1:16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</row>
    <row r="2273" spans="1:1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</row>
    <row r="2274" spans="1:16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</row>
    <row r="2275" spans="1:16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</row>
    <row r="2276" spans="1:16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</row>
    <row r="2277" spans="1:16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</row>
    <row r="2278" spans="1:16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</row>
    <row r="2279" spans="1:16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</row>
    <row r="2280" spans="1:16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</row>
    <row r="2281" spans="1:16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</row>
    <row r="2282" spans="1:16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</row>
    <row r="2283" spans="1:16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</row>
    <row r="2284" spans="1:16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</row>
    <row r="2285" spans="1:16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</row>
    <row r="2286" spans="1:16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</row>
    <row r="2287" spans="1:16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</row>
    <row r="2288" spans="1:16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</row>
    <row r="2289" spans="1:16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</row>
    <row r="2290" spans="1:16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</row>
    <row r="2291" spans="1:16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</row>
    <row r="2292" spans="1:16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</row>
    <row r="2293" spans="1:16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</row>
    <row r="2294" spans="1:16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</row>
    <row r="2295" spans="1:16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</row>
    <row r="2296" spans="1:16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</row>
    <row r="2297" spans="1:16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</row>
    <row r="2298" spans="1:16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</row>
    <row r="2299" spans="1:16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</row>
    <row r="2300" spans="1:16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</row>
    <row r="2301" spans="1:1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</row>
    <row r="2302" spans="1:16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</row>
    <row r="2303" spans="1:16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</row>
    <row r="2304" spans="1:16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</row>
    <row r="2305" spans="1:16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</row>
    <row r="2306" spans="1:16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</row>
    <row r="2307" spans="1:16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</row>
    <row r="2308" spans="1:16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</row>
    <row r="2309" spans="1:16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</row>
    <row r="2310" spans="1:16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</row>
    <row r="2311" spans="1:16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</row>
    <row r="2312" spans="1:16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</row>
    <row r="2313" spans="1:16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</row>
    <row r="2314" spans="1:16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</row>
    <row r="2315" spans="1:16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</row>
    <row r="2316" spans="1:16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</row>
    <row r="2317" spans="1:16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</row>
    <row r="2318" spans="1:16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</row>
    <row r="2319" spans="1:16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</row>
    <row r="2320" spans="1:16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</row>
    <row r="2321" spans="1:16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</row>
    <row r="2322" spans="1:16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</row>
    <row r="2323" spans="1:16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</row>
    <row r="2324" spans="1:16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</row>
    <row r="2325" spans="1:16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</row>
    <row r="2326" spans="1:16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</row>
    <row r="2327" spans="1:16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</row>
    <row r="2328" spans="1:16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</row>
    <row r="2329" spans="1:16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</row>
    <row r="2330" spans="1:16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</row>
    <row r="2331" spans="1:16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</row>
    <row r="2332" spans="1:16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</row>
    <row r="2333" spans="1:16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</row>
    <row r="2334" spans="1:16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</row>
    <row r="2335" spans="1:16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</row>
    <row r="2336" spans="1:16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</row>
    <row r="2337" spans="1:16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</row>
    <row r="2338" spans="1:16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</row>
    <row r="2339" spans="1:16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</row>
    <row r="2340" spans="1:16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</row>
    <row r="2341" spans="1:16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</row>
    <row r="2342" spans="1:16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</row>
    <row r="2343" spans="1:16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</row>
    <row r="2344" spans="1:16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</row>
    <row r="2345" spans="1:16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</row>
    <row r="2346" spans="1:16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</row>
    <row r="2347" spans="1:16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</row>
    <row r="2348" spans="1:16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</row>
    <row r="2349" spans="1:16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</row>
    <row r="2350" spans="1:16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</row>
    <row r="2351" spans="1:16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</row>
    <row r="2352" spans="1:16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</row>
    <row r="2353" spans="1:16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</row>
    <row r="2354" spans="1:16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</row>
    <row r="2355" spans="1:16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</row>
    <row r="2356" spans="1:1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</row>
    <row r="2357" spans="1:16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</row>
    <row r="2358" spans="1:16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</row>
    <row r="2359" spans="1:16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</row>
    <row r="2360" spans="1:16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</row>
    <row r="2361" spans="1:16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</row>
    <row r="2362" spans="1:16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</row>
    <row r="2363" spans="1:16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</row>
    <row r="2364" spans="1:16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</row>
    <row r="2365" spans="1:16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</row>
    <row r="2366" spans="1:16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</row>
    <row r="2367" spans="1:16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</row>
    <row r="2368" spans="1:16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</row>
    <row r="2369" spans="1:16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</row>
    <row r="2370" spans="1:16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</row>
    <row r="2371" spans="1:16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</row>
    <row r="2372" spans="1:16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</row>
    <row r="2373" spans="1:1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</row>
    <row r="2374" spans="1:16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</row>
    <row r="2375" spans="1:16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</row>
    <row r="2376" spans="1:16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</row>
  </sheetData>
  <mergeCells count="19008">
    <mergeCell ref="M5:N5"/>
    <mergeCell ref="O5:P5"/>
    <mergeCell ref="A6:B6"/>
    <mergeCell ref="C6:D6"/>
    <mergeCell ref="E6:F6"/>
    <mergeCell ref="G6:H6"/>
    <mergeCell ref="I6:J6"/>
    <mergeCell ref="K6:L6"/>
    <mergeCell ref="M6:N6"/>
    <mergeCell ref="O6:P6"/>
    <mergeCell ref="A5:B5"/>
    <mergeCell ref="C5:D5"/>
    <mergeCell ref="E5:F5"/>
    <mergeCell ref="G5:H5"/>
    <mergeCell ref="I5:J5"/>
    <mergeCell ref="K5:L5"/>
    <mergeCell ref="M3:N3"/>
    <mergeCell ref="O3:P3"/>
    <mergeCell ref="A4:B4"/>
    <mergeCell ref="C4:D4"/>
    <mergeCell ref="E4:F4"/>
    <mergeCell ref="G4:H4"/>
    <mergeCell ref="I4:J4"/>
    <mergeCell ref="K4:L4"/>
    <mergeCell ref="M4:N4"/>
    <mergeCell ref="O4:P4"/>
    <mergeCell ref="A3:B3"/>
    <mergeCell ref="C3:D3"/>
    <mergeCell ref="E3:F3"/>
    <mergeCell ref="G3:H3"/>
    <mergeCell ref="I3:J3"/>
    <mergeCell ref="K3:L3"/>
    <mergeCell ref="M1:N1"/>
    <mergeCell ref="O1:P1"/>
    <mergeCell ref="A2:B2"/>
    <mergeCell ref="C2:D2"/>
    <mergeCell ref="E2:F2"/>
    <mergeCell ref="G2:H2"/>
    <mergeCell ref="I2:J2"/>
    <mergeCell ref="K2:L2"/>
    <mergeCell ref="M2:N2"/>
    <mergeCell ref="O2:P2"/>
    <mergeCell ref="A1:B1"/>
    <mergeCell ref="C1:D1"/>
    <mergeCell ref="E1:F1"/>
    <mergeCell ref="G1:H1"/>
    <mergeCell ref="I1:J1"/>
    <mergeCell ref="K1:L1"/>
    <mergeCell ref="M11:N11"/>
    <mergeCell ref="O11:P11"/>
    <mergeCell ref="A12:B12"/>
    <mergeCell ref="C12:D12"/>
    <mergeCell ref="E12:F12"/>
    <mergeCell ref="G12:H12"/>
    <mergeCell ref="I12:J12"/>
    <mergeCell ref="K12:L12"/>
    <mergeCell ref="M12:N12"/>
    <mergeCell ref="O12:P12"/>
    <mergeCell ref="A11:B11"/>
    <mergeCell ref="C11:D11"/>
    <mergeCell ref="E11:F11"/>
    <mergeCell ref="G11:H11"/>
    <mergeCell ref="I11:J11"/>
    <mergeCell ref="K11:L11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7:N7"/>
    <mergeCell ref="O7:P7"/>
    <mergeCell ref="A8:B8"/>
    <mergeCell ref="C8:D8"/>
    <mergeCell ref="E8:F8"/>
    <mergeCell ref="G8:H8"/>
    <mergeCell ref="I8:J8"/>
    <mergeCell ref="K8:L8"/>
    <mergeCell ref="M8:N8"/>
    <mergeCell ref="O8:P8"/>
    <mergeCell ref="A7:B7"/>
    <mergeCell ref="C7:D7"/>
    <mergeCell ref="E7:F7"/>
    <mergeCell ref="G7:H7"/>
    <mergeCell ref="I7:J7"/>
    <mergeCell ref="K7:L7"/>
    <mergeCell ref="M17:N17"/>
    <mergeCell ref="O17:P17"/>
    <mergeCell ref="A18:B18"/>
    <mergeCell ref="C18:D18"/>
    <mergeCell ref="E18:F18"/>
    <mergeCell ref="G18:H18"/>
    <mergeCell ref="I18:J18"/>
    <mergeCell ref="K18:L18"/>
    <mergeCell ref="M18:N18"/>
    <mergeCell ref="O18:P18"/>
    <mergeCell ref="A17:B17"/>
    <mergeCell ref="C17:D17"/>
    <mergeCell ref="E17:F17"/>
    <mergeCell ref="G17:H17"/>
    <mergeCell ref="I17:J17"/>
    <mergeCell ref="K17:L17"/>
    <mergeCell ref="M15:N15"/>
    <mergeCell ref="O15:P15"/>
    <mergeCell ref="A16:B16"/>
    <mergeCell ref="C16:D16"/>
    <mergeCell ref="E16:F16"/>
    <mergeCell ref="G16:H16"/>
    <mergeCell ref="I16:J16"/>
    <mergeCell ref="K16:L16"/>
    <mergeCell ref="M16:N16"/>
    <mergeCell ref="O16:P16"/>
    <mergeCell ref="A15:B15"/>
    <mergeCell ref="C15:D15"/>
    <mergeCell ref="E15:F15"/>
    <mergeCell ref="G15:H15"/>
    <mergeCell ref="I15:J15"/>
    <mergeCell ref="K15:L15"/>
    <mergeCell ref="M13:N13"/>
    <mergeCell ref="O13:P13"/>
    <mergeCell ref="A14:B14"/>
    <mergeCell ref="C14:D14"/>
    <mergeCell ref="E14:F14"/>
    <mergeCell ref="G14:H14"/>
    <mergeCell ref="I14:J14"/>
    <mergeCell ref="K14:L14"/>
    <mergeCell ref="M14:N14"/>
    <mergeCell ref="O14:P14"/>
    <mergeCell ref="A13:B13"/>
    <mergeCell ref="C13:D13"/>
    <mergeCell ref="E13:F13"/>
    <mergeCell ref="G13:H13"/>
    <mergeCell ref="I13:J13"/>
    <mergeCell ref="K13:L13"/>
    <mergeCell ref="M23:N23"/>
    <mergeCell ref="O23:P23"/>
    <mergeCell ref="A24:B24"/>
    <mergeCell ref="C24:D24"/>
    <mergeCell ref="E24:F24"/>
    <mergeCell ref="G24:H24"/>
    <mergeCell ref="I24:J24"/>
    <mergeCell ref="K24:L24"/>
    <mergeCell ref="M24:N24"/>
    <mergeCell ref="O24:P24"/>
    <mergeCell ref="A23:B23"/>
    <mergeCell ref="C23:D23"/>
    <mergeCell ref="E23:F23"/>
    <mergeCell ref="G23:H23"/>
    <mergeCell ref="I23:J23"/>
    <mergeCell ref="K23:L23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M19:N19"/>
    <mergeCell ref="O19:P19"/>
    <mergeCell ref="A20:B20"/>
    <mergeCell ref="C20:D20"/>
    <mergeCell ref="E20:F20"/>
    <mergeCell ref="G20:H20"/>
    <mergeCell ref="I20:J20"/>
    <mergeCell ref="K20:L20"/>
    <mergeCell ref="M20:N20"/>
    <mergeCell ref="O20:P20"/>
    <mergeCell ref="A19:B19"/>
    <mergeCell ref="C19:D19"/>
    <mergeCell ref="E19:F19"/>
    <mergeCell ref="G19:H19"/>
    <mergeCell ref="I19:J19"/>
    <mergeCell ref="K19:L19"/>
    <mergeCell ref="M29:N29"/>
    <mergeCell ref="O29:P29"/>
    <mergeCell ref="A30:B30"/>
    <mergeCell ref="C30:D30"/>
    <mergeCell ref="E30:F30"/>
    <mergeCell ref="G30:H30"/>
    <mergeCell ref="I30:J30"/>
    <mergeCell ref="K30:L30"/>
    <mergeCell ref="M30:N30"/>
    <mergeCell ref="O30:P30"/>
    <mergeCell ref="A29:B29"/>
    <mergeCell ref="C29:D29"/>
    <mergeCell ref="E29:F29"/>
    <mergeCell ref="G29:H29"/>
    <mergeCell ref="I29:J29"/>
    <mergeCell ref="K29:L29"/>
    <mergeCell ref="M27:N27"/>
    <mergeCell ref="O27:P27"/>
    <mergeCell ref="A28:B28"/>
    <mergeCell ref="C28:D28"/>
    <mergeCell ref="E28:F28"/>
    <mergeCell ref="G28:H28"/>
    <mergeCell ref="I28:J28"/>
    <mergeCell ref="K28:L28"/>
    <mergeCell ref="M28:N28"/>
    <mergeCell ref="O28:P28"/>
    <mergeCell ref="A27:B27"/>
    <mergeCell ref="C27:D27"/>
    <mergeCell ref="E27:F27"/>
    <mergeCell ref="G27:H27"/>
    <mergeCell ref="I27:J27"/>
    <mergeCell ref="K27:L27"/>
    <mergeCell ref="M25:N25"/>
    <mergeCell ref="O25:P25"/>
    <mergeCell ref="A26:B26"/>
    <mergeCell ref="C26:D26"/>
    <mergeCell ref="E26:F26"/>
    <mergeCell ref="G26:H26"/>
    <mergeCell ref="I26:J26"/>
    <mergeCell ref="K26:L26"/>
    <mergeCell ref="M26:N26"/>
    <mergeCell ref="O26:P26"/>
    <mergeCell ref="A25:B25"/>
    <mergeCell ref="C25:D25"/>
    <mergeCell ref="E25:F25"/>
    <mergeCell ref="G25:H25"/>
    <mergeCell ref="I25:J25"/>
    <mergeCell ref="K25:L25"/>
    <mergeCell ref="M35:N35"/>
    <mergeCell ref="O35:P35"/>
    <mergeCell ref="A36:B36"/>
    <mergeCell ref="C36:D36"/>
    <mergeCell ref="E36:F36"/>
    <mergeCell ref="G36:H36"/>
    <mergeCell ref="I36:J36"/>
    <mergeCell ref="K36:L36"/>
    <mergeCell ref="M36:N36"/>
    <mergeCell ref="O36:P36"/>
    <mergeCell ref="A35:B35"/>
    <mergeCell ref="C35:D35"/>
    <mergeCell ref="E35:F35"/>
    <mergeCell ref="G35:H35"/>
    <mergeCell ref="I35:J35"/>
    <mergeCell ref="K35:L35"/>
    <mergeCell ref="M33:N33"/>
    <mergeCell ref="O33:P33"/>
    <mergeCell ref="A34:B34"/>
    <mergeCell ref="C34:D34"/>
    <mergeCell ref="E34:F34"/>
    <mergeCell ref="G34:H34"/>
    <mergeCell ref="I34:J34"/>
    <mergeCell ref="K34:L34"/>
    <mergeCell ref="M34:N34"/>
    <mergeCell ref="O34:P34"/>
    <mergeCell ref="A33:B33"/>
    <mergeCell ref="C33:D33"/>
    <mergeCell ref="E33:F33"/>
    <mergeCell ref="G33:H33"/>
    <mergeCell ref="I33:J33"/>
    <mergeCell ref="K33:L33"/>
    <mergeCell ref="M31:N31"/>
    <mergeCell ref="O31:P31"/>
    <mergeCell ref="A32:B32"/>
    <mergeCell ref="C32:D32"/>
    <mergeCell ref="E32:F32"/>
    <mergeCell ref="G32:H32"/>
    <mergeCell ref="I32:J32"/>
    <mergeCell ref="K32:L32"/>
    <mergeCell ref="M32:N32"/>
    <mergeCell ref="O32:P32"/>
    <mergeCell ref="A31:B31"/>
    <mergeCell ref="C31:D31"/>
    <mergeCell ref="E31:F31"/>
    <mergeCell ref="G31:H31"/>
    <mergeCell ref="I31:J31"/>
    <mergeCell ref="K31:L31"/>
    <mergeCell ref="M41:N41"/>
    <mergeCell ref="O41:P41"/>
    <mergeCell ref="A42:B42"/>
    <mergeCell ref="C42:D42"/>
    <mergeCell ref="E42:F42"/>
    <mergeCell ref="G42:H42"/>
    <mergeCell ref="I42:J42"/>
    <mergeCell ref="K42:L42"/>
    <mergeCell ref="M42:N42"/>
    <mergeCell ref="O42:P42"/>
    <mergeCell ref="A41:B41"/>
    <mergeCell ref="C41:D41"/>
    <mergeCell ref="E41:F41"/>
    <mergeCell ref="G41:H41"/>
    <mergeCell ref="I41:J41"/>
    <mergeCell ref="K41:L41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7:N37"/>
    <mergeCell ref="O37:P37"/>
    <mergeCell ref="A38:B38"/>
    <mergeCell ref="C38:D38"/>
    <mergeCell ref="E38:F38"/>
    <mergeCell ref="G38:H38"/>
    <mergeCell ref="I38:J38"/>
    <mergeCell ref="K38:L38"/>
    <mergeCell ref="M38:N38"/>
    <mergeCell ref="O38:P38"/>
    <mergeCell ref="A37:B37"/>
    <mergeCell ref="C37:D37"/>
    <mergeCell ref="E37:F37"/>
    <mergeCell ref="G37:H37"/>
    <mergeCell ref="I37:J37"/>
    <mergeCell ref="K37:L37"/>
    <mergeCell ref="M47:N47"/>
    <mergeCell ref="O47:P47"/>
    <mergeCell ref="A48:B48"/>
    <mergeCell ref="C48:D48"/>
    <mergeCell ref="E48:F48"/>
    <mergeCell ref="G48:H48"/>
    <mergeCell ref="I48:J48"/>
    <mergeCell ref="K48:L48"/>
    <mergeCell ref="M48:N48"/>
    <mergeCell ref="O48:P48"/>
    <mergeCell ref="A47:B47"/>
    <mergeCell ref="C47:D47"/>
    <mergeCell ref="E47:F47"/>
    <mergeCell ref="G47:H47"/>
    <mergeCell ref="I47:J47"/>
    <mergeCell ref="K47:L47"/>
    <mergeCell ref="M45:N45"/>
    <mergeCell ref="O45:P45"/>
    <mergeCell ref="A46:B46"/>
    <mergeCell ref="C46:D46"/>
    <mergeCell ref="E46:F46"/>
    <mergeCell ref="G46:H46"/>
    <mergeCell ref="I46:J46"/>
    <mergeCell ref="K46:L46"/>
    <mergeCell ref="M46:N46"/>
    <mergeCell ref="O46:P46"/>
    <mergeCell ref="A45:B45"/>
    <mergeCell ref="C45:D45"/>
    <mergeCell ref="E45:F45"/>
    <mergeCell ref="G45:H45"/>
    <mergeCell ref="I45:J45"/>
    <mergeCell ref="K45:L45"/>
    <mergeCell ref="M43:N43"/>
    <mergeCell ref="O43:P43"/>
    <mergeCell ref="A44:B44"/>
    <mergeCell ref="C44:D44"/>
    <mergeCell ref="E44:F44"/>
    <mergeCell ref="G44:H44"/>
    <mergeCell ref="I44:J44"/>
    <mergeCell ref="K44:L44"/>
    <mergeCell ref="M44:N44"/>
    <mergeCell ref="O44:P44"/>
    <mergeCell ref="A43:B43"/>
    <mergeCell ref="C43:D43"/>
    <mergeCell ref="E43:F43"/>
    <mergeCell ref="G43:H43"/>
    <mergeCell ref="I43:J43"/>
    <mergeCell ref="K43:L43"/>
    <mergeCell ref="M53:N53"/>
    <mergeCell ref="O53:P53"/>
    <mergeCell ref="A54:B54"/>
    <mergeCell ref="C54:D54"/>
    <mergeCell ref="E54:F54"/>
    <mergeCell ref="G54:H54"/>
    <mergeCell ref="I54:J54"/>
    <mergeCell ref="K54:L54"/>
    <mergeCell ref="M54:N54"/>
    <mergeCell ref="O54:P54"/>
    <mergeCell ref="A53:B53"/>
    <mergeCell ref="C53:D53"/>
    <mergeCell ref="E53:F53"/>
    <mergeCell ref="G53:H53"/>
    <mergeCell ref="I53:J53"/>
    <mergeCell ref="K53:L53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M49:N49"/>
    <mergeCell ref="O49:P49"/>
    <mergeCell ref="A50:B50"/>
    <mergeCell ref="C50:D50"/>
    <mergeCell ref="E50:F50"/>
    <mergeCell ref="G50:H50"/>
    <mergeCell ref="I50:J50"/>
    <mergeCell ref="K50:L50"/>
    <mergeCell ref="M50:N50"/>
    <mergeCell ref="O50:P50"/>
    <mergeCell ref="A49:B49"/>
    <mergeCell ref="C49:D49"/>
    <mergeCell ref="E49:F49"/>
    <mergeCell ref="G49:H49"/>
    <mergeCell ref="I49:J49"/>
    <mergeCell ref="K49:L49"/>
    <mergeCell ref="M59:N59"/>
    <mergeCell ref="O59:P59"/>
    <mergeCell ref="A60:B60"/>
    <mergeCell ref="C60:D60"/>
    <mergeCell ref="E60:F60"/>
    <mergeCell ref="G60:H60"/>
    <mergeCell ref="I60:J60"/>
    <mergeCell ref="K60:L60"/>
    <mergeCell ref="M60:N60"/>
    <mergeCell ref="O60:P60"/>
    <mergeCell ref="A59:B59"/>
    <mergeCell ref="C59:D59"/>
    <mergeCell ref="E59:F59"/>
    <mergeCell ref="G59:H59"/>
    <mergeCell ref="I59:J59"/>
    <mergeCell ref="K59:L59"/>
    <mergeCell ref="M57:N57"/>
    <mergeCell ref="O57:P57"/>
    <mergeCell ref="A58:B58"/>
    <mergeCell ref="C58:D58"/>
    <mergeCell ref="E58:F58"/>
    <mergeCell ref="G58:H58"/>
    <mergeCell ref="I58:J58"/>
    <mergeCell ref="K58:L58"/>
    <mergeCell ref="M58:N58"/>
    <mergeCell ref="O58:P58"/>
    <mergeCell ref="A57:B57"/>
    <mergeCell ref="C57:D57"/>
    <mergeCell ref="E57:F57"/>
    <mergeCell ref="G57:H57"/>
    <mergeCell ref="I57:J57"/>
    <mergeCell ref="K57:L57"/>
    <mergeCell ref="M55:N55"/>
    <mergeCell ref="O55:P55"/>
    <mergeCell ref="A56:B56"/>
    <mergeCell ref="C56:D56"/>
    <mergeCell ref="E56:F56"/>
    <mergeCell ref="G56:H56"/>
    <mergeCell ref="I56:J56"/>
    <mergeCell ref="K56:L56"/>
    <mergeCell ref="M56:N56"/>
    <mergeCell ref="O56:P56"/>
    <mergeCell ref="A55:B55"/>
    <mergeCell ref="C55:D55"/>
    <mergeCell ref="E55:F55"/>
    <mergeCell ref="G55:H55"/>
    <mergeCell ref="I55:J55"/>
    <mergeCell ref="K55:L55"/>
    <mergeCell ref="M65:N65"/>
    <mergeCell ref="O65:P65"/>
    <mergeCell ref="A66:B66"/>
    <mergeCell ref="C66:D66"/>
    <mergeCell ref="E66:F66"/>
    <mergeCell ref="G66:H66"/>
    <mergeCell ref="I66:J66"/>
    <mergeCell ref="K66:L66"/>
    <mergeCell ref="M66:N66"/>
    <mergeCell ref="O66:P66"/>
    <mergeCell ref="A65:B65"/>
    <mergeCell ref="C65:D65"/>
    <mergeCell ref="E65:F65"/>
    <mergeCell ref="G65:H65"/>
    <mergeCell ref="I65:J65"/>
    <mergeCell ref="K65:L65"/>
    <mergeCell ref="M63:N63"/>
    <mergeCell ref="O63:P63"/>
    <mergeCell ref="A64:B64"/>
    <mergeCell ref="C64:D64"/>
    <mergeCell ref="E64:F64"/>
    <mergeCell ref="G64:H64"/>
    <mergeCell ref="I64:J64"/>
    <mergeCell ref="K64:L64"/>
    <mergeCell ref="M64:N64"/>
    <mergeCell ref="O64:P64"/>
    <mergeCell ref="A63:B63"/>
    <mergeCell ref="C63:D63"/>
    <mergeCell ref="E63:F63"/>
    <mergeCell ref="G63:H63"/>
    <mergeCell ref="I63:J63"/>
    <mergeCell ref="K63:L63"/>
    <mergeCell ref="M61:N61"/>
    <mergeCell ref="O61:P61"/>
    <mergeCell ref="A62:B62"/>
    <mergeCell ref="C62:D62"/>
    <mergeCell ref="E62:F62"/>
    <mergeCell ref="G62:H62"/>
    <mergeCell ref="I62:J62"/>
    <mergeCell ref="K62:L62"/>
    <mergeCell ref="M62:N62"/>
    <mergeCell ref="O62:P62"/>
    <mergeCell ref="A61:B61"/>
    <mergeCell ref="C61:D61"/>
    <mergeCell ref="E61:F61"/>
    <mergeCell ref="G61:H61"/>
    <mergeCell ref="I61:J61"/>
    <mergeCell ref="K61:L61"/>
    <mergeCell ref="M71:N71"/>
    <mergeCell ref="O71:P71"/>
    <mergeCell ref="A72:B72"/>
    <mergeCell ref="C72:D72"/>
    <mergeCell ref="E72:F72"/>
    <mergeCell ref="G72:H72"/>
    <mergeCell ref="I72:J72"/>
    <mergeCell ref="K72:L72"/>
    <mergeCell ref="M72:N72"/>
    <mergeCell ref="O72:P72"/>
    <mergeCell ref="A71:B71"/>
    <mergeCell ref="C71:D71"/>
    <mergeCell ref="E71:F71"/>
    <mergeCell ref="G71:H71"/>
    <mergeCell ref="I71:J71"/>
    <mergeCell ref="K71:L71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7:N67"/>
    <mergeCell ref="O67:P67"/>
    <mergeCell ref="A68:B68"/>
    <mergeCell ref="C68:D68"/>
    <mergeCell ref="E68:F68"/>
    <mergeCell ref="G68:H68"/>
    <mergeCell ref="I68:J68"/>
    <mergeCell ref="K68:L68"/>
    <mergeCell ref="M68:N68"/>
    <mergeCell ref="O68:P68"/>
    <mergeCell ref="A67:B67"/>
    <mergeCell ref="C67:D67"/>
    <mergeCell ref="E67:F67"/>
    <mergeCell ref="G67:H67"/>
    <mergeCell ref="I67:J67"/>
    <mergeCell ref="K67:L67"/>
    <mergeCell ref="M77:N77"/>
    <mergeCell ref="O77:P77"/>
    <mergeCell ref="A78:B78"/>
    <mergeCell ref="C78:D78"/>
    <mergeCell ref="E78:F78"/>
    <mergeCell ref="G78:H78"/>
    <mergeCell ref="I78:J78"/>
    <mergeCell ref="K78:L78"/>
    <mergeCell ref="M78:N78"/>
    <mergeCell ref="O78:P78"/>
    <mergeCell ref="A77:B77"/>
    <mergeCell ref="C77:D77"/>
    <mergeCell ref="E77:F77"/>
    <mergeCell ref="G77:H77"/>
    <mergeCell ref="I77:J77"/>
    <mergeCell ref="K77:L77"/>
    <mergeCell ref="M75:N75"/>
    <mergeCell ref="O75:P75"/>
    <mergeCell ref="A76:B76"/>
    <mergeCell ref="C76:D76"/>
    <mergeCell ref="E76:F76"/>
    <mergeCell ref="G76:H76"/>
    <mergeCell ref="I76:J76"/>
    <mergeCell ref="K76:L76"/>
    <mergeCell ref="M76:N76"/>
    <mergeCell ref="O76:P76"/>
    <mergeCell ref="A75:B75"/>
    <mergeCell ref="C75:D75"/>
    <mergeCell ref="E75:F75"/>
    <mergeCell ref="G75:H75"/>
    <mergeCell ref="I75:J75"/>
    <mergeCell ref="K75:L75"/>
    <mergeCell ref="M73:N73"/>
    <mergeCell ref="O73:P73"/>
    <mergeCell ref="A74:B74"/>
    <mergeCell ref="C74:D74"/>
    <mergeCell ref="E74:F74"/>
    <mergeCell ref="G74:H74"/>
    <mergeCell ref="I74:J74"/>
    <mergeCell ref="K74:L74"/>
    <mergeCell ref="M74:N74"/>
    <mergeCell ref="O74:P74"/>
    <mergeCell ref="A73:B73"/>
    <mergeCell ref="C73:D73"/>
    <mergeCell ref="E73:F73"/>
    <mergeCell ref="G73:H73"/>
    <mergeCell ref="I73:J73"/>
    <mergeCell ref="K73:L73"/>
    <mergeCell ref="M83:N83"/>
    <mergeCell ref="O83:P83"/>
    <mergeCell ref="A84:B84"/>
    <mergeCell ref="C84:D84"/>
    <mergeCell ref="E84:F84"/>
    <mergeCell ref="G84:H84"/>
    <mergeCell ref="I84:J84"/>
    <mergeCell ref="K84:L84"/>
    <mergeCell ref="M84:N84"/>
    <mergeCell ref="O84:P84"/>
    <mergeCell ref="A83:B83"/>
    <mergeCell ref="C83:D83"/>
    <mergeCell ref="E83:F83"/>
    <mergeCell ref="G83:H83"/>
    <mergeCell ref="I83:J83"/>
    <mergeCell ref="K83:L83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81:B81"/>
    <mergeCell ref="C81:D81"/>
    <mergeCell ref="E81:F81"/>
    <mergeCell ref="G81:H81"/>
    <mergeCell ref="I81:J81"/>
    <mergeCell ref="K81:L81"/>
    <mergeCell ref="M79:N79"/>
    <mergeCell ref="O79:P79"/>
    <mergeCell ref="A80:B80"/>
    <mergeCell ref="C80:D80"/>
    <mergeCell ref="E80:F80"/>
    <mergeCell ref="G80:H80"/>
    <mergeCell ref="I80:J80"/>
    <mergeCell ref="K80:L80"/>
    <mergeCell ref="M80:N80"/>
    <mergeCell ref="O80:P80"/>
    <mergeCell ref="A79:B79"/>
    <mergeCell ref="C79:D79"/>
    <mergeCell ref="E79:F79"/>
    <mergeCell ref="G79:H79"/>
    <mergeCell ref="I79:J79"/>
    <mergeCell ref="K79:L79"/>
    <mergeCell ref="M89:N89"/>
    <mergeCell ref="O89:P89"/>
    <mergeCell ref="A90:B90"/>
    <mergeCell ref="C90:D90"/>
    <mergeCell ref="E90:F90"/>
    <mergeCell ref="G90:H90"/>
    <mergeCell ref="I90:J90"/>
    <mergeCell ref="K90:L90"/>
    <mergeCell ref="M90:N90"/>
    <mergeCell ref="O90:P90"/>
    <mergeCell ref="A89:B89"/>
    <mergeCell ref="C89:D89"/>
    <mergeCell ref="E89:F89"/>
    <mergeCell ref="G89:H89"/>
    <mergeCell ref="I89:J89"/>
    <mergeCell ref="K89:L89"/>
    <mergeCell ref="M87:N87"/>
    <mergeCell ref="O87:P87"/>
    <mergeCell ref="A88:B88"/>
    <mergeCell ref="C88:D88"/>
    <mergeCell ref="E88:F88"/>
    <mergeCell ref="G88:H88"/>
    <mergeCell ref="I88:J88"/>
    <mergeCell ref="K88:L88"/>
    <mergeCell ref="M88:N88"/>
    <mergeCell ref="O88:P88"/>
    <mergeCell ref="A87:B87"/>
    <mergeCell ref="C87:D87"/>
    <mergeCell ref="E87:F87"/>
    <mergeCell ref="G87:H87"/>
    <mergeCell ref="I87:J87"/>
    <mergeCell ref="K87:L87"/>
    <mergeCell ref="M85:N85"/>
    <mergeCell ref="O85:P85"/>
    <mergeCell ref="A86:B86"/>
    <mergeCell ref="C86:D86"/>
    <mergeCell ref="E86:F86"/>
    <mergeCell ref="G86:H86"/>
    <mergeCell ref="I86:J86"/>
    <mergeCell ref="K86:L86"/>
    <mergeCell ref="M86:N86"/>
    <mergeCell ref="O86:P86"/>
    <mergeCell ref="A85:B85"/>
    <mergeCell ref="C85:D85"/>
    <mergeCell ref="E85:F85"/>
    <mergeCell ref="G85:H85"/>
    <mergeCell ref="I85:J85"/>
    <mergeCell ref="K85:L85"/>
    <mergeCell ref="M95:N95"/>
    <mergeCell ref="O95:P95"/>
    <mergeCell ref="A96:B96"/>
    <mergeCell ref="C96:D96"/>
    <mergeCell ref="E96:F96"/>
    <mergeCell ref="G96:H96"/>
    <mergeCell ref="I96:J96"/>
    <mergeCell ref="K96:L96"/>
    <mergeCell ref="M96:N96"/>
    <mergeCell ref="O96:P96"/>
    <mergeCell ref="A95:B95"/>
    <mergeCell ref="C95:D95"/>
    <mergeCell ref="E95:F95"/>
    <mergeCell ref="G95:H95"/>
    <mergeCell ref="I95:J95"/>
    <mergeCell ref="K95:L95"/>
    <mergeCell ref="M93:N93"/>
    <mergeCell ref="O93:P93"/>
    <mergeCell ref="A94:B94"/>
    <mergeCell ref="C94:D94"/>
    <mergeCell ref="E94:F94"/>
    <mergeCell ref="G94:H94"/>
    <mergeCell ref="I94:J94"/>
    <mergeCell ref="K94:L94"/>
    <mergeCell ref="M94:N94"/>
    <mergeCell ref="O94:P94"/>
    <mergeCell ref="A93:B93"/>
    <mergeCell ref="C93:D93"/>
    <mergeCell ref="E93:F93"/>
    <mergeCell ref="G93:H93"/>
    <mergeCell ref="I93:J93"/>
    <mergeCell ref="K93:L93"/>
    <mergeCell ref="M91:N91"/>
    <mergeCell ref="O91:P91"/>
    <mergeCell ref="A92:B92"/>
    <mergeCell ref="C92:D92"/>
    <mergeCell ref="E92:F92"/>
    <mergeCell ref="G92:H92"/>
    <mergeCell ref="I92:J92"/>
    <mergeCell ref="K92:L92"/>
    <mergeCell ref="M92:N92"/>
    <mergeCell ref="O92:P92"/>
    <mergeCell ref="A91:B91"/>
    <mergeCell ref="C91:D91"/>
    <mergeCell ref="E91:F91"/>
    <mergeCell ref="G91:H91"/>
    <mergeCell ref="I91:J91"/>
    <mergeCell ref="K91:L91"/>
    <mergeCell ref="M101:N101"/>
    <mergeCell ref="O101:P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A101:B101"/>
    <mergeCell ref="C101:D101"/>
    <mergeCell ref="E101:F101"/>
    <mergeCell ref="G101:H101"/>
    <mergeCell ref="I101:J101"/>
    <mergeCell ref="K101:L101"/>
    <mergeCell ref="M99:N99"/>
    <mergeCell ref="O99:P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99:B99"/>
    <mergeCell ref="C99:D99"/>
    <mergeCell ref="E99:F99"/>
    <mergeCell ref="G99:H99"/>
    <mergeCell ref="I99:J99"/>
    <mergeCell ref="K99:L99"/>
    <mergeCell ref="M97:N97"/>
    <mergeCell ref="O97:P97"/>
    <mergeCell ref="A98:B98"/>
    <mergeCell ref="C98:D98"/>
    <mergeCell ref="E98:F98"/>
    <mergeCell ref="G98:H98"/>
    <mergeCell ref="I98:J98"/>
    <mergeCell ref="K98:L98"/>
    <mergeCell ref="M98:N98"/>
    <mergeCell ref="O98:P98"/>
    <mergeCell ref="A97:B97"/>
    <mergeCell ref="C97:D97"/>
    <mergeCell ref="E97:F97"/>
    <mergeCell ref="G97:H97"/>
    <mergeCell ref="I97:J97"/>
    <mergeCell ref="K97:L97"/>
    <mergeCell ref="M107:N107"/>
    <mergeCell ref="O107:P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A107:B107"/>
    <mergeCell ref="C107:D107"/>
    <mergeCell ref="E107:F107"/>
    <mergeCell ref="G107:H107"/>
    <mergeCell ref="I107:J107"/>
    <mergeCell ref="K107:L107"/>
    <mergeCell ref="M105:N105"/>
    <mergeCell ref="O105:P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A105:B105"/>
    <mergeCell ref="C105:D105"/>
    <mergeCell ref="E105:F105"/>
    <mergeCell ref="G105:H105"/>
    <mergeCell ref="I105:J105"/>
    <mergeCell ref="K105:L105"/>
    <mergeCell ref="M103:N103"/>
    <mergeCell ref="O103:P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A103:B103"/>
    <mergeCell ref="C103:D103"/>
    <mergeCell ref="E103:F103"/>
    <mergeCell ref="G103:H103"/>
    <mergeCell ref="I103:J103"/>
    <mergeCell ref="K103:L103"/>
    <mergeCell ref="M113:N113"/>
    <mergeCell ref="O113:P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3:B113"/>
    <mergeCell ref="C113:D113"/>
    <mergeCell ref="E113:F113"/>
    <mergeCell ref="G113:H113"/>
    <mergeCell ref="I113:J113"/>
    <mergeCell ref="K113:L113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11:B111"/>
    <mergeCell ref="C111:D111"/>
    <mergeCell ref="E111:F111"/>
    <mergeCell ref="G111:H111"/>
    <mergeCell ref="I111:J111"/>
    <mergeCell ref="K111:L111"/>
    <mergeCell ref="M109:N109"/>
    <mergeCell ref="O109:P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A109:B109"/>
    <mergeCell ref="C109:D109"/>
    <mergeCell ref="E109:F109"/>
    <mergeCell ref="G109:H109"/>
    <mergeCell ref="I109:J109"/>
    <mergeCell ref="K109:L109"/>
    <mergeCell ref="M119:N119"/>
    <mergeCell ref="O119:P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A119:B119"/>
    <mergeCell ref="C119:D119"/>
    <mergeCell ref="E119:F119"/>
    <mergeCell ref="G119:H119"/>
    <mergeCell ref="I119:J119"/>
    <mergeCell ref="K119:L119"/>
    <mergeCell ref="M117:N117"/>
    <mergeCell ref="O117:P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A117:B117"/>
    <mergeCell ref="C117:D117"/>
    <mergeCell ref="E117:F117"/>
    <mergeCell ref="G117:H117"/>
    <mergeCell ref="I117:J117"/>
    <mergeCell ref="K117:L117"/>
    <mergeCell ref="M115:N115"/>
    <mergeCell ref="O115:P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A115:B115"/>
    <mergeCell ref="C115:D115"/>
    <mergeCell ref="E115:F115"/>
    <mergeCell ref="G115:H115"/>
    <mergeCell ref="I115:J115"/>
    <mergeCell ref="K115:L115"/>
    <mergeCell ref="M125:N125"/>
    <mergeCell ref="O125:P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25:B125"/>
    <mergeCell ref="C125:D125"/>
    <mergeCell ref="E125:F125"/>
    <mergeCell ref="G125:H125"/>
    <mergeCell ref="I125:J125"/>
    <mergeCell ref="K125:L125"/>
    <mergeCell ref="M123:N123"/>
    <mergeCell ref="O123:P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A123:B123"/>
    <mergeCell ref="C123:D123"/>
    <mergeCell ref="E123:F123"/>
    <mergeCell ref="G123:H123"/>
    <mergeCell ref="I123:J123"/>
    <mergeCell ref="K123:L123"/>
    <mergeCell ref="M121:N121"/>
    <mergeCell ref="O121:P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A121:B121"/>
    <mergeCell ref="C121:D121"/>
    <mergeCell ref="E121:F121"/>
    <mergeCell ref="G121:H121"/>
    <mergeCell ref="I121:J121"/>
    <mergeCell ref="K121:L121"/>
    <mergeCell ref="M131:N131"/>
    <mergeCell ref="O131:P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A131:B131"/>
    <mergeCell ref="C131:D131"/>
    <mergeCell ref="E131:F131"/>
    <mergeCell ref="G131:H131"/>
    <mergeCell ref="I131:J131"/>
    <mergeCell ref="K131:L131"/>
    <mergeCell ref="M129:N129"/>
    <mergeCell ref="O129:P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29:B129"/>
    <mergeCell ref="C129:D129"/>
    <mergeCell ref="E129:F129"/>
    <mergeCell ref="G129:H129"/>
    <mergeCell ref="I129:J129"/>
    <mergeCell ref="K129:L129"/>
    <mergeCell ref="M127:N127"/>
    <mergeCell ref="O127:P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A127:B127"/>
    <mergeCell ref="C127:D127"/>
    <mergeCell ref="E127:F127"/>
    <mergeCell ref="G127:H127"/>
    <mergeCell ref="I127:J127"/>
    <mergeCell ref="K127:L127"/>
    <mergeCell ref="M137:N137"/>
    <mergeCell ref="O137:P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A137:B137"/>
    <mergeCell ref="C137:D137"/>
    <mergeCell ref="E137:F137"/>
    <mergeCell ref="G137:H137"/>
    <mergeCell ref="I137:J137"/>
    <mergeCell ref="K137:L137"/>
    <mergeCell ref="M135:N135"/>
    <mergeCell ref="O135:P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A135:B135"/>
    <mergeCell ref="C135:D135"/>
    <mergeCell ref="E135:F135"/>
    <mergeCell ref="G135:H135"/>
    <mergeCell ref="I135:J135"/>
    <mergeCell ref="K135:L135"/>
    <mergeCell ref="M133:N133"/>
    <mergeCell ref="O133:P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A133:B133"/>
    <mergeCell ref="C133:D133"/>
    <mergeCell ref="E133:F133"/>
    <mergeCell ref="G133:H133"/>
    <mergeCell ref="I133:J133"/>
    <mergeCell ref="K133:L133"/>
    <mergeCell ref="M143:N143"/>
    <mergeCell ref="O143:P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3:B143"/>
    <mergeCell ref="C143:D143"/>
    <mergeCell ref="E143:F143"/>
    <mergeCell ref="G143:H143"/>
    <mergeCell ref="I143:J143"/>
    <mergeCell ref="K143:L143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41:B141"/>
    <mergeCell ref="C141:D141"/>
    <mergeCell ref="E141:F141"/>
    <mergeCell ref="G141:H141"/>
    <mergeCell ref="I141:J141"/>
    <mergeCell ref="K141:L141"/>
    <mergeCell ref="M139:N139"/>
    <mergeCell ref="O139:P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A139:B139"/>
    <mergeCell ref="C139:D139"/>
    <mergeCell ref="E139:F139"/>
    <mergeCell ref="G139:H139"/>
    <mergeCell ref="I139:J139"/>
    <mergeCell ref="K139:L139"/>
    <mergeCell ref="M149:N149"/>
    <mergeCell ref="O149:P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A149:B149"/>
    <mergeCell ref="C149:D149"/>
    <mergeCell ref="E149:F149"/>
    <mergeCell ref="G149:H149"/>
    <mergeCell ref="I149:J149"/>
    <mergeCell ref="K149:L149"/>
    <mergeCell ref="M147:N147"/>
    <mergeCell ref="O147:P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A147:B147"/>
    <mergeCell ref="C147:D147"/>
    <mergeCell ref="E147:F147"/>
    <mergeCell ref="G147:H147"/>
    <mergeCell ref="I147:J147"/>
    <mergeCell ref="K147:L147"/>
    <mergeCell ref="M145:N145"/>
    <mergeCell ref="O145:P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A145:B145"/>
    <mergeCell ref="C145:D145"/>
    <mergeCell ref="E145:F145"/>
    <mergeCell ref="G145:H145"/>
    <mergeCell ref="I145:J145"/>
    <mergeCell ref="K145:L145"/>
    <mergeCell ref="M155:N155"/>
    <mergeCell ref="O155:P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A155:B155"/>
    <mergeCell ref="C155:D155"/>
    <mergeCell ref="E155:F155"/>
    <mergeCell ref="G155:H155"/>
    <mergeCell ref="I155:J155"/>
    <mergeCell ref="K155:L155"/>
    <mergeCell ref="M153:N153"/>
    <mergeCell ref="O153:P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A153:B153"/>
    <mergeCell ref="C153:D153"/>
    <mergeCell ref="E153:F153"/>
    <mergeCell ref="G153:H153"/>
    <mergeCell ref="I153:J153"/>
    <mergeCell ref="K153:L153"/>
    <mergeCell ref="M151:N151"/>
    <mergeCell ref="O151:P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A151:B151"/>
    <mergeCell ref="C151:D151"/>
    <mergeCell ref="E151:F151"/>
    <mergeCell ref="G151:H151"/>
    <mergeCell ref="I151:J151"/>
    <mergeCell ref="K151:L151"/>
    <mergeCell ref="M161:N161"/>
    <mergeCell ref="O161:P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A161:B161"/>
    <mergeCell ref="C161:D161"/>
    <mergeCell ref="E161:F161"/>
    <mergeCell ref="G161:H161"/>
    <mergeCell ref="I161:J161"/>
    <mergeCell ref="K161:L161"/>
    <mergeCell ref="M159:N159"/>
    <mergeCell ref="O159:P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59:B159"/>
    <mergeCell ref="C159:D159"/>
    <mergeCell ref="E159:F159"/>
    <mergeCell ref="G159:H159"/>
    <mergeCell ref="I159:J159"/>
    <mergeCell ref="K159:L159"/>
    <mergeCell ref="M157:N157"/>
    <mergeCell ref="O157:P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A157:B157"/>
    <mergeCell ref="C157:D157"/>
    <mergeCell ref="E157:F157"/>
    <mergeCell ref="G157:H157"/>
    <mergeCell ref="I157:J157"/>
    <mergeCell ref="K157:L157"/>
    <mergeCell ref="M167:N167"/>
    <mergeCell ref="O167:P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A167:B167"/>
    <mergeCell ref="C167:D167"/>
    <mergeCell ref="E167:F167"/>
    <mergeCell ref="G167:H167"/>
    <mergeCell ref="I167:J167"/>
    <mergeCell ref="K167:L167"/>
    <mergeCell ref="M165:N165"/>
    <mergeCell ref="O165:P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A165:B165"/>
    <mergeCell ref="C165:D165"/>
    <mergeCell ref="E165:F165"/>
    <mergeCell ref="G165:H165"/>
    <mergeCell ref="I165:J165"/>
    <mergeCell ref="K165:L165"/>
    <mergeCell ref="M163:N163"/>
    <mergeCell ref="O163:P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A163:B163"/>
    <mergeCell ref="C163:D163"/>
    <mergeCell ref="E163:F163"/>
    <mergeCell ref="G163:H163"/>
    <mergeCell ref="I163:J163"/>
    <mergeCell ref="K163:L163"/>
    <mergeCell ref="M173:N173"/>
    <mergeCell ref="O173:P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3:B173"/>
    <mergeCell ref="C173:D173"/>
    <mergeCell ref="E173:F173"/>
    <mergeCell ref="G173:H173"/>
    <mergeCell ref="I173:J173"/>
    <mergeCell ref="K173:L173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71:B171"/>
    <mergeCell ref="C171:D171"/>
    <mergeCell ref="E171:F171"/>
    <mergeCell ref="G171:H171"/>
    <mergeCell ref="I171:J171"/>
    <mergeCell ref="K171:L171"/>
    <mergeCell ref="M169:N169"/>
    <mergeCell ref="O169:P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A169:B169"/>
    <mergeCell ref="C169:D169"/>
    <mergeCell ref="E169:F169"/>
    <mergeCell ref="G169:H169"/>
    <mergeCell ref="I169:J169"/>
    <mergeCell ref="K169:L169"/>
    <mergeCell ref="M179:N179"/>
    <mergeCell ref="O179:P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A179:B179"/>
    <mergeCell ref="C179:D179"/>
    <mergeCell ref="E179:F179"/>
    <mergeCell ref="G179:H179"/>
    <mergeCell ref="I179:J179"/>
    <mergeCell ref="K179:L179"/>
    <mergeCell ref="M177:N177"/>
    <mergeCell ref="O177:P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A177:B177"/>
    <mergeCell ref="C177:D177"/>
    <mergeCell ref="E177:F177"/>
    <mergeCell ref="G177:H177"/>
    <mergeCell ref="I177:J177"/>
    <mergeCell ref="K177:L177"/>
    <mergeCell ref="M175:N175"/>
    <mergeCell ref="O175:P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A175:B175"/>
    <mergeCell ref="C175:D175"/>
    <mergeCell ref="E175:F175"/>
    <mergeCell ref="G175:H175"/>
    <mergeCell ref="I175:J175"/>
    <mergeCell ref="K175:L175"/>
    <mergeCell ref="M185:N185"/>
    <mergeCell ref="O185:P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A185:B185"/>
    <mergeCell ref="C185:D185"/>
    <mergeCell ref="E185:F185"/>
    <mergeCell ref="G185:H185"/>
    <mergeCell ref="I185:J185"/>
    <mergeCell ref="K185:L185"/>
    <mergeCell ref="M183:N183"/>
    <mergeCell ref="O183:P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A183:B183"/>
    <mergeCell ref="C183:D183"/>
    <mergeCell ref="E183:F183"/>
    <mergeCell ref="G183:H183"/>
    <mergeCell ref="I183:J183"/>
    <mergeCell ref="K183:L183"/>
    <mergeCell ref="M181:N181"/>
    <mergeCell ref="O181:P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A181:B181"/>
    <mergeCell ref="C181:D181"/>
    <mergeCell ref="E181:F181"/>
    <mergeCell ref="G181:H181"/>
    <mergeCell ref="I181:J181"/>
    <mergeCell ref="K181:L181"/>
    <mergeCell ref="M191:N191"/>
    <mergeCell ref="O191:P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A191:B191"/>
    <mergeCell ref="C191:D191"/>
    <mergeCell ref="E191:F191"/>
    <mergeCell ref="G191:H191"/>
    <mergeCell ref="I191:J191"/>
    <mergeCell ref="K191:L191"/>
    <mergeCell ref="M189:N189"/>
    <mergeCell ref="O189:P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89:B189"/>
    <mergeCell ref="C189:D189"/>
    <mergeCell ref="E189:F189"/>
    <mergeCell ref="G189:H189"/>
    <mergeCell ref="I189:J189"/>
    <mergeCell ref="K189:L189"/>
    <mergeCell ref="M187:N187"/>
    <mergeCell ref="O187:P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A187:B187"/>
    <mergeCell ref="C187:D187"/>
    <mergeCell ref="E187:F187"/>
    <mergeCell ref="G187:H187"/>
    <mergeCell ref="I187:J187"/>
    <mergeCell ref="K187:L187"/>
    <mergeCell ref="M197:N197"/>
    <mergeCell ref="O197:P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A197:B197"/>
    <mergeCell ref="C197:D197"/>
    <mergeCell ref="E197:F197"/>
    <mergeCell ref="G197:H197"/>
    <mergeCell ref="I197:J197"/>
    <mergeCell ref="K197:L197"/>
    <mergeCell ref="M195:N195"/>
    <mergeCell ref="O195:P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A195:B195"/>
    <mergeCell ref="C195:D195"/>
    <mergeCell ref="E195:F195"/>
    <mergeCell ref="G195:H195"/>
    <mergeCell ref="I195:J195"/>
    <mergeCell ref="K195:L195"/>
    <mergeCell ref="M193:N193"/>
    <mergeCell ref="O193:P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A193:B193"/>
    <mergeCell ref="C193:D193"/>
    <mergeCell ref="E193:F193"/>
    <mergeCell ref="G193:H193"/>
    <mergeCell ref="I193:J193"/>
    <mergeCell ref="K193:L193"/>
    <mergeCell ref="M203:N203"/>
    <mergeCell ref="O203:P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3:B203"/>
    <mergeCell ref="C203:D203"/>
    <mergeCell ref="E203:F203"/>
    <mergeCell ref="G203:H203"/>
    <mergeCell ref="I203:J203"/>
    <mergeCell ref="K203:L203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201:B201"/>
    <mergeCell ref="C201:D201"/>
    <mergeCell ref="E201:F201"/>
    <mergeCell ref="G201:H201"/>
    <mergeCell ref="I201:J201"/>
    <mergeCell ref="K201:L201"/>
    <mergeCell ref="M199:N199"/>
    <mergeCell ref="O199:P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A199:B199"/>
    <mergeCell ref="C199:D199"/>
    <mergeCell ref="E199:F199"/>
    <mergeCell ref="G199:H199"/>
    <mergeCell ref="I199:J199"/>
    <mergeCell ref="K199:L199"/>
    <mergeCell ref="M209:N209"/>
    <mergeCell ref="O209:P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A209:B209"/>
    <mergeCell ref="C209:D209"/>
    <mergeCell ref="E209:F209"/>
    <mergeCell ref="G209:H209"/>
    <mergeCell ref="I209:J209"/>
    <mergeCell ref="K209:L209"/>
    <mergeCell ref="M207:N207"/>
    <mergeCell ref="O207:P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A207:B207"/>
    <mergeCell ref="C207:D207"/>
    <mergeCell ref="E207:F207"/>
    <mergeCell ref="G207:H207"/>
    <mergeCell ref="I207:J207"/>
    <mergeCell ref="K207:L207"/>
    <mergeCell ref="M205:N205"/>
    <mergeCell ref="O205:P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A205:B205"/>
    <mergeCell ref="C205:D205"/>
    <mergeCell ref="E205:F205"/>
    <mergeCell ref="G205:H205"/>
    <mergeCell ref="I205:J205"/>
    <mergeCell ref="K205:L205"/>
    <mergeCell ref="M215:N215"/>
    <mergeCell ref="O215:P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A215:B215"/>
    <mergeCell ref="C215:D215"/>
    <mergeCell ref="E215:F215"/>
    <mergeCell ref="G215:H215"/>
    <mergeCell ref="I215:J215"/>
    <mergeCell ref="K215:L215"/>
    <mergeCell ref="M213:N213"/>
    <mergeCell ref="O213:P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A213:B213"/>
    <mergeCell ref="C213:D213"/>
    <mergeCell ref="E213:F213"/>
    <mergeCell ref="G213:H213"/>
    <mergeCell ref="I213:J213"/>
    <mergeCell ref="K213:L213"/>
    <mergeCell ref="M211:N211"/>
    <mergeCell ref="O211:P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A211:B211"/>
    <mergeCell ref="C211:D211"/>
    <mergeCell ref="E211:F211"/>
    <mergeCell ref="G211:H211"/>
    <mergeCell ref="I211:J211"/>
    <mergeCell ref="K211:L211"/>
    <mergeCell ref="M221:N221"/>
    <mergeCell ref="O221:P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A221:B221"/>
    <mergeCell ref="C221:D221"/>
    <mergeCell ref="E221:F221"/>
    <mergeCell ref="G221:H221"/>
    <mergeCell ref="I221:J221"/>
    <mergeCell ref="K221:L221"/>
    <mergeCell ref="M219:N219"/>
    <mergeCell ref="O219:P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19:B219"/>
    <mergeCell ref="C219:D219"/>
    <mergeCell ref="E219:F219"/>
    <mergeCell ref="G219:H219"/>
    <mergeCell ref="I219:J219"/>
    <mergeCell ref="K219:L219"/>
    <mergeCell ref="M217:N217"/>
    <mergeCell ref="O217:P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A217:B217"/>
    <mergeCell ref="C217:D217"/>
    <mergeCell ref="E217:F217"/>
    <mergeCell ref="G217:H217"/>
    <mergeCell ref="I217:J217"/>
    <mergeCell ref="K217:L217"/>
    <mergeCell ref="M227:N227"/>
    <mergeCell ref="O227:P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A227:B227"/>
    <mergeCell ref="C227:D227"/>
    <mergeCell ref="E227:F227"/>
    <mergeCell ref="G227:H227"/>
    <mergeCell ref="I227:J227"/>
    <mergeCell ref="K227:L227"/>
    <mergeCell ref="M225:N225"/>
    <mergeCell ref="O225:P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A225:B225"/>
    <mergeCell ref="C225:D225"/>
    <mergeCell ref="E225:F225"/>
    <mergeCell ref="G225:H225"/>
    <mergeCell ref="I225:J225"/>
    <mergeCell ref="K225:L225"/>
    <mergeCell ref="M223:N223"/>
    <mergeCell ref="O223:P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A223:B223"/>
    <mergeCell ref="C223:D223"/>
    <mergeCell ref="E223:F223"/>
    <mergeCell ref="G223:H223"/>
    <mergeCell ref="I223:J223"/>
    <mergeCell ref="K223:L223"/>
    <mergeCell ref="M233:N233"/>
    <mergeCell ref="O233:P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3:B233"/>
    <mergeCell ref="C233:D233"/>
    <mergeCell ref="E233:F233"/>
    <mergeCell ref="G233:H233"/>
    <mergeCell ref="I233:J233"/>
    <mergeCell ref="K233:L233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31:B231"/>
    <mergeCell ref="C231:D231"/>
    <mergeCell ref="E231:F231"/>
    <mergeCell ref="G231:H231"/>
    <mergeCell ref="I231:J231"/>
    <mergeCell ref="K231:L231"/>
    <mergeCell ref="M229:N229"/>
    <mergeCell ref="O229:P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A229:B229"/>
    <mergeCell ref="C229:D229"/>
    <mergeCell ref="E229:F229"/>
    <mergeCell ref="G229:H229"/>
    <mergeCell ref="I229:J229"/>
    <mergeCell ref="K229:L229"/>
    <mergeCell ref="M239:N239"/>
    <mergeCell ref="O239:P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A239:B239"/>
    <mergeCell ref="C239:D239"/>
    <mergeCell ref="E239:F239"/>
    <mergeCell ref="G239:H239"/>
    <mergeCell ref="I239:J239"/>
    <mergeCell ref="K239:L239"/>
    <mergeCell ref="M237:N237"/>
    <mergeCell ref="O237:P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A237:B237"/>
    <mergeCell ref="C237:D237"/>
    <mergeCell ref="E237:F237"/>
    <mergeCell ref="G237:H237"/>
    <mergeCell ref="I237:J237"/>
    <mergeCell ref="K237:L237"/>
    <mergeCell ref="M235:N235"/>
    <mergeCell ref="O235:P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A235:B235"/>
    <mergeCell ref="C235:D235"/>
    <mergeCell ref="E235:F235"/>
    <mergeCell ref="G235:H235"/>
    <mergeCell ref="I235:J235"/>
    <mergeCell ref="K235:L235"/>
    <mergeCell ref="M245:N245"/>
    <mergeCell ref="O245:P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A245:B245"/>
    <mergeCell ref="C245:D245"/>
    <mergeCell ref="E245:F245"/>
    <mergeCell ref="G245:H245"/>
    <mergeCell ref="I245:J245"/>
    <mergeCell ref="K245:L245"/>
    <mergeCell ref="M243:N243"/>
    <mergeCell ref="O243:P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A243:B243"/>
    <mergeCell ref="C243:D243"/>
    <mergeCell ref="E243:F243"/>
    <mergeCell ref="G243:H243"/>
    <mergeCell ref="I243:J243"/>
    <mergeCell ref="K243:L243"/>
    <mergeCell ref="M241:N241"/>
    <mergeCell ref="O241:P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A241:B241"/>
    <mergeCell ref="C241:D241"/>
    <mergeCell ref="E241:F241"/>
    <mergeCell ref="G241:H241"/>
    <mergeCell ref="I241:J241"/>
    <mergeCell ref="K241:L241"/>
    <mergeCell ref="M251:N251"/>
    <mergeCell ref="O251:P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A251:B251"/>
    <mergeCell ref="C251:D251"/>
    <mergeCell ref="E251:F251"/>
    <mergeCell ref="G251:H251"/>
    <mergeCell ref="I251:J251"/>
    <mergeCell ref="K251:L251"/>
    <mergeCell ref="M249:N249"/>
    <mergeCell ref="O249:P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49:B249"/>
    <mergeCell ref="C249:D249"/>
    <mergeCell ref="E249:F249"/>
    <mergeCell ref="G249:H249"/>
    <mergeCell ref="I249:J249"/>
    <mergeCell ref="K249:L249"/>
    <mergeCell ref="M247:N247"/>
    <mergeCell ref="O247:P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A247:B247"/>
    <mergeCell ref="C247:D247"/>
    <mergeCell ref="E247:F247"/>
    <mergeCell ref="G247:H247"/>
    <mergeCell ref="I247:J247"/>
    <mergeCell ref="K247:L247"/>
    <mergeCell ref="M257:N257"/>
    <mergeCell ref="O257:P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A257:B257"/>
    <mergeCell ref="C257:D257"/>
    <mergeCell ref="E257:F257"/>
    <mergeCell ref="G257:H257"/>
    <mergeCell ref="I257:J257"/>
    <mergeCell ref="K257:L257"/>
    <mergeCell ref="M255:N255"/>
    <mergeCell ref="O255:P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A255:B255"/>
    <mergeCell ref="C255:D255"/>
    <mergeCell ref="E255:F255"/>
    <mergeCell ref="G255:H255"/>
    <mergeCell ref="I255:J255"/>
    <mergeCell ref="K255:L255"/>
    <mergeCell ref="M253:N253"/>
    <mergeCell ref="O253:P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A253:B253"/>
    <mergeCell ref="C253:D253"/>
    <mergeCell ref="E253:F253"/>
    <mergeCell ref="G253:H253"/>
    <mergeCell ref="I253:J253"/>
    <mergeCell ref="K253:L253"/>
    <mergeCell ref="M263:N263"/>
    <mergeCell ref="O263:P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3:B263"/>
    <mergeCell ref="C263:D263"/>
    <mergeCell ref="E263:F263"/>
    <mergeCell ref="G263:H263"/>
    <mergeCell ref="I263:J263"/>
    <mergeCell ref="K263:L263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61:B261"/>
    <mergeCell ref="C261:D261"/>
    <mergeCell ref="E261:F261"/>
    <mergeCell ref="G261:H261"/>
    <mergeCell ref="I261:J261"/>
    <mergeCell ref="K261:L261"/>
    <mergeCell ref="M259:N259"/>
    <mergeCell ref="O259:P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A259:B259"/>
    <mergeCell ref="C259:D259"/>
    <mergeCell ref="E259:F259"/>
    <mergeCell ref="G259:H259"/>
    <mergeCell ref="I259:J259"/>
    <mergeCell ref="K259:L259"/>
    <mergeCell ref="M269:N269"/>
    <mergeCell ref="O269:P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A269:B269"/>
    <mergeCell ref="C269:D269"/>
    <mergeCell ref="E269:F269"/>
    <mergeCell ref="G269:H269"/>
    <mergeCell ref="I269:J269"/>
    <mergeCell ref="K269:L269"/>
    <mergeCell ref="M267:N267"/>
    <mergeCell ref="O267:P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A267:B267"/>
    <mergeCell ref="C267:D267"/>
    <mergeCell ref="E267:F267"/>
    <mergeCell ref="G267:H267"/>
    <mergeCell ref="I267:J267"/>
    <mergeCell ref="K267:L267"/>
    <mergeCell ref="M265:N265"/>
    <mergeCell ref="O265:P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A265:B265"/>
    <mergeCell ref="C265:D265"/>
    <mergeCell ref="E265:F265"/>
    <mergeCell ref="G265:H265"/>
    <mergeCell ref="I265:J265"/>
    <mergeCell ref="K265:L265"/>
    <mergeCell ref="M275:N275"/>
    <mergeCell ref="O275:P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A275:B275"/>
    <mergeCell ref="C275:D275"/>
    <mergeCell ref="E275:F275"/>
    <mergeCell ref="G275:H275"/>
    <mergeCell ref="I275:J275"/>
    <mergeCell ref="K275:L275"/>
    <mergeCell ref="M273:N273"/>
    <mergeCell ref="O273:P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A273:B273"/>
    <mergeCell ref="C273:D273"/>
    <mergeCell ref="E273:F273"/>
    <mergeCell ref="G273:H273"/>
    <mergeCell ref="I273:J273"/>
    <mergeCell ref="K273:L273"/>
    <mergeCell ref="M271:N271"/>
    <mergeCell ref="O271:P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A271:B271"/>
    <mergeCell ref="C271:D271"/>
    <mergeCell ref="E271:F271"/>
    <mergeCell ref="G271:H271"/>
    <mergeCell ref="I271:J271"/>
    <mergeCell ref="K271:L271"/>
    <mergeCell ref="M281:N281"/>
    <mergeCell ref="O281:P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A281:B281"/>
    <mergeCell ref="C281:D281"/>
    <mergeCell ref="E281:F281"/>
    <mergeCell ref="G281:H281"/>
    <mergeCell ref="I281:J281"/>
    <mergeCell ref="K281:L281"/>
    <mergeCell ref="M279:N279"/>
    <mergeCell ref="O279:P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79:B279"/>
    <mergeCell ref="C279:D279"/>
    <mergeCell ref="E279:F279"/>
    <mergeCell ref="G279:H279"/>
    <mergeCell ref="I279:J279"/>
    <mergeCell ref="K279:L279"/>
    <mergeCell ref="M277:N277"/>
    <mergeCell ref="O277:P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A277:B277"/>
    <mergeCell ref="C277:D277"/>
    <mergeCell ref="E277:F277"/>
    <mergeCell ref="G277:H277"/>
    <mergeCell ref="I277:J277"/>
    <mergeCell ref="K277:L277"/>
    <mergeCell ref="M287:N287"/>
    <mergeCell ref="O287:P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A287:B287"/>
    <mergeCell ref="C287:D287"/>
    <mergeCell ref="E287:F287"/>
    <mergeCell ref="G287:H287"/>
    <mergeCell ref="I287:J287"/>
    <mergeCell ref="K287:L287"/>
    <mergeCell ref="M285:N285"/>
    <mergeCell ref="O285:P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A285:B285"/>
    <mergeCell ref="C285:D285"/>
    <mergeCell ref="E285:F285"/>
    <mergeCell ref="G285:H285"/>
    <mergeCell ref="I285:J285"/>
    <mergeCell ref="K285:L285"/>
    <mergeCell ref="M283:N283"/>
    <mergeCell ref="O283:P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A283:B283"/>
    <mergeCell ref="C283:D283"/>
    <mergeCell ref="E283:F283"/>
    <mergeCell ref="G283:H283"/>
    <mergeCell ref="I283:J283"/>
    <mergeCell ref="K283:L283"/>
    <mergeCell ref="M293:N293"/>
    <mergeCell ref="O293:P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3:B293"/>
    <mergeCell ref="C293:D293"/>
    <mergeCell ref="E293:F293"/>
    <mergeCell ref="G293:H293"/>
    <mergeCell ref="I293:J293"/>
    <mergeCell ref="K293:L293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91:B291"/>
    <mergeCell ref="C291:D291"/>
    <mergeCell ref="E291:F291"/>
    <mergeCell ref="G291:H291"/>
    <mergeCell ref="I291:J291"/>
    <mergeCell ref="K291:L291"/>
    <mergeCell ref="M289:N289"/>
    <mergeCell ref="O289:P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A289:B289"/>
    <mergeCell ref="C289:D289"/>
    <mergeCell ref="E289:F289"/>
    <mergeCell ref="G289:H289"/>
    <mergeCell ref="I289:J289"/>
    <mergeCell ref="K289:L289"/>
    <mergeCell ref="M299:N299"/>
    <mergeCell ref="O299:P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A299:B299"/>
    <mergeCell ref="C299:D299"/>
    <mergeCell ref="E299:F299"/>
    <mergeCell ref="G299:H299"/>
    <mergeCell ref="I299:J299"/>
    <mergeCell ref="K299:L299"/>
    <mergeCell ref="M297:N297"/>
    <mergeCell ref="O297:P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A297:B297"/>
    <mergeCell ref="C297:D297"/>
    <mergeCell ref="E297:F297"/>
    <mergeCell ref="G297:H297"/>
    <mergeCell ref="I297:J297"/>
    <mergeCell ref="K297:L297"/>
    <mergeCell ref="M295:N295"/>
    <mergeCell ref="O295:P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A295:B295"/>
    <mergeCell ref="C295:D295"/>
    <mergeCell ref="E295:F295"/>
    <mergeCell ref="G295:H295"/>
    <mergeCell ref="I295:J295"/>
    <mergeCell ref="K295:L295"/>
    <mergeCell ref="M305:N305"/>
    <mergeCell ref="O305:P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A305:B305"/>
    <mergeCell ref="C305:D305"/>
    <mergeCell ref="E305:F305"/>
    <mergeCell ref="G305:H305"/>
    <mergeCell ref="I305:J305"/>
    <mergeCell ref="K305:L305"/>
    <mergeCell ref="M303:N303"/>
    <mergeCell ref="O303:P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A303:B303"/>
    <mergeCell ref="C303:D303"/>
    <mergeCell ref="E303:F303"/>
    <mergeCell ref="G303:H303"/>
    <mergeCell ref="I303:J303"/>
    <mergeCell ref="K303:L303"/>
    <mergeCell ref="M301:N301"/>
    <mergeCell ref="O301:P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A301:B301"/>
    <mergeCell ref="C301:D301"/>
    <mergeCell ref="E301:F301"/>
    <mergeCell ref="G301:H301"/>
    <mergeCell ref="I301:J301"/>
    <mergeCell ref="K301:L301"/>
    <mergeCell ref="M311:N311"/>
    <mergeCell ref="O311:P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A311:B311"/>
    <mergeCell ref="C311:D311"/>
    <mergeCell ref="E311:F311"/>
    <mergeCell ref="G311:H311"/>
    <mergeCell ref="I311:J311"/>
    <mergeCell ref="K311:L311"/>
    <mergeCell ref="M309:N309"/>
    <mergeCell ref="O309:P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09:B309"/>
    <mergeCell ref="C309:D309"/>
    <mergeCell ref="E309:F309"/>
    <mergeCell ref="G309:H309"/>
    <mergeCell ref="I309:J309"/>
    <mergeCell ref="K309:L309"/>
    <mergeCell ref="M307:N307"/>
    <mergeCell ref="O307:P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A307:B307"/>
    <mergeCell ref="C307:D307"/>
    <mergeCell ref="E307:F307"/>
    <mergeCell ref="G307:H307"/>
    <mergeCell ref="I307:J307"/>
    <mergeCell ref="K307:L307"/>
    <mergeCell ref="M317:N317"/>
    <mergeCell ref="O317:P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A317:B317"/>
    <mergeCell ref="C317:D317"/>
    <mergeCell ref="E317:F317"/>
    <mergeCell ref="G317:H317"/>
    <mergeCell ref="I317:J317"/>
    <mergeCell ref="K317:L317"/>
    <mergeCell ref="M315:N315"/>
    <mergeCell ref="O315:P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A315:B315"/>
    <mergeCell ref="C315:D315"/>
    <mergeCell ref="E315:F315"/>
    <mergeCell ref="G315:H315"/>
    <mergeCell ref="I315:J315"/>
    <mergeCell ref="K315:L315"/>
    <mergeCell ref="M313:N313"/>
    <mergeCell ref="O313:P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A313:B313"/>
    <mergeCell ref="C313:D313"/>
    <mergeCell ref="E313:F313"/>
    <mergeCell ref="G313:H313"/>
    <mergeCell ref="I313:J313"/>
    <mergeCell ref="K313:L313"/>
    <mergeCell ref="M323:N323"/>
    <mergeCell ref="O323:P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3:B323"/>
    <mergeCell ref="C323:D323"/>
    <mergeCell ref="E323:F323"/>
    <mergeCell ref="G323:H323"/>
    <mergeCell ref="I323:J323"/>
    <mergeCell ref="K323:L323"/>
    <mergeCell ref="M321:N321"/>
    <mergeCell ref="O321:P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1:B321"/>
    <mergeCell ref="C321:D321"/>
    <mergeCell ref="E321:F321"/>
    <mergeCell ref="G321:H321"/>
    <mergeCell ref="I321:J321"/>
    <mergeCell ref="K321:L321"/>
    <mergeCell ref="M319:N319"/>
    <mergeCell ref="O319:P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A319:B319"/>
    <mergeCell ref="C319:D319"/>
    <mergeCell ref="E319:F319"/>
    <mergeCell ref="G319:H319"/>
    <mergeCell ref="I319:J319"/>
    <mergeCell ref="K319:L319"/>
    <mergeCell ref="M329:N329"/>
    <mergeCell ref="O329:P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A329:B329"/>
    <mergeCell ref="C329:D329"/>
    <mergeCell ref="E329:F329"/>
    <mergeCell ref="G329:H329"/>
    <mergeCell ref="I329:J329"/>
    <mergeCell ref="K329:L329"/>
    <mergeCell ref="M327:N327"/>
    <mergeCell ref="O327:P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A327:B327"/>
    <mergeCell ref="C327:D327"/>
    <mergeCell ref="E327:F327"/>
    <mergeCell ref="G327:H327"/>
    <mergeCell ref="I327:J327"/>
    <mergeCell ref="K327:L327"/>
    <mergeCell ref="M325:N325"/>
    <mergeCell ref="O325:P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A325:B325"/>
    <mergeCell ref="C325:D325"/>
    <mergeCell ref="E325:F325"/>
    <mergeCell ref="G325:H325"/>
    <mergeCell ref="I325:J325"/>
    <mergeCell ref="K325:L325"/>
    <mergeCell ref="M335:N335"/>
    <mergeCell ref="O335:P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5:B335"/>
    <mergeCell ref="C335:D335"/>
    <mergeCell ref="E335:F335"/>
    <mergeCell ref="G335:H335"/>
    <mergeCell ref="I335:J335"/>
    <mergeCell ref="K335:L335"/>
    <mergeCell ref="M333:N333"/>
    <mergeCell ref="O333:P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A333:B333"/>
    <mergeCell ref="C333:D333"/>
    <mergeCell ref="E333:F333"/>
    <mergeCell ref="G333:H333"/>
    <mergeCell ref="I333:J333"/>
    <mergeCell ref="K333:L333"/>
    <mergeCell ref="M331:N331"/>
    <mergeCell ref="O331:P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A331:B331"/>
    <mergeCell ref="C331:D331"/>
    <mergeCell ref="E331:F331"/>
    <mergeCell ref="G331:H331"/>
    <mergeCell ref="I331:J331"/>
    <mergeCell ref="K331:L331"/>
    <mergeCell ref="M341:N341"/>
    <mergeCell ref="O341:P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A341:B341"/>
    <mergeCell ref="C341:D341"/>
    <mergeCell ref="E341:F341"/>
    <mergeCell ref="G341:H341"/>
    <mergeCell ref="I341:J341"/>
    <mergeCell ref="K341:L341"/>
    <mergeCell ref="M339:N339"/>
    <mergeCell ref="O339:P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39:B339"/>
    <mergeCell ref="C339:D339"/>
    <mergeCell ref="E339:F339"/>
    <mergeCell ref="G339:H339"/>
    <mergeCell ref="I339:J339"/>
    <mergeCell ref="K339:L339"/>
    <mergeCell ref="M337:N337"/>
    <mergeCell ref="O337:P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A337:B337"/>
    <mergeCell ref="C337:D337"/>
    <mergeCell ref="E337:F337"/>
    <mergeCell ref="G337:H337"/>
    <mergeCell ref="I337:J337"/>
    <mergeCell ref="K337:L337"/>
    <mergeCell ref="M347:N347"/>
    <mergeCell ref="O347:P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A347:B347"/>
    <mergeCell ref="C347:D347"/>
    <mergeCell ref="E347:F347"/>
    <mergeCell ref="G347:H347"/>
    <mergeCell ref="I347:J347"/>
    <mergeCell ref="K347:L347"/>
    <mergeCell ref="M345:N345"/>
    <mergeCell ref="O345:P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A345:B345"/>
    <mergeCell ref="C345:D345"/>
    <mergeCell ref="E345:F345"/>
    <mergeCell ref="G345:H345"/>
    <mergeCell ref="I345:J345"/>
    <mergeCell ref="K345:L345"/>
    <mergeCell ref="M343:N343"/>
    <mergeCell ref="O343:P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A343:B343"/>
    <mergeCell ref="C343:D343"/>
    <mergeCell ref="E343:F343"/>
    <mergeCell ref="G343:H343"/>
    <mergeCell ref="I343:J343"/>
    <mergeCell ref="K343:L343"/>
    <mergeCell ref="M353:N353"/>
    <mergeCell ref="O353:P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3:B353"/>
    <mergeCell ref="C353:D353"/>
    <mergeCell ref="E353:F353"/>
    <mergeCell ref="G353:H353"/>
    <mergeCell ref="I353:J353"/>
    <mergeCell ref="K353:L353"/>
    <mergeCell ref="M351:N351"/>
    <mergeCell ref="O351:P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1:B351"/>
    <mergeCell ref="C351:D351"/>
    <mergeCell ref="E351:F351"/>
    <mergeCell ref="G351:H351"/>
    <mergeCell ref="I351:J351"/>
    <mergeCell ref="K351:L351"/>
    <mergeCell ref="M349:N349"/>
    <mergeCell ref="O349:P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A349:B349"/>
    <mergeCell ref="C349:D349"/>
    <mergeCell ref="E349:F349"/>
    <mergeCell ref="G349:H349"/>
    <mergeCell ref="I349:J349"/>
    <mergeCell ref="K349:L349"/>
    <mergeCell ref="M359:N359"/>
    <mergeCell ref="O359:P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A359:B359"/>
    <mergeCell ref="C359:D359"/>
    <mergeCell ref="E359:F359"/>
    <mergeCell ref="G359:H359"/>
    <mergeCell ref="I359:J359"/>
    <mergeCell ref="K359:L359"/>
    <mergeCell ref="M357:N357"/>
    <mergeCell ref="O357:P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A357:B357"/>
    <mergeCell ref="C357:D357"/>
    <mergeCell ref="E357:F357"/>
    <mergeCell ref="G357:H357"/>
    <mergeCell ref="I357:J357"/>
    <mergeCell ref="K357:L357"/>
    <mergeCell ref="M355:N355"/>
    <mergeCell ref="O355:P355"/>
    <mergeCell ref="A356:B356"/>
    <mergeCell ref="C356:D356"/>
    <mergeCell ref="E356:F356"/>
    <mergeCell ref="G356:H356"/>
    <mergeCell ref="I356:J356"/>
    <mergeCell ref="K356:L356"/>
    <mergeCell ref="M356:N356"/>
    <mergeCell ref="O356:P356"/>
    <mergeCell ref="A355:B355"/>
    <mergeCell ref="C355:D355"/>
    <mergeCell ref="E355:F355"/>
    <mergeCell ref="G355:H355"/>
    <mergeCell ref="I355:J355"/>
    <mergeCell ref="K355:L355"/>
    <mergeCell ref="M365:N365"/>
    <mergeCell ref="O365:P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65:B365"/>
    <mergeCell ref="C365:D365"/>
    <mergeCell ref="E365:F365"/>
    <mergeCell ref="G365:H365"/>
    <mergeCell ref="I365:J365"/>
    <mergeCell ref="K365:L365"/>
    <mergeCell ref="M363:N363"/>
    <mergeCell ref="O363:P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A363:B363"/>
    <mergeCell ref="C363:D363"/>
    <mergeCell ref="E363:F363"/>
    <mergeCell ref="G363:H363"/>
    <mergeCell ref="I363:J363"/>
    <mergeCell ref="K363:L363"/>
    <mergeCell ref="M361:N361"/>
    <mergeCell ref="O361:P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A361:B361"/>
    <mergeCell ref="C361:D361"/>
    <mergeCell ref="E361:F361"/>
    <mergeCell ref="G361:H361"/>
    <mergeCell ref="I361:J361"/>
    <mergeCell ref="K361:L361"/>
    <mergeCell ref="M371:N371"/>
    <mergeCell ref="O371:P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A371:B371"/>
    <mergeCell ref="C371:D371"/>
    <mergeCell ref="E371:F371"/>
    <mergeCell ref="G371:H371"/>
    <mergeCell ref="I371:J371"/>
    <mergeCell ref="K371:L371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69:B369"/>
    <mergeCell ref="C369:D369"/>
    <mergeCell ref="E369:F369"/>
    <mergeCell ref="G369:H369"/>
    <mergeCell ref="I369:J369"/>
    <mergeCell ref="K369:L369"/>
    <mergeCell ref="M367:N367"/>
    <mergeCell ref="O367:P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A367:B367"/>
    <mergeCell ref="C367:D367"/>
    <mergeCell ref="E367:F367"/>
    <mergeCell ref="G367:H367"/>
    <mergeCell ref="I367:J367"/>
    <mergeCell ref="K367:L367"/>
    <mergeCell ref="M377:N377"/>
    <mergeCell ref="O377:P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A377:B377"/>
    <mergeCell ref="C377:D377"/>
    <mergeCell ref="E377:F377"/>
    <mergeCell ref="G377:H377"/>
    <mergeCell ref="I377:J377"/>
    <mergeCell ref="K377:L377"/>
    <mergeCell ref="M375:N375"/>
    <mergeCell ref="O375:P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A375:B375"/>
    <mergeCell ref="C375:D375"/>
    <mergeCell ref="E375:F375"/>
    <mergeCell ref="G375:H375"/>
    <mergeCell ref="I375:J375"/>
    <mergeCell ref="K375:L375"/>
    <mergeCell ref="M373:N373"/>
    <mergeCell ref="O373:P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A373:B373"/>
    <mergeCell ref="C373:D373"/>
    <mergeCell ref="E373:F373"/>
    <mergeCell ref="G373:H373"/>
    <mergeCell ref="I373:J373"/>
    <mergeCell ref="K373:L373"/>
    <mergeCell ref="M383:N383"/>
    <mergeCell ref="O383:P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83:B383"/>
    <mergeCell ref="C383:D383"/>
    <mergeCell ref="E383:F383"/>
    <mergeCell ref="G383:H383"/>
    <mergeCell ref="I383:J383"/>
    <mergeCell ref="K383:L383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1:B381"/>
    <mergeCell ref="C381:D381"/>
    <mergeCell ref="E381:F381"/>
    <mergeCell ref="G381:H381"/>
    <mergeCell ref="I381:J381"/>
    <mergeCell ref="K381:L381"/>
    <mergeCell ref="M379:N379"/>
    <mergeCell ref="O379:P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A379:B379"/>
    <mergeCell ref="C379:D379"/>
    <mergeCell ref="E379:F379"/>
    <mergeCell ref="G379:H379"/>
    <mergeCell ref="I379:J379"/>
    <mergeCell ref="K379:L379"/>
    <mergeCell ref="M389:N389"/>
    <mergeCell ref="O389:P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A389:B389"/>
    <mergeCell ref="C389:D389"/>
    <mergeCell ref="E389:F389"/>
    <mergeCell ref="G389:H389"/>
    <mergeCell ref="I389:J389"/>
    <mergeCell ref="K389:L389"/>
    <mergeCell ref="M387:N387"/>
    <mergeCell ref="O387:P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A387:B387"/>
    <mergeCell ref="C387:D387"/>
    <mergeCell ref="E387:F387"/>
    <mergeCell ref="G387:H387"/>
    <mergeCell ref="I387:J387"/>
    <mergeCell ref="K387:L387"/>
    <mergeCell ref="M385:N385"/>
    <mergeCell ref="O385:P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A385:B385"/>
    <mergeCell ref="C385:D385"/>
    <mergeCell ref="E385:F385"/>
    <mergeCell ref="G385:H385"/>
    <mergeCell ref="I385:J385"/>
    <mergeCell ref="K385:L385"/>
    <mergeCell ref="M395:N395"/>
    <mergeCell ref="O395:P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95:B395"/>
    <mergeCell ref="C395:D395"/>
    <mergeCell ref="E395:F395"/>
    <mergeCell ref="G395:H395"/>
    <mergeCell ref="I395:J395"/>
    <mergeCell ref="K395:L395"/>
    <mergeCell ref="M393:N393"/>
    <mergeCell ref="O393:P393"/>
    <mergeCell ref="A394:B394"/>
    <mergeCell ref="C394:D394"/>
    <mergeCell ref="E394:F394"/>
    <mergeCell ref="G394:H394"/>
    <mergeCell ref="I394:J394"/>
    <mergeCell ref="K394:L394"/>
    <mergeCell ref="M394:N394"/>
    <mergeCell ref="O394:P394"/>
    <mergeCell ref="A393:B393"/>
    <mergeCell ref="C393:D393"/>
    <mergeCell ref="E393:F393"/>
    <mergeCell ref="G393:H393"/>
    <mergeCell ref="I393:J393"/>
    <mergeCell ref="K393:L393"/>
    <mergeCell ref="M391:N391"/>
    <mergeCell ref="O391:P391"/>
    <mergeCell ref="A392:B392"/>
    <mergeCell ref="C392:D392"/>
    <mergeCell ref="E392:F392"/>
    <mergeCell ref="G392:H392"/>
    <mergeCell ref="I392:J392"/>
    <mergeCell ref="K392:L392"/>
    <mergeCell ref="M392:N392"/>
    <mergeCell ref="O392:P392"/>
    <mergeCell ref="A391:B391"/>
    <mergeCell ref="C391:D391"/>
    <mergeCell ref="E391:F391"/>
    <mergeCell ref="G391:H391"/>
    <mergeCell ref="I391:J391"/>
    <mergeCell ref="K391:L391"/>
    <mergeCell ref="M401:N401"/>
    <mergeCell ref="O401:P401"/>
    <mergeCell ref="A402:B402"/>
    <mergeCell ref="C402:D402"/>
    <mergeCell ref="E402:F402"/>
    <mergeCell ref="G402:H402"/>
    <mergeCell ref="I402:J402"/>
    <mergeCell ref="K402:L402"/>
    <mergeCell ref="M402:N402"/>
    <mergeCell ref="O402:P402"/>
    <mergeCell ref="A401:B401"/>
    <mergeCell ref="C401:D401"/>
    <mergeCell ref="E401:F401"/>
    <mergeCell ref="G401:H401"/>
    <mergeCell ref="I401:J401"/>
    <mergeCell ref="K401:L401"/>
    <mergeCell ref="M399:N399"/>
    <mergeCell ref="O399:P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399:B399"/>
    <mergeCell ref="C399:D399"/>
    <mergeCell ref="E399:F399"/>
    <mergeCell ref="G399:H399"/>
    <mergeCell ref="I399:J399"/>
    <mergeCell ref="K399:L399"/>
    <mergeCell ref="M397:N397"/>
    <mergeCell ref="O397:P397"/>
    <mergeCell ref="A398:B398"/>
    <mergeCell ref="C398:D398"/>
    <mergeCell ref="E398:F398"/>
    <mergeCell ref="G398:H398"/>
    <mergeCell ref="I398:J398"/>
    <mergeCell ref="K398:L398"/>
    <mergeCell ref="M398:N398"/>
    <mergeCell ref="O398:P398"/>
    <mergeCell ref="A397:B397"/>
    <mergeCell ref="C397:D397"/>
    <mergeCell ref="E397:F397"/>
    <mergeCell ref="G397:H397"/>
    <mergeCell ref="I397:J397"/>
    <mergeCell ref="K397:L397"/>
    <mergeCell ref="M407:N407"/>
    <mergeCell ref="O407:P407"/>
    <mergeCell ref="A408:B408"/>
    <mergeCell ref="C408:D408"/>
    <mergeCell ref="E408:F408"/>
    <mergeCell ref="G408:H408"/>
    <mergeCell ref="I408:J408"/>
    <mergeCell ref="K408:L408"/>
    <mergeCell ref="M408:N408"/>
    <mergeCell ref="O408:P408"/>
    <mergeCell ref="A407:B407"/>
    <mergeCell ref="C407:D407"/>
    <mergeCell ref="E407:F407"/>
    <mergeCell ref="G407:H407"/>
    <mergeCell ref="I407:J407"/>
    <mergeCell ref="K407:L407"/>
    <mergeCell ref="M405:N405"/>
    <mergeCell ref="O405:P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A405:B405"/>
    <mergeCell ref="C405:D405"/>
    <mergeCell ref="E405:F405"/>
    <mergeCell ref="G405:H405"/>
    <mergeCell ref="I405:J405"/>
    <mergeCell ref="K405:L405"/>
    <mergeCell ref="M403:N403"/>
    <mergeCell ref="O403:P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A403:B403"/>
    <mergeCell ref="C403:D403"/>
    <mergeCell ref="E403:F403"/>
    <mergeCell ref="G403:H403"/>
    <mergeCell ref="I403:J403"/>
    <mergeCell ref="K403:L403"/>
    <mergeCell ref="M413:N413"/>
    <mergeCell ref="O413:P413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A413:B413"/>
    <mergeCell ref="C413:D413"/>
    <mergeCell ref="E413:F413"/>
    <mergeCell ref="G413:H413"/>
    <mergeCell ref="I413:J413"/>
    <mergeCell ref="K413:L413"/>
    <mergeCell ref="M411:N411"/>
    <mergeCell ref="O411:P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A411:B411"/>
    <mergeCell ref="C411:D411"/>
    <mergeCell ref="E411:F411"/>
    <mergeCell ref="G411:H411"/>
    <mergeCell ref="I411:J411"/>
    <mergeCell ref="K411:L411"/>
    <mergeCell ref="M409:N409"/>
    <mergeCell ref="O409:P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A409:B409"/>
    <mergeCell ref="C409:D409"/>
    <mergeCell ref="E409:F409"/>
    <mergeCell ref="G409:H409"/>
    <mergeCell ref="I409:J409"/>
    <mergeCell ref="K409:L409"/>
    <mergeCell ref="M419:N419"/>
    <mergeCell ref="O419:P419"/>
    <mergeCell ref="A420:B420"/>
    <mergeCell ref="C420:D420"/>
    <mergeCell ref="E420:F420"/>
    <mergeCell ref="G420:H420"/>
    <mergeCell ref="I420:J420"/>
    <mergeCell ref="K420:L420"/>
    <mergeCell ref="M420:N420"/>
    <mergeCell ref="O420:P420"/>
    <mergeCell ref="A419:B419"/>
    <mergeCell ref="C419:D419"/>
    <mergeCell ref="E419:F419"/>
    <mergeCell ref="G419:H419"/>
    <mergeCell ref="I419:J419"/>
    <mergeCell ref="K419:L419"/>
    <mergeCell ref="M417:N417"/>
    <mergeCell ref="O417:P417"/>
    <mergeCell ref="A418:B418"/>
    <mergeCell ref="C418:D418"/>
    <mergeCell ref="E418:F418"/>
    <mergeCell ref="G418:H418"/>
    <mergeCell ref="I418:J418"/>
    <mergeCell ref="K418:L418"/>
    <mergeCell ref="M418:N418"/>
    <mergeCell ref="O418:P418"/>
    <mergeCell ref="A417:B417"/>
    <mergeCell ref="C417:D417"/>
    <mergeCell ref="E417:F417"/>
    <mergeCell ref="G417:H417"/>
    <mergeCell ref="I417:J417"/>
    <mergeCell ref="K417:L417"/>
    <mergeCell ref="M415:N415"/>
    <mergeCell ref="O415:P415"/>
    <mergeCell ref="A416:B416"/>
    <mergeCell ref="C416:D416"/>
    <mergeCell ref="E416:F416"/>
    <mergeCell ref="G416:H416"/>
    <mergeCell ref="I416:J416"/>
    <mergeCell ref="K416:L416"/>
    <mergeCell ref="M416:N416"/>
    <mergeCell ref="O416:P416"/>
    <mergeCell ref="A415:B415"/>
    <mergeCell ref="C415:D415"/>
    <mergeCell ref="E415:F415"/>
    <mergeCell ref="G415:H415"/>
    <mergeCell ref="I415:J415"/>
    <mergeCell ref="K415:L415"/>
    <mergeCell ref="M425:N425"/>
    <mergeCell ref="O425:P425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A425:B425"/>
    <mergeCell ref="C425:D425"/>
    <mergeCell ref="E425:F425"/>
    <mergeCell ref="G425:H425"/>
    <mergeCell ref="I425:J425"/>
    <mergeCell ref="K425:L425"/>
    <mergeCell ref="M423:N423"/>
    <mergeCell ref="O423:P423"/>
    <mergeCell ref="A424:B424"/>
    <mergeCell ref="C424:D424"/>
    <mergeCell ref="E424:F424"/>
    <mergeCell ref="G424:H424"/>
    <mergeCell ref="I424:J424"/>
    <mergeCell ref="K424:L424"/>
    <mergeCell ref="M424:N424"/>
    <mergeCell ref="O424:P424"/>
    <mergeCell ref="A423:B423"/>
    <mergeCell ref="C423:D423"/>
    <mergeCell ref="E423:F423"/>
    <mergeCell ref="G423:H423"/>
    <mergeCell ref="I423:J423"/>
    <mergeCell ref="K423:L423"/>
    <mergeCell ref="M421:N421"/>
    <mergeCell ref="O421:P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A421:B421"/>
    <mergeCell ref="C421:D421"/>
    <mergeCell ref="E421:F421"/>
    <mergeCell ref="G421:H421"/>
    <mergeCell ref="I421:J421"/>
    <mergeCell ref="K421:L421"/>
    <mergeCell ref="M431:N431"/>
    <mergeCell ref="O431:P431"/>
    <mergeCell ref="A432:B432"/>
    <mergeCell ref="C432:D432"/>
    <mergeCell ref="E432:F432"/>
    <mergeCell ref="G432:H432"/>
    <mergeCell ref="I432:J432"/>
    <mergeCell ref="K432:L432"/>
    <mergeCell ref="M432:N432"/>
    <mergeCell ref="O432:P432"/>
    <mergeCell ref="A431:B431"/>
    <mergeCell ref="C431:D431"/>
    <mergeCell ref="E431:F431"/>
    <mergeCell ref="G431:H431"/>
    <mergeCell ref="I431:J431"/>
    <mergeCell ref="K431:L431"/>
    <mergeCell ref="M429:N429"/>
    <mergeCell ref="O429:P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A429:B429"/>
    <mergeCell ref="C429:D429"/>
    <mergeCell ref="E429:F429"/>
    <mergeCell ref="G429:H429"/>
    <mergeCell ref="I429:J429"/>
    <mergeCell ref="K429:L429"/>
    <mergeCell ref="M427:N427"/>
    <mergeCell ref="O427:P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A427:B427"/>
    <mergeCell ref="C427:D427"/>
    <mergeCell ref="E427:F427"/>
    <mergeCell ref="G427:H427"/>
    <mergeCell ref="I427:J427"/>
    <mergeCell ref="K427:L427"/>
    <mergeCell ref="M437:N437"/>
    <mergeCell ref="O437:P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A437:B437"/>
    <mergeCell ref="C437:D437"/>
    <mergeCell ref="E437:F437"/>
    <mergeCell ref="G437:H437"/>
    <mergeCell ref="I437:J437"/>
    <mergeCell ref="K437:L437"/>
    <mergeCell ref="M435:N435"/>
    <mergeCell ref="O435:P435"/>
    <mergeCell ref="A436:B436"/>
    <mergeCell ref="C436:D436"/>
    <mergeCell ref="E436:F436"/>
    <mergeCell ref="G436:H436"/>
    <mergeCell ref="I436:J436"/>
    <mergeCell ref="K436:L436"/>
    <mergeCell ref="M436:N436"/>
    <mergeCell ref="O436:P436"/>
    <mergeCell ref="A435:B435"/>
    <mergeCell ref="C435:D435"/>
    <mergeCell ref="E435:F435"/>
    <mergeCell ref="G435:H435"/>
    <mergeCell ref="I435:J435"/>
    <mergeCell ref="K435:L435"/>
    <mergeCell ref="M433:N433"/>
    <mergeCell ref="O433:P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A433:B433"/>
    <mergeCell ref="C433:D433"/>
    <mergeCell ref="E433:F433"/>
    <mergeCell ref="G433:H433"/>
    <mergeCell ref="I433:J433"/>
    <mergeCell ref="K433:L433"/>
    <mergeCell ref="M443:N443"/>
    <mergeCell ref="O443:P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A443:B443"/>
    <mergeCell ref="C443:D443"/>
    <mergeCell ref="E443:F443"/>
    <mergeCell ref="G443:H443"/>
    <mergeCell ref="I443:J443"/>
    <mergeCell ref="K443:L443"/>
    <mergeCell ref="M441:N441"/>
    <mergeCell ref="O441:P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A441:B441"/>
    <mergeCell ref="C441:D441"/>
    <mergeCell ref="E441:F441"/>
    <mergeCell ref="G441:H441"/>
    <mergeCell ref="I441:J441"/>
    <mergeCell ref="K441:L441"/>
    <mergeCell ref="M439:N439"/>
    <mergeCell ref="O439:P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A439:B439"/>
    <mergeCell ref="C439:D439"/>
    <mergeCell ref="E439:F439"/>
    <mergeCell ref="G439:H439"/>
    <mergeCell ref="I439:J439"/>
    <mergeCell ref="K439:L439"/>
    <mergeCell ref="M449:N449"/>
    <mergeCell ref="O449:P449"/>
    <mergeCell ref="A450:B450"/>
    <mergeCell ref="C450:D450"/>
    <mergeCell ref="E450:F450"/>
    <mergeCell ref="G450:H450"/>
    <mergeCell ref="I450:J450"/>
    <mergeCell ref="K450:L450"/>
    <mergeCell ref="M450:N450"/>
    <mergeCell ref="O450:P450"/>
    <mergeCell ref="A449:B449"/>
    <mergeCell ref="C449:D449"/>
    <mergeCell ref="E449:F449"/>
    <mergeCell ref="G449:H449"/>
    <mergeCell ref="I449:J449"/>
    <mergeCell ref="K449:L449"/>
    <mergeCell ref="M447:N447"/>
    <mergeCell ref="O447:P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A447:B447"/>
    <mergeCell ref="C447:D447"/>
    <mergeCell ref="E447:F447"/>
    <mergeCell ref="G447:H447"/>
    <mergeCell ref="I447:J447"/>
    <mergeCell ref="K447:L447"/>
    <mergeCell ref="M445:N445"/>
    <mergeCell ref="O445:P445"/>
    <mergeCell ref="A446:B446"/>
    <mergeCell ref="C446:D446"/>
    <mergeCell ref="E446:F446"/>
    <mergeCell ref="G446:H446"/>
    <mergeCell ref="I446:J446"/>
    <mergeCell ref="K446:L446"/>
    <mergeCell ref="M446:N446"/>
    <mergeCell ref="O446:P446"/>
    <mergeCell ref="A445:B445"/>
    <mergeCell ref="C445:D445"/>
    <mergeCell ref="E445:F445"/>
    <mergeCell ref="G445:H445"/>
    <mergeCell ref="I445:J445"/>
    <mergeCell ref="K445:L445"/>
    <mergeCell ref="M455:N455"/>
    <mergeCell ref="O455:P455"/>
    <mergeCell ref="A456:B456"/>
    <mergeCell ref="C456:D456"/>
    <mergeCell ref="E456:F456"/>
    <mergeCell ref="G456:H456"/>
    <mergeCell ref="I456:J456"/>
    <mergeCell ref="K456:L456"/>
    <mergeCell ref="M456:N456"/>
    <mergeCell ref="O456:P456"/>
    <mergeCell ref="A455:B455"/>
    <mergeCell ref="C455:D455"/>
    <mergeCell ref="E455:F455"/>
    <mergeCell ref="G455:H455"/>
    <mergeCell ref="I455:J455"/>
    <mergeCell ref="K455:L455"/>
    <mergeCell ref="M453:N453"/>
    <mergeCell ref="O453:P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A453:B453"/>
    <mergeCell ref="C453:D453"/>
    <mergeCell ref="E453:F453"/>
    <mergeCell ref="G453:H453"/>
    <mergeCell ref="I453:J453"/>
    <mergeCell ref="K453:L453"/>
    <mergeCell ref="M451:N451"/>
    <mergeCell ref="O451:P451"/>
    <mergeCell ref="A452:B452"/>
    <mergeCell ref="C452:D452"/>
    <mergeCell ref="E452:F452"/>
    <mergeCell ref="G452:H452"/>
    <mergeCell ref="I452:J452"/>
    <mergeCell ref="K452:L452"/>
    <mergeCell ref="M452:N452"/>
    <mergeCell ref="O452:P452"/>
    <mergeCell ref="A451:B451"/>
    <mergeCell ref="C451:D451"/>
    <mergeCell ref="E451:F451"/>
    <mergeCell ref="G451:H451"/>
    <mergeCell ref="I451:J451"/>
    <mergeCell ref="K451:L451"/>
    <mergeCell ref="M461:N461"/>
    <mergeCell ref="O461:P461"/>
    <mergeCell ref="A462:B462"/>
    <mergeCell ref="C462:D462"/>
    <mergeCell ref="E462:F462"/>
    <mergeCell ref="G462:H462"/>
    <mergeCell ref="I462:J462"/>
    <mergeCell ref="K462:L462"/>
    <mergeCell ref="M462:N462"/>
    <mergeCell ref="O462:P462"/>
    <mergeCell ref="A461:B461"/>
    <mergeCell ref="C461:D461"/>
    <mergeCell ref="E461:F461"/>
    <mergeCell ref="G461:H461"/>
    <mergeCell ref="I461:J461"/>
    <mergeCell ref="K461:L461"/>
    <mergeCell ref="M459:N459"/>
    <mergeCell ref="O459:P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A459:B459"/>
    <mergeCell ref="C459:D459"/>
    <mergeCell ref="E459:F459"/>
    <mergeCell ref="G459:H459"/>
    <mergeCell ref="I459:J459"/>
    <mergeCell ref="K459:L459"/>
    <mergeCell ref="M457:N457"/>
    <mergeCell ref="O457:P457"/>
    <mergeCell ref="A458:B458"/>
    <mergeCell ref="C458:D458"/>
    <mergeCell ref="E458:F458"/>
    <mergeCell ref="G458:H458"/>
    <mergeCell ref="I458:J458"/>
    <mergeCell ref="K458:L458"/>
    <mergeCell ref="M458:N458"/>
    <mergeCell ref="O458:P458"/>
    <mergeCell ref="A457:B457"/>
    <mergeCell ref="C457:D457"/>
    <mergeCell ref="E457:F457"/>
    <mergeCell ref="G457:H457"/>
    <mergeCell ref="I457:J457"/>
    <mergeCell ref="K457:L457"/>
    <mergeCell ref="M467:N467"/>
    <mergeCell ref="O467:P467"/>
    <mergeCell ref="A468:B468"/>
    <mergeCell ref="C468:D468"/>
    <mergeCell ref="E468:F468"/>
    <mergeCell ref="G468:H468"/>
    <mergeCell ref="I468:J468"/>
    <mergeCell ref="K468:L468"/>
    <mergeCell ref="M468:N468"/>
    <mergeCell ref="O468:P468"/>
    <mergeCell ref="A467:B467"/>
    <mergeCell ref="C467:D467"/>
    <mergeCell ref="E467:F467"/>
    <mergeCell ref="G467:H467"/>
    <mergeCell ref="I467:J467"/>
    <mergeCell ref="K467:L467"/>
    <mergeCell ref="M465:N465"/>
    <mergeCell ref="O465:P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A465:B465"/>
    <mergeCell ref="C465:D465"/>
    <mergeCell ref="E465:F465"/>
    <mergeCell ref="G465:H465"/>
    <mergeCell ref="I465:J465"/>
    <mergeCell ref="K465:L465"/>
    <mergeCell ref="M463:N463"/>
    <mergeCell ref="O463:P463"/>
    <mergeCell ref="A464:B464"/>
    <mergeCell ref="C464:D464"/>
    <mergeCell ref="E464:F464"/>
    <mergeCell ref="G464:H464"/>
    <mergeCell ref="I464:J464"/>
    <mergeCell ref="K464:L464"/>
    <mergeCell ref="M464:N464"/>
    <mergeCell ref="O464:P464"/>
    <mergeCell ref="A463:B463"/>
    <mergeCell ref="C463:D463"/>
    <mergeCell ref="E463:F463"/>
    <mergeCell ref="G463:H463"/>
    <mergeCell ref="I463:J463"/>
    <mergeCell ref="K463:L463"/>
    <mergeCell ref="M473:N473"/>
    <mergeCell ref="O473:P473"/>
    <mergeCell ref="A474:B474"/>
    <mergeCell ref="C474:D474"/>
    <mergeCell ref="E474:F474"/>
    <mergeCell ref="G474:H474"/>
    <mergeCell ref="I474:J474"/>
    <mergeCell ref="K474:L474"/>
    <mergeCell ref="M474:N474"/>
    <mergeCell ref="O474:P474"/>
    <mergeCell ref="A473:B473"/>
    <mergeCell ref="C473:D473"/>
    <mergeCell ref="E473:F473"/>
    <mergeCell ref="G473:H473"/>
    <mergeCell ref="I473:J473"/>
    <mergeCell ref="K473:L473"/>
    <mergeCell ref="M471:N471"/>
    <mergeCell ref="O471:P471"/>
    <mergeCell ref="A472:B472"/>
    <mergeCell ref="C472:D472"/>
    <mergeCell ref="E472:F472"/>
    <mergeCell ref="G472:H472"/>
    <mergeCell ref="I472:J472"/>
    <mergeCell ref="K472:L472"/>
    <mergeCell ref="M472:N472"/>
    <mergeCell ref="O472:P472"/>
    <mergeCell ref="A471:B471"/>
    <mergeCell ref="C471:D471"/>
    <mergeCell ref="E471:F471"/>
    <mergeCell ref="G471:H471"/>
    <mergeCell ref="I471:J471"/>
    <mergeCell ref="K471:L471"/>
    <mergeCell ref="M469:N469"/>
    <mergeCell ref="O469:P469"/>
    <mergeCell ref="A470:B470"/>
    <mergeCell ref="C470:D470"/>
    <mergeCell ref="E470:F470"/>
    <mergeCell ref="G470:H470"/>
    <mergeCell ref="I470:J470"/>
    <mergeCell ref="K470:L470"/>
    <mergeCell ref="M470:N470"/>
    <mergeCell ref="O470:P470"/>
    <mergeCell ref="A469:B469"/>
    <mergeCell ref="C469:D469"/>
    <mergeCell ref="E469:F469"/>
    <mergeCell ref="G469:H469"/>
    <mergeCell ref="I469:J469"/>
    <mergeCell ref="K469:L469"/>
    <mergeCell ref="M479:N479"/>
    <mergeCell ref="O479:P479"/>
    <mergeCell ref="A480:B480"/>
    <mergeCell ref="C480:D480"/>
    <mergeCell ref="E480:F480"/>
    <mergeCell ref="G480:H480"/>
    <mergeCell ref="I480:J480"/>
    <mergeCell ref="K480:L480"/>
    <mergeCell ref="M480:N480"/>
    <mergeCell ref="O480:P480"/>
    <mergeCell ref="A479:B479"/>
    <mergeCell ref="C479:D479"/>
    <mergeCell ref="E479:F479"/>
    <mergeCell ref="G479:H479"/>
    <mergeCell ref="I479:J479"/>
    <mergeCell ref="K479:L479"/>
    <mergeCell ref="M477:N477"/>
    <mergeCell ref="O477:P477"/>
    <mergeCell ref="A478:B478"/>
    <mergeCell ref="C478:D478"/>
    <mergeCell ref="E478:F478"/>
    <mergeCell ref="G478:H478"/>
    <mergeCell ref="I478:J478"/>
    <mergeCell ref="K478:L478"/>
    <mergeCell ref="M478:N478"/>
    <mergeCell ref="O478:P478"/>
    <mergeCell ref="A477:B477"/>
    <mergeCell ref="C477:D477"/>
    <mergeCell ref="E477:F477"/>
    <mergeCell ref="G477:H477"/>
    <mergeCell ref="I477:J477"/>
    <mergeCell ref="K477:L477"/>
    <mergeCell ref="M475:N475"/>
    <mergeCell ref="O475:P475"/>
    <mergeCell ref="A476:B476"/>
    <mergeCell ref="C476:D476"/>
    <mergeCell ref="E476:F476"/>
    <mergeCell ref="G476:H476"/>
    <mergeCell ref="I476:J476"/>
    <mergeCell ref="K476:L476"/>
    <mergeCell ref="M476:N476"/>
    <mergeCell ref="O476:P476"/>
    <mergeCell ref="A475:B475"/>
    <mergeCell ref="C475:D475"/>
    <mergeCell ref="E475:F475"/>
    <mergeCell ref="G475:H475"/>
    <mergeCell ref="I475:J475"/>
    <mergeCell ref="K475:L475"/>
    <mergeCell ref="M485:N485"/>
    <mergeCell ref="O485:P485"/>
    <mergeCell ref="A486:B486"/>
    <mergeCell ref="C486:D486"/>
    <mergeCell ref="E486:F486"/>
    <mergeCell ref="G486:H486"/>
    <mergeCell ref="I486:J486"/>
    <mergeCell ref="K486:L486"/>
    <mergeCell ref="M486:N486"/>
    <mergeCell ref="O486:P486"/>
    <mergeCell ref="A485:B485"/>
    <mergeCell ref="C485:D485"/>
    <mergeCell ref="E485:F485"/>
    <mergeCell ref="G485:H485"/>
    <mergeCell ref="I485:J485"/>
    <mergeCell ref="K485:L485"/>
    <mergeCell ref="M483:N483"/>
    <mergeCell ref="O483:P483"/>
    <mergeCell ref="A484:B484"/>
    <mergeCell ref="C484:D484"/>
    <mergeCell ref="E484:F484"/>
    <mergeCell ref="G484:H484"/>
    <mergeCell ref="I484:J484"/>
    <mergeCell ref="K484:L484"/>
    <mergeCell ref="M484:N484"/>
    <mergeCell ref="O484:P484"/>
    <mergeCell ref="A483:B483"/>
    <mergeCell ref="C483:D483"/>
    <mergeCell ref="E483:F483"/>
    <mergeCell ref="G483:H483"/>
    <mergeCell ref="I483:J483"/>
    <mergeCell ref="K483:L483"/>
    <mergeCell ref="M481:N481"/>
    <mergeCell ref="O481:P481"/>
    <mergeCell ref="A482:B482"/>
    <mergeCell ref="C482:D482"/>
    <mergeCell ref="E482:F482"/>
    <mergeCell ref="G482:H482"/>
    <mergeCell ref="I482:J482"/>
    <mergeCell ref="K482:L482"/>
    <mergeCell ref="M482:N482"/>
    <mergeCell ref="O482:P482"/>
    <mergeCell ref="A481:B481"/>
    <mergeCell ref="C481:D481"/>
    <mergeCell ref="E481:F481"/>
    <mergeCell ref="G481:H481"/>
    <mergeCell ref="I481:J481"/>
    <mergeCell ref="K481:L481"/>
    <mergeCell ref="M491:N491"/>
    <mergeCell ref="O491:P491"/>
    <mergeCell ref="A492:B492"/>
    <mergeCell ref="C492:D492"/>
    <mergeCell ref="E492:F492"/>
    <mergeCell ref="G492:H492"/>
    <mergeCell ref="I492:J492"/>
    <mergeCell ref="K492:L492"/>
    <mergeCell ref="M492:N492"/>
    <mergeCell ref="O492:P492"/>
    <mergeCell ref="A491:B491"/>
    <mergeCell ref="C491:D491"/>
    <mergeCell ref="E491:F491"/>
    <mergeCell ref="G491:H491"/>
    <mergeCell ref="I491:J491"/>
    <mergeCell ref="K491:L491"/>
    <mergeCell ref="M489:N489"/>
    <mergeCell ref="O489:P489"/>
    <mergeCell ref="A490:B490"/>
    <mergeCell ref="C490:D490"/>
    <mergeCell ref="E490:F490"/>
    <mergeCell ref="G490:H490"/>
    <mergeCell ref="I490:J490"/>
    <mergeCell ref="K490:L490"/>
    <mergeCell ref="M490:N490"/>
    <mergeCell ref="O490:P490"/>
    <mergeCell ref="A489:B489"/>
    <mergeCell ref="C489:D489"/>
    <mergeCell ref="E489:F489"/>
    <mergeCell ref="G489:H489"/>
    <mergeCell ref="I489:J489"/>
    <mergeCell ref="K489:L489"/>
    <mergeCell ref="M487:N487"/>
    <mergeCell ref="O487:P487"/>
    <mergeCell ref="A488:B488"/>
    <mergeCell ref="C488:D488"/>
    <mergeCell ref="E488:F488"/>
    <mergeCell ref="G488:H488"/>
    <mergeCell ref="I488:J488"/>
    <mergeCell ref="K488:L488"/>
    <mergeCell ref="M488:N488"/>
    <mergeCell ref="O488:P488"/>
    <mergeCell ref="A487:B487"/>
    <mergeCell ref="C487:D487"/>
    <mergeCell ref="E487:F487"/>
    <mergeCell ref="G487:H487"/>
    <mergeCell ref="I487:J487"/>
    <mergeCell ref="K487:L487"/>
    <mergeCell ref="M497:N497"/>
    <mergeCell ref="O497:P497"/>
    <mergeCell ref="A498:B498"/>
    <mergeCell ref="C498:D498"/>
    <mergeCell ref="E498:F498"/>
    <mergeCell ref="G498:H498"/>
    <mergeCell ref="I498:J498"/>
    <mergeCell ref="K498:L498"/>
    <mergeCell ref="M498:N498"/>
    <mergeCell ref="O498:P498"/>
    <mergeCell ref="A497:B497"/>
    <mergeCell ref="C497:D497"/>
    <mergeCell ref="E497:F497"/>
    <mergeCell ref="G497:H497"/>
    <mergeCell ref="I497:J497"/>
    <mergeCell ref="K497:L497"/>
    <mergeCell ref="M495:N495"/>
    <mergeCell ref="O495:P495"/>
    <mergeCell ref="A496:B496"/>
    <mergeCell ref="C496:D496"/>
    <mergeCell ref="E496:F496"/>
    <mergeCell ref="G496:H496"/>
    <mergeCell ref="I496:J496"/>
    <mergeCell ref="K496:L496"/>
    <mergeCell ref="M496:N496"/>
    <mergeCell ref="O496:P496"/>
    <mergeCell ref="A495:B495"/>
    <mergeCell ref="C495:D495"/>
    <mergeCell ref="E495:F495"/>
    <mergeCell ref="G495:H495"/>
    <mergeCell ref="I495:J495"/>
    <mergeCell ref="K495:L495"/>
    <mergeCell ref="M493:N493"/>
    <mergeCell ref="O493:P493"/>
    <mergeCell ref="A494:B494"/>
    <mergeCell ref="C494:D494"/>
    <mergeCell ref="E494:F494"/>
    <mergeCell ref="G494:H494"/>
    <mergeCell ref="I494:J494"/>
    <mergeCell ref="K494:L494"/>
    <mergeCell ref="M494:N494"/>
    <mergeCell ref="O494:P494"/>
    <mergeCell ref="A493:B493"/>
    <mergeCell ref="C493:D493"/>
    <mergeCell ref="E493:F493"/>
    <mergeCell ref="G493:H493"/>
    <mergeCell ref="I493:J493"/>
    <mergeCell ref="K493:L493"/>
    <mergeCell ref="M503:N503"/>
    <mergeCell ref="O503:P503"/>
    <mergeCell ref="A504:B504"/>
    <mergeCell ref="C504:D504"/>
    <mergeCell ref="E504:F504"/>
    <mergeCell ref="G504:H504"/>
    <mergeCell ref="I504:J504"/>
    <mergeCell ref="K504:L504"/>
    <mergeCell ref="M504:N504"/>
    <mergeCell ref="O504:P504"/>
    <mergeCell ref="A503:B503"/>
    <mergeCell ref="C503:D503"/>
    <mergeCell ref="E503:F503"/>
    <mergeCell ref="G503:H503"/>
    <mergeCell ref="I503:J503"/>
    <mergeCell ref="K503:L503"/>
    <mergeCell ref="M501:N501"/>
    <mergeCell ref="O501:P501"/>
    <mergeCell ref="A502:B502"/>
    <mergeCell ref="C502:D502"/>
    <mergeCell ref="E502:F502"/>
    <mergeCell ref="G502:H502"/>
    <mergeCell ref="I502:J502"/>
    <mergeCell ref="K502:L502"/>
    <mergeCell ref="M502:N502"/>
    <mergeCell ref="O502:P502"/>
    <mergeCell ref="A501:B501"/>
    <mergeCell ref="C501:D501"/>
    <mergeCell ref="E501:F501"/>
    <mergeCell ref="G501:H501"/>
    <mergeCell ref="I501:J501"/>
    <mergeCell ref="K501:L501"/>
    <mergeCell ref="M499:N499"/>
    <mergeCell ref="O499:P499"/>
    <mergeCell ref="A500:B500"/>
    <mergeCell ref="C500:D500"/>
    <mergeCell ref="E500:F500"/>
    <mergeCell ref="G500:H500"/>
    <mergeCell ref="I500:J500"/>
    <mergeCell ref="K500:L500"/>
    <mergeCell ref="M500:N500"/>
    <mergeCell ref="O500:P500"/>
    <mergeCell ref="A499:B499"/>
    <mergeCell ref="C499:D499"/>
    <mergeCell ref="E499:F499"/>
    <mergeCell ref="G499:H499"/>
    <mergeCell ref="I499:J499"/>
    <mergeCell ref="K499:L499"/>
    <mergeCell ref="M509:N509"/>
    <mergeCell ref="O509:P509"/>
    <mergeCell ref="A510:B510"/>
    <mergeCell ref="C510:D510"/>
    <mergeCell ref="E510:F510"/>
    <mergeCell ref="G510:H510"/>
    <mergeCell ref="I510:J510"/>
    <mergeCell ref="K510:L510"/>
    <mergeCell ref="M510:N510"/>
    <mergeCell ref="O510:P510"/>
    <mergeCell ref="A509:B509"/>
    <mergeCell ref="C509:D509"/>
    <mergeCell ref="E509:F509"/>
    <mergeCell ref="G509:H509"/>
    <mergeCell ref="I509:J509"/>
    <mergeCell ref="K509:L509"/>
    <mergeCell ref="M507:N507"/>
    <mergeCell ref="O507:P507"/>
    <mergeCell ref="A508:B508"/>
    <mergeCell ref="C508:D508"/>
    <mergeCell ref="E508:F508"/>
    <mergeCell ref="G508:H508"/>
    <mergeCell ref="I508:J508"/>
    <mergeCell ref="K508:L508"/>
    <mergeCell ref="M508:N508"/>
    <mergeCell ref="O508:P508"/>
    <mergeCell ref="A507:B507"/>
    <mergeCell ref="C507:D507"/>
    <mergeCell ref="E507:F507"/>
    <mergeCell ref="G507:H507"/>
    <mergeCell ref="I507:J507"/>
    <mergeCell ref="K507:L507"/>
    <mergeCell ref="M505:N505"/>
    <mergeCell ref="O505:P505"/>
    <mergeCell ref="A506:B506"/>
    <mergeCell ref="C506:D506"/>
    <mergeCell ref="E506:F506"/>
    <mergeCell ref="G506:H506"/>
    <mergeCell ref="I506:J506"/>
    <mergeCell ref="K506:L506"/>
    <mergeCell ref="M506:N506"/>
    <mergeCell ref="O506:P506"/>
    <mergeCell ref="A505:B505"/>
    <mergeCell ref="C505:D505"/>
    <mergeCell ref="E505:F505"/>
    <mergeCell ref="G505:H505"/>
    <mergeCell ref="I505:J505"/>
    <mergeCell ref="K505:L505"/>
    <mergeCell ref="M515:N515"/>
    <mergeCell ref="O515:P515"/>
    <mergeCell ref="A516:B516"/>
    <mergeCell ref="C516:D516"/>
    <mergeCell ref="E516:F516"/>
    <mergeCell ref="G516:H516"/>
    <mergeCell ref="I516:J516"/>
    <mergeCell ref="K516:L516"/>
    <mergeCell ref="M516:N516"/>
    <mergeCell ref="O516:P516"/>
    <mergeCell ref="A515:B515"/>
    <mergeCell ref="C515:D515"/>
    <mergeCell ref="E515:F515"/>
    <mergeCell ref="G515:H515"/>
    <mergeCell ref="I515:J515"/>
    <mergeCell ref="K515:L515"/>
    <mergeCell ref="M513:N513"/>
    <mergeCell ref="O513:P513"/>
    <mergeCell ref="A514:B514"/>
    <mergeCell ref="C514:D514"/>
    <mergeCell ref="E514:F514"/>
    <mergeCell ref="G514:H514"/>
    <mergeCell ref="I514:J514"/>
    <mergeCell ref="K514:L514"/>
    <mergeCell ref="M514:N514"/>
    <mergeCell ref="O514:P514"/>
    <mergeCell ref="A513:B513"/>
    <mergeCell ref="C513:D513"/>
    <mergeCell ref="E513:F513"/>
    <mergeCell ref="G513:H513"/>
    <mergeCell ref="I513:J513"/>
    <mergeCell ref="K513:L513"/>
    <mergeCell ref="M511:N511"/>
    <mergeCell ref="O511:P511"/>
    <mergeCell ref="A512:B512"/>
    <mergeCell ref="C512:D512"/>
    <mergeCell ref="E512:F512"/>
    <mergeCell ref="G512:H512"/>
    <mergeCell ref="I512:J512"/>
    <mergeCell ref="K512:L512"/>
    <mergeCell ref="M512:N512"/>
    <mergeCell ref="O512:P512"/>
    <mergeCell ref="A511:B511"/>
    <mergeCell ref="C511:D511"/>
    <mergeCell ref="E511:F511"/>
    <mergeCell ref="G511:H511"/>
    <mergeCell ref="I511:J511"/>
    <mergeCell ref="K511:L511"/>
    <mergeCell ref="M521:N521"/>
    <mergeCell ref="O521:P521"/>
    <mergeCell ref="A522:B522"/>
    <mergeCell ref="C522:D522"/>
    <mergeCell ref="E522:F522"/>
    <mergeCell ref="G522:H522"/>
    <mergeCell ref="I522:J522"/>
    <mergeCell ref="K522:L522"/>
    <mergeCell ref="M522:N522"/>
    <mergeCell ref="O522:P522"/>
    <mergeCell ref="A521:B521"/>
    <mergeCell ref="C521:D521"/>
    <mergeCell ref="E521:F521"/>
    <mergeCell ref="G521:H521"/>
    <mergeCell ref="I521:J521"/>
    <mergeCell ref="K521:L521"/>
    <mergeCell ref="M519:N519"/>
    <mergeCell ref="O519:P519"/>
    <mergeCell ref="A520:B520"/>
    <mergeCell ref="C520:D520"/>
    <mergeCell ref="E520:F520"/>
    <mergeCell ref="G520:H520"/>
    <mergeCell ref="I520:J520"/>
    <mergeCell ref="K520:L520"/>
    <mergeCell ref="M520:N520"/>
    <mergeCell ref="O520:P520"/>
    <mergeCell ref="A519:B519"/>
    <mergeCell ref="C519:D519"/>
    <mergeCell ref="E519:F519"/>
    <mergeCell ref="G519:H519"/>
    <mergeCell ref="I519:J519"/>
    <mergeCell ref="K519:L519"/>
    <mergeCell ref="M517:N517"/>
    <mergeCell ref="O517:P517"/>
    <mergeCell ref="A518:B518"/>
    <mergeCell ref="C518:D518"/>
    <mergeCell ref="E518:F518"/>
    <mergeCell ref="G518:H518"/>
    <mergeCell ref="I518:J518"/>
    <mergeCell ref="K518:L518"/>
    <mergeCell ref="M518:N518"/>
    <mergeCell ref="O518:P518"/>
    <mergeCell ref="A517:B517"/>
    <mergeCell ref="C517:D517"/>
    <mergeCell ref="E517:F517"/>
    <mergeCell ref="G517:H517"/>
    <mergeCell ref="I517:J517"/>
    <mergeCell ref="K517:L517"/>
    <mergeCell ref="M527:N527"/>
    <mergeCell ref="O527:P527"/>
    <mergeCell ref="A528:B528"/>
    <mergeCell ref="C528:D528"/>
    <mergeCell ref="E528:F528"/>
    <mergeCell ref="G528:H528"/>
    <mergeCell ref="I528:J528"/>
    <mergeCell ref="K528:L528"/>
    <mergeCell ref="M528:N528"/>
    <mergeCell ref="O528:P528"/>
    <mergeCell ref="A527:B527"/>
    <mergeCell ref="C527:D527"/>
    <mergeCell ref="E527:F527"/>
    <mergeCell ref="G527:H527"/>
    <mergeCell ref="I527:J527"/>
    <mergeCell ref="K527:L527"/>
    <mergeCell ref="M525:N525"/>
    <mergeCell ref="O525:P525"/>
    <mergeCell ref="A526:B526"/>
    <mergeCell ref="C526:D526"/>
    <mergeCell ref="E526:F526"/>
    <mergeCell ref="G526:H526"/>
    <mergeCell ref="I526:J526"/>
    <mergeCell ref="K526:L526"/>
    <mergeCell ref="M526:N526"/>
    <mergeCell ref="O526:P526"/>
    <mergeCell ref="A525:B525"/>
    <mergeCell ref="C525:D525"/>
    <mergeCell ref="E525:F525"/>
    <mergeCell ref="G525:H525"/>
    <mergeCell ref="I525:J525"/>
    <mergeCell ref="K525:L525"/>
    <mergeCell ref="M523:N523"/>
    <mergeCell ref="O523:P523"/>
    <mergeCell ref="A524:B524"/>
    <mergeCell ref="C524:D524"/>
    <mergeCell ref="E524:F524"/>
    <mergeCell ref="G524:H524"/>
    <mergeCell ref="I524:J524"/>
    <mergeCell ref="K524:L524"/>
    <mergeCell ref="M524:N524"/>
    <mergeCell ref="O524:P524"/>
    <mergeCell ref="A523:B523"/>
    <mergeCell ref="C523:D523"/>
    <mergeCell ref="E523:F523"/>
    <mergeCell ref="G523:H523"/>
    <mergeCell ref="I523:J523"/>
    <mergeCell ref="K523:L523"/>
    <mergeCell ref="M533:N533"/>
    <mergeCell ref="O533:P533"/>
    <mergeCell ref="A534:B534"/>
    <mergeCell ref="C534:D534"/>
    <mergeCell ref="E534:F534"/>
    <mergeCell ref="G534:H534"/>
    <mergeCell ref="I534:J534"/>
    <mergeCell ref="K534:L534"/>
    <mergeCell ref="M534:N534"/>
    <mergeCell ref="O534:P534"/>
    <mergeCell ref="A533:B533"/>
    <mergeCell ref="C533:D533"/>
    <mergeCell ref="E533:F533"/>
    <mergeCell ref="G533:H533"/>
    <mergeCell ref="I533:J533"/>
    <mergeCell ref="K533:L533"/>
    <mergeCell ref="M531:N531"/>
    <mergeCell ref="O531:P531"/>
    <mergeCell ref="A532:B532"/>
    <mergeCell ref="C532:D532"/>
    <mergeCell ref="E532:F532"/>
    <mergeCell ref="G532:H532"/>
    <mergeCell ref="I532:J532"/>
    <mergeCell ref="K532:L532"/>
    <mergeCell ref="M532:N532"/>
    <mergeCell ref="O532:P532"/>
    <mergeCell ref="A531:B531"/>
    <mergeCell ref="C531:D531"/>
    <mergeCell ref="E531:F531"/>
    <mergeCell ref="G531:H531"/>
    <mergeCell ref="I531:J531"/>
    <mergeCell ref="K531:L531"/>
    <mergeCell ref="M529:N529"/>
    <mergeCell ref="O529:P529"/>
    <mergeCell ref="A530:B530"/>
    <mergeCell ref="C530:D530"/>
    <mergeCell ref="E530:F530"/>
    <mergeCell ref="G530:H530"/>
    <mergeCell ref="I530:J530"/>
    <mergeCell ref="K530:L530"/>
    <mergeCell ref="M530:N530"/>
    <mergeCell ref="O530:P530"/>
    <mergeCell ref="A529:B529"/>
    <mergeCell ref="C529:D529"/>
    <mergeCell ref="E529:F529"/>
    <mergeCell ref="G529:H529"/>
    <mergeCell ref="I529:J529"/>
    <mergeCell ref="K529:L529"/>
    <mergeCell ref="M539:N539"/>
    <mergeCell ref="O539:P539"/>
    <mergeCell ref="A540:B540"/>
    <mergeCell ref="C540:D540"/>
    <mergeCell ref="E540:F540"/>
    <mergeCell ref="G540:H540"/>
    <mergeCell ref="I540:J540"/>
    <mergeCell ref="K540:L540"/>
    <mergeCell ref="M540:N540"/>
    <mergeCell ref="O540:P540"/>
    <mergeCell ref="A539:B539"/>
    <mergeCell ref="C539:D539"/>
    <mergeCell ref="E539:F539"/>
    <mergeCell ref="G539:H539"/>
    <mergeCell ref="I539:J539"/>
    <mergeCell ref="K539:L539"/>
    <mergeCell ref="M537:N537"/>
    <mergeCell ref="O537:P537"/>
    <mergeCell ref="A538:B538"/>
    <mergeCell ref="C538:D538"/>
    <mergeCell ref="E538:F538"/>
    <mergeCell ref="G538:H538"/>
    <mergeCell ref="I538:J538"/>
    <mergeCell ref="K538:L538"/>
    <mergeCell ref="M538:N538"/>
    <mergeCell ref="O538:P538"/>
    <mergeCell ref="A537:B537"/>
    <mergeCell ref="C537:D537"/>
    <mergeCell ref="E537:F537"/>
    <mergeCell ref="G537:H537"/>
    <mergeCell ref="I537:J537"/>
    <mergeCell ref="K537:L537"/>
    <mergeCell ref="M535:N535"/>
    <mergeCell ref="O535:P535"/>
    <mergeCell ref="A536:B536"/>
    <mergeCell ref="C536:D536"/>
    <mergeCell ref="E536:F536"/>
    <mergeCell ref="G536:H536"/>
    <mergeCell ref="I536:J536"/>
    <mergeCell ref="K536:L536"/>
    <mergeCell ref="M536:N536"/>
    <mergeCell ref="O536:P536"/>
    <mergeCell ref="A535:B535"/>
    <mergeCell ref="C535:D535"/>
    <mergeCell ref="E535:F535"/>
    <mergeCell ref="G535:H535"/>
    <mergeCell ref="I535:J535"/>
    <mergeCell ref="K535:L535"/>
    <mergeCell ref="M545:N545"/>
    <mergeCell ref="O545:P545"/>
    <mergeCell ref="A546:B546"/>
    <mergeCell ref="C546:D546"/>
    <mergeCell ref="E546:F546"/>
    <mergeCell ref="G546:H546"/>
    <mergeCell ref="I546:J546"/>
    <mergeCell ref="K546:L546"/>
    <mergeCell ref="M546:N546"/>
    <mergeCell ref="O546:P546"/>
    <mergeCell ref="A545:B545"/>
    <mergeCell ref="C545:D545"/>
    <mergeCell ref="E545:F545"/>
    <mergeCell ref="G545:H545"/>
    <mergeCell ref="I545:J545"/>
    <mergeCell ref="K545:L545"/>
    <mergeCell ref="M543:N543"/>
    <mergeCell ref="O543:P543"/>
    <mergeCell ref="A544:B544"/>
    <mergeCell ref="C544:D544"/>
    <mergeCell ref="E544:F544"/>
    <mergeCell ref="G544:H544"/>
    <mergeCell ref="I544:J544"/>
    <mergeCell ref="K544:L544"/>
    <mergeCell ref="M544:N544"/>
    <mergeCell ref="O544:P544"/>
    <mergeCell ref="A543:B543"/>
    <mergeCell ref="C543:D543"/>
    <mergeCell ref="E543:F543"/>
    <mergeCell ref="G543:H543"/>
    <mergeCell ref="I543:J543"/>
    <mergeCell ref="K543:L543"/>
    <mergeCell ref="M541:N541"/>
    <mergeCell ref="O541:P541"/>
    <mergeCell ref="A542:B542"/>
    <mergeCell ref="C542:D542"/>
    <mergeCell ref="E542:F542"/>
    <mergeCell ref="G542:H542"/>
    <mergeCell ref="I542:J542"/>
    <mergeCell ref="K542:L542"/>
    <mergeCell ref="M542:N542"/>
    <mergeCell ref="O542:P542"/>
    <mergeCell ref="A541:B541"/>
    <mergeCell ref="C541:D541"/>
    <mergeCell ref="E541:F541"/>
    <mergeCell ref="G541:H541"/>
    <mergeCell ref="I541:J541"/>
    <mergeCell ref="K541:L541"/>
    <mergeCell ref="M551:N551"/>
    <mergeCell ref="O551:P551"/>
    <mergeCell ref="A552:B552"/>
    <mergeCell ref="C552:D552"/>
    <mergeCell ref="E552:F552"/>
    <mergeCell ref="G552:H552"/>
    <mergeCell ref="I552:J552"/>
    <mergeCell ref="K552:L552"/>
    <mergeCell ref="M552:N552"/>
    <mergeCell ref="O552:P552"/>
    <mergeCell ref="A551:B551"/>
    <mergeCell ref="C551:D551"/>
    <mergeCell ref="E551:F551"/>
    <mergeCell ref="G551:H551"/>
    <mergeCell ref="I551:J551"/>
    <mergeCell ref="K551:L551"/>
    <mergeCell ref="M549:N549"/>
    <mergeCell ref="O549:P549"/>
    <mergeCell ref="A550:B550"/>
    <mergeCell ref="C550:D550"/>
    <mergeCell ref="E550:F550"/>
    <mergeCell ref="G550:H550"/>
    <mergeCell ref="I550:J550"/>
    <mergeCell ref="K550:L550"/>
    <mergeCell ref="M550:N550"/>
    <mergeCell ref="O550:P550"/>
    <mergeCell ref="A549:B549"/>
    <mergeCell ref="C549:D549"/>
    <mergeCell ref="E549:F549"/>
    <mergeCell ref="G549:H549"/>
    <mergeCell ref="I549:J549"/>
    <mergeCell ref="K549:L549"/>
    <mergeCell ref="M547:N547"/>
    <mergeCell ref="O547:P547"/>
    <mergeCell ref="A548:B548"/>
    <mergeCell ref="C548:D548"/>
    <mergeCell ref="E548:F548"/>
    <mergeCell ref="G548:H548"/>
    <mergeCell ref="I548:J548"/>
    <mergeCell ref="K548:L548"/>
    <mergeCell ref="M548:N548"/>
    <mergeCell ref="O548:P548"/>
    <mergeCell ref="A547:B547"/>
    <mergeCell ref="C547:D547"/>
    <mergeCell ref="E547:F547"/>
    <mergeCell ref="G547:H547"/>
    <mergeCell ref="I547:J547"/>
    <mergeCell ref="K547:L547"/>
    <mergeCell ref="M557:N557"/>
    <mergeCell ref="O557:P557"/>
    <mergeCell ref="A558:B558"/>
    <mergeCell ref="C558:D558"/>
    <mergeCell ref="E558:F558"/>
    <mergeCell ref="G558:H558"/>
    <mergeCell ref="I558:J558"/>
    <mergeCell ref="K558:L558"/>
    <mergeCell ref="M558:N558"/>
    <mergeCell ref="O558:P558"/>
    <mergeCell ref="A557:B557"/>
    <mergeCell ref="C557:D557"/>
    <mergeCell ref="E557:F557"/>
    <mergeCell ref="G557:H557"/>
    <mergeCell ref="I557:J557"/>
    <mergeCell ref="K557:L557"/>
    <mergeCell ref="M555:N555"/>
    <mergeCell ref="O555:P555"/>
    <mergeCell ref="A556:B556"/>
    <mergeCell ref="C556:D556"/>
    <mergeCell ref="E556:F556"/>
    <mergeCell ref="G556:H556"/>
    <mergeCell ref="I556:J556"/>
    <mergeCell ref="K556:L556"/>
    <mergeCell ref="M556:N556"/>
    <mergeCell ref="O556:P556"/>
    <mergeCell ref="A555:B555"/>
    <mergeCell ref="C555:D555"/>
    <mergeCell ref="E555:F555"/>
    <mergeCell ref="G555:H555"/>
    <mergeCell ref="I555:J555"/>
    <mergeCell ref="K555:L555"/>
    <mergeCell ref="M553:N553"/>
    <mergeCell ref="O553:P553"/>
    <mergeCell ref="A554:B554"/>
    <mergeCell ref="C554:D554"/>
    <mergeCell ref="E554:F554"/>
    <mergeCell ref="G554:H554"/>
    <mergeCell ref="I554:J554"/>
    <mergeCell ref="K554:L554"/>
    <mergeCell ref="M554:N554"/>
    <mergeCell ref="O554:P554"/>
    <mergeCell ref="A553:B553"/>
    <mergeCell ref="C553:D553"/>
    <mergeCell ref="E553:F553"/>
    <mergeCell ref="G553:H553"/>
    <mergeCell ref="I553:J553"/>
    <mergeCell ref="K553:L553"/>
    <mergeCell ref="M563:N563"/>
    <mergeCell ref="O563:P563"/>
    <mergeCell ref="A564:B564"/>
    <mergeCell ref="C564:D564"/>
    <mergeCell ref="E564:F564"/>
    <mergeCell ref="G564:H564"/>
    <mergeCell ref="I564:J564"/>
    <mergeCell ref="K564:L564"/>
    <mergeCell ref="M564:N564"/>
    <mergeCell ref="O564:P564"/>
    <mergeCell ref="A563:B563"/>
    <mergeCell ref="C563:D563"/>
    <mergeCell ref="E563:F563"/>
    <mergeCell ref="G563:H563"/>
    <mergeCell ref="I563:J563"/>
    <mergeCell ref="K563:L563"/>
    <mergeCell ref="M561:N561"/>
    <mergeCell ref="O561:P561"/>
    <mergeCell ref="A562:B562"/>
    <mergeCell ref="C562:D562"/>
    <mergeCell ref="E562:F562"/>
    <mergeCell ref="G562:H562"/>
    <mergeCell ref="I562:J562"/>
    <mergeCell ref="K562:L562"/>
    <mergeCell ref="M562:N562"/>
    <mergeCell ref="O562:P562"/>
    <mergeCell ref="A561:B561"/>
    <mergeCell ref="C561:D561"/>
    <mergeCell ref="E561:F561"/>
    <mergeCell ref="G561:H561"/>
    <mergeCell ref="I561:J561"/>
    <mergeCell ref="K561:L561"/>
    <mergeCell ref="M559:N559"/>
    <mergeCell ref="O559:P559"/>
    <mergeCell ref="A560:B560"/>
    <mergeCell ref="C560:D560"/>
    <mergeCell ref="E560:F560"/>
    <mergeCell ref="G560:H560"/>
    <mergeCell ref="I560:J560"/>
    <mergeCell ref="K560:L560"/>
    <mergeCell ref="M560:N560"/>
    <mergeCell ref="O560:P560"/>
    <mergeCell ref="A559:B559"/>
    <mergeCell ref="C559:D559"/>
    <mergeCell ref="E559:F559"/>
    <mergeCell ref="G559:H559"/>
    <mergeCell ref="I559:J559"/>
    <mergeCell ref="K559:L559"/>
    <mergeCell ref="M569:N569"/>
    <mergeCell ref="O569:P569"/>
    <mergeCell ref="A570:B570"/>
    <mergeCell ref="C570:D570"/>
    <mergeCell ref="E570:F570"/>
    <mergeCell ref="G570:H570"/>
    <mergeCell ref="I570:J570"/>
    <mergeCell ref="K570:L570"/>
    <mergeCell ref="M570:N570"/>
    <mergeCell ref="O570:P570"/>
    <mergeCell ref="A569:B569"/>
    <mergeCell ref="C569:D569"/>
    <mergeCell ref="E569:F569"/>
    <mergeCell ref="G569:H569"/>
    <mergeCell ref="I569:J569"/>
    <mergeCell ref="K569:L569"/>
    <mergeCell ref="M567:N567"/>
    <mergeCell ref="O567:P567"/>
    <mergeCell ref="A568:B568"/>
    <mergeCell ref="C568:D568"/>
    <mergeCell ref="E568:F568"/>
    <mergeCell ref="G568:H568"/>
    <mergeCell ref="I568:J568"/>
    <mergeCell ref="K568:L568"/>
    <mergeCell ref="M568:N568"/>
    <mergeCell ref="O568:P568"/>
    <mergeCell ref="A567:B567"/>
    <mergeCell ref="C567:D567"/>
    <mergeCell ref="E567:F567"/>
    <mergeCell ref="G567:H567"/>
    <mergeCell ref="I567:J567"/>
    <mergeCell ref="K567:L567"/>
    <mergeCell ref="M565:N565"/>
    <mergeCell ref="O565:P565"/>
    <mergeCell ref="A566:B566"/>
    <mergeCell ref="C566:D566"/>
    <mergeCell ref="E566:F566"/>
    <mergeCell ref="G566:H566"/>
    <mergeCell ref="I566:J566"/>
    <mergeCell ref="K566:L566"/>
    <mergeCell ref="M566:N566"/>
    <mergeCell ref="O566:P566"/>
    <mergeCell ref="A565:B565"/>
    <mergeCell ref="C565:D565"/>
    <mergeCell ref="E565:F565"/>
    <mergeCell ref="G565:H565"/>
    <mergeCell ref="I565:J565"/>
    <mergeCell ref="K565:L565"/>
    <mergeCell ref="M575:N575"/>
    <mergeCell ref="O575:P575"/>
    <mergeCell ref="A576:B576"/>
    <mergeCell ref="C576:D576"/>
    <mergeCell ref="E576:F576"/>
    <mergeCell ref="G576:H576"/>
    <mergeCell ref="I576:J576"/>
    <mergeCell ref="K576:L576"/>
    <mergeCell ref="M576:N576"/>
    <mergeCell ref="O576:P576"/>
    <mergeCell ref="A575:B575"/>
    <mergeCell ref="C575:D575"/>
    <mergeCell ref="E575:F575"/>
    <mergeCell ref="G575:H575"/>
    <mergeCell ref="I575:J575"/>
    <mergeCell ref="K575:L575"/>
    <mergeCell ref="M573:N573"/>
    <mergeCell ref="O573:P573"/>
    <mergeCell ref="A574:B574"/>
    <mergeCell ref="C574:D574"/>
    <mergeCell ref="E574:F574"/>
    <mergeCell ref="G574:H574"/>
    <mergeCell ref="I574:J574"/>
    <mergeCell ref="K574:L574"/>
    <mergeCell ref="M574:N574"/>
    <mergeCell ref="O574:P574"/>
    <mergeCell ref="A573:B573"/>
    <mergeCell ref="C573:D573"/>
    <mergeCell ref="E573:F573"/>
    <mergeCell ref="G573:H573"/>
    <mergeCell ref="I573:J573"/>
    <mergeCell ref="K573:L573"/>
    <mergeCell ref="M571:N571"/>
    <mergeCell ref="O571:P571"/>
    <mergeCell ref="A572:B572"/>
    <mergeCell ref="C572:D572"/>
    <mergeCell ref="E572:F572"/>
    <mergeCell ref="G572:H572"/>
    <mergeCell ref="I572:J572"/>
    <mergeCell ref="K572:L572"/>
    <mergeCell ref="M572:N572"/>
    <mergeCell ref="O572:P572"/>
    <mergeCell ref="A571:B571"/>
    <mergeCell ref="C571:D571"/>
    <mergeCell ref="E571:F571"/>
    <mergeCell ref="G571:H571"/>
    <mergeCell ref="I571:J571"/>
    <mergeCell ref="K571:L571"/>
    <mergeCell ref="M581:N581"/>
    <mergeCell ref="O581:P581"/>
    <mergeCell ref="A582:B582"/>
    <mergeCell ref="C582:D582"/>
    <mergeCell ref="E582:F582"/>
    <mergeCell ref="G582:H582"/>
    <mergeCell ref="I582:J582"/>
    <mergeCell ref="K582:L582"/>
    <mergeCell ref="M582:N582"/>
    <mergeCell ref="O582:P582"/>
    <mergeCell ref="A581:B581"/>
    <mergeCell ref="C581:D581"/>
    <mergeCell ref="E581:F581"/>
    <mergeCell ref="G581:H581"/>
    <mergeCell ref="I581:J581"/>
    <mergeCell ref="K581:L581"/>
    <mergeCell ref="M579:N579"/>
    <mergeCell ref="O579:P579"/>
    <mergeCell ref="A580:B580"/>
    <mergeCell ref="C580:D580"/>
    <mergeCell ref="E580:F580"/>
    <mergeCell ref="G580:H580"/>
    <mergeCell ref="I580:J580"/>
    <mergeCell ref="K580:L580"/>
    <mergeCell ref="M580:N580"/>
    <mergeCell ref="O580:P580"/>
    <mergeCell ref="A579:B579"/>
    <mergeCell ref="C579:D579"/>
    <mergeCell ref="E579:F579"/>
    <mergeCell ref="G579:H579"/>
    <mergeCell ref="I579:J579"/>
    <mergeCell ref="K579:L579"/>
    <mergeCell ref="M577:N577"/>
    <mergeCell ref="O577:P577"/>
    <mergeCell ref="A578:B578"/>
    <mergeCell ref="C578:D578"/>
    <mergeCell ref="E578:F578"/>
    <mergeCell ref="G578:H578"/>
    <mergeCell ref="I578:J578"/>
    <mergeCell ref="K578:L578"/>
    <mergeCell ref="M578:N578"/>
    <mergeCell ref="O578:P578"/>
    <mergeCell ref="A577:B577"/>
    <mergeCell ref="C577:D577"/>
    <mergeCell ref="E577:F577"/>
    <mergeCell ref="G577:H577"/>
    <mergeCell ref="I577:J577"/>
    <mergeCell ref="K577:L577"/>
    <mergeCell ref="M587:N587"/>
    <mergeCell ref="O587:P587"/>
    <mergeCell ref="A588:B588"/>
    <mergeCell ref="C588:D588"/>
    <mergeCell ref="E588:F588"/>
    <mergeCell ref="G588:H588"/>
    <mergeCell ref="I588:J588"/>
    <mergeCell ref="K588:L588"/>
    <mergeCell ref="M588:N588"/>
    <mergeCell ref="O588:P588"/>
    <mergeCell ref="A587:B587"/>
    <mergeCell ref="C587:D587"/>
    <mergeCell ref="E587:F587"/>
    <mergeCell ref="G587:H587"/>
    <mergeCell ref="I587:J587"/>
    <mergeCell ref="K587:L587"/>
    <mergeCell ref="M585:N585"/>
    <mergeCell ref="O585:P585"/>
    <mergeCell ref="A586:B586"/>
    <mergeCell ref="C586:D586"/>
    <mergeCell ref="E586:F586"/>
    <mergeCell ref="G586:H586"/>
    <mergeCell ref="I586:J586"/>
    <mergeCell ref="K586:L586"/>
    <mergeCell ref="M586:N586"/>
    <mergeCell ref="O586:P586"/>
    <mergeCell ref="A585:B585"/>
    <mergeCell ref="C585:D585"/>
    <mergeCell ref="E585:F585"/>
    <mergeCell ref="G585:H585"/>
    <mergeCell ref="I585:J585"/>
    <mergeCell ref="K585:L585"/>
    <mergeCell ref="M583:N583"/>
    <mergeCell ref="O583:P583"/>
    <mergeCell ref="A584:B584"/>
    <mergeCell ref="C584:D584"/>
    <mergeCell ref="E584:F584"/>
    <mergeCell ref="G584:H584"/>
    <mergeCell ref="I584:J584"/>
    <mergeCell ref="K584:L584"/>
    <mergeCell ref="M584:N584"/>
    <mergeCell ref="O584:P584"/>
    <mergeCell ref="A583:B583"/>
    <mergeCell ref="C583:D583"/>
    <mergeCell ref="E583:F583"/>
    <mergeCell ref="G583:H583"/>
    <mergeCell ref="I583:J583"/>
    <mergeCell ref="K583:L583"/>
    <mergeCell ref="M593:N593"/>
    <mergeCell ref="O593:P593"/>
    <mergeCell ref="A594:B594"/>
    <mergeCell ref="C594:D594"/>
    <mergeCell ref="E594:F594"/>
    <mergeCell ref="G594:H594"/>
    <mergeCell ref="I594:J594"/>
    <mergeCell ref="K594:L594"/>
    <mergeCell ref="M594:N594"/>
    <mergeCell ref="O594:P594"/>
    <mergeCell ref="A593:B593"/>
    <mergeCell ref="C593:D593"/>
    <mergeCell ref="E593:F593"/>
    <mergeCell ref="G593:H593"/>
    <mergeCell ref="I593:J593"/>
    <mergeCell ref="K593:L593"/>
    <mergeCell ref="M591:N591"/>
    <mergeCell ref="O591:P591"/>
    <mergeCell ref="A592:B592"/>
    <mergeCell ref="C592:D592"/>
    <mergeCell ref="E592:F592"/>
    <mergeCell ref="G592:H592"/>
    <mergeCell ref="I592:J592"/>
    <mergeCell ref="K592:L592"/>
    <mergeCell ref="M592:N592"/>
    <mergeCell ref="O592:P592"/>
    <mergeCell ref="A591:B591"/>
    <mergeCell ref="C591:D591"/>
    <mergeCell ref="E591:F591"/>
    <mergeCell ref="G591:H591"/>
    <mergeCell ref="I591:J591"/>
    <mergeCell ref="K591:L591"/>
    <mergeCell ref="M589:N589"/>
    <mergeCell ref="O589:P589"/>
    <mergeCell ref="A590:B590"/>
    <mergeCell ref="C590:D590"/>
    <mergeCell ref="E590:F590"/>
    <mergeCell ref="G590:H590"/>
    <mergeCell ref="I590:J590"/>
    <mergeCell ref="K590:L590"/>
    <mergeCell ref="M590:N590"/>
    <mergeCell ref="O590:P590"/>
    <mergeCell ref="A589:B589"/>
    <mergeCell ref="C589:D589"/>
    <mergeCell ref="E589:F589"/>
    <mergeCell ref="G589:H589"/>
    <mergeCell ref="I589:J589"/>
    <mergeCell ref="K589:L589"/>
    <mergeCell ref="M599:N599"/>
    <mergeCell ref="O599:P599"/>
    <mergeCell ref="A600:B600"/>
    <mergeCell ref="C600:D600"/>
    <mergeCell ref="E600:F600"/>
    <mergeCell ref="G600:H600"/>
    <mergeCell ref="I600:J600"/>
    <mergeCell ref="K600:L600"/>
    <mergeCell ref="M600:N600"/>
    <mergeCell ref="O600:P600"/>
    <mergeCell ref="A599:B599"/>
    <mergeCell ref="C599:D599"/>
    <mergeCell ref="E599:F599"/>
    <mergeCell ref="G599:H599"/>
    <mergeCell ref="I599:J599"/>
    <mergeCell ref="K599:L599"/>
    <mergeCell ref="M597:N597"/>
    <mergeCell ref="O597:P597"/>
    <mergeCell ref="A598:B598"/>
    <mergeCell ref="C598:D598"/>
    <mergeCell ref="E598:F598"/>
    <mergeCell ref="G598:H598"/>
    <mergeCell ref="I598:J598"/>
    <mergeCell ref="K598:L598"/>
    <mergeCell ref="M598:N598"/>
    <mergeCell ref="O598:P598"/>
    <mergeCell ref="A597:B597"/>
    <mergeCell ref="C597:D597"/>
    <mergeCell ref="E597:F597"/>
    <mergeCell ref="G597:H597"/>
    <mergeCell ref="I597:J597"/>
    <mergeCell ref="K597:L597"/>
    <mergeCell ref="M595:N595"/>
    <mergeCell ref="O595:P595"/>
    <mergeCell ref="A596:B596"/>
    <mergeCell ref="C596:D596"/>
    <mergeCell ref="E596:F596"/>
    <mergeCell ref="G596:H596"/>
    <mergeCell ref="I596:J596"/>
    <mergeCell ref="K596:L596"/>
    <mergeCell ref="M596:N596"/>
    <mergeCell ref="O596:P596"/>
    <mergeCell ref="A595:B595"/>
    <mergeCell ref="C595:D595"/>
    <mergeCell ref="E595:F595"/>
    <mergeCell ref="G595:H595"/>
    <mergeCell ref="I595:J595"/>
    <mergeCell ref="K595:L595"/>
    <mergeCell ref="M605:N605"/>
    <mergeCell ref="O605:P605"/>
    <mergeCell ref="A606:B606"/>
    <mergeCell ref="C606:D606"/>
    <mergeCell ref="E606:F606"/>
    <mergeCell ref="G606:H606"/>
    <mergeCell ref="I606:J606"/>
    <mergeCell ref="K606:L606"/>
    <mergeCell ref="M606:N606"/>
    <mergeCell ref="O606:P606"/>
    <mergeCell ref="A605:B605"/>
    <mergeCell ref="C605:D605"/>
    <mergeCell ref="E605:F605"/>
    <mergeCell ref="G605:H605"/>
    <mergeCell ref="I605:J605"/>
    <mergeCell ref="K605:L605"/>
    <mergeCell ref="M603:N603"/>
    <mergeCell ref="O603:P603"/>
    <mergeCell ref="A604:B604"/>
    <mergeCell ref="C604:D604"/>
    <mergeCell ref="E604:F604"/>
    <mergeCell ref="G604:H604"/>
    <mergeCell ref="I604:J604"/>
    <mergeCell ref="K604:L604"/>
    <mergeCell ref="M604:N604"/>
    <mergeCell ref="O604:P604"/>
    <mergeCell ref="A603:B603"/>
    <mergeCell ref="C603:D603"/>
    <mergeCell ref="E603:F603"/>
    <mergeCell ref="G603:H603"/>
    <mergeCell ref="I603:J603"/>
    <mergeCell ref="K603:L603"/>
    <mergeCell ref="M601:N601"/>
    <mergeCell ref="O601:P601"/>
    <mergeCell ref="A602:B602"/>
    <mergeCell ref="C602:D602"/>
    <mergeCell ref="E602:F602"/>
    <mergeCell ref="G602:H602"/>
    <mergeCell ref="I602:J602"/>
    <mergeCell ref="K602:L602"/>
    <mergeCell ref="M602:N602"/>
    <mergeCell ref="O602:P602"/>
    <mergeCell ref="A601:B601"/>
    <mergeCell ref="C601:D601"/>
    <mergeCell ref="E601:F601"/>
    <mergeCell ref="G601:H601"/>
    <mergeCell ref="I601:J601"/>
    <mergeCell ref="K601:L601"/>
    <mergeCell ref="M611:N611"/>
    <mergeCell ref="O611:P611"/>
    <mergeCell ref="A612:B612"/>
    <mergeCell ref="C612:D612"/>
    <mergeCell ref="E612:F612"/>
    <mergeCell ref="G612:H612"/>
    <mergeCell ref="I612:J612"/>
    <mergeCell ref="K612:L612"/>
    <mergeCell ref="M612:N612"/>
    <mergeCell ref="O612:P612"/>
    <mergeCell ref="A611:B611"/>
    <mergeCell ref="C611:D611"/>
    <mergeCell ref="E611:F611"/>
    <mergeCell ref="G611:H611"/>
    <mergeCell ref="I611:J611"/>
    <mergeCell ref="K611:L611"/>
    <mergeCell ref="M609:N609"/>
    <mergeCell ref="O609:P609"/>
    <mergeCell ref="A610:B610"/>
    <mergeCell ref="C610:D610"/>
    <mergeCell ref="E610:F610"/>
    <mergeCell ref="G610:H610"/>
    <mergeCell ref="I610:J610"/>
    <mergeCell ref="K610:L610"/>
    <mergeCell ref="M610:N610"/>
    <mergeCell ref="O610:P610"/>
    <mergeCell ref="A609:B609"/>
    <mergeCell ref="C609:D609"/>
    <mergeCell ref="E609:F609"/>
    <mergeCell ref="G609:H609"/>
    <mergeCell ref="I609:J609"/>
    <mergeCell ref="K609:L609"/>
    <mergeCell ref="M607:N607"/>
    <mergeCell ref="O607:P607"/>
    <mergeCell ref="A608:B608"/>
    <mergeCell ref="C608:D608"/>
    <mergeCell ref="E608:F608"/>
    <mergeCell ref="G608:H608"/>
    <mergeCell ref="I608:J608"/>
    <mergeCell ref="K608:L608"/>
    <mergeCell ref="M608:N608"/>
    <mergeCell ref="O608:P608"/>
    <mergeCell ref="A607:B607"/>
    <mergeCell ref="C607:D607"/>
    <mergeCell ref="E607:F607"/>
    <mergeCell ref="G607:H607"/>
    <mergeCell ref="I607:J607"/>
    <mergeCell ref="K607:L607"/>
    <mergeCell ref="M617:N617"/>
    <mergeCell ref="O617:P617"/>
    <mergeCell ref="A618:B618"/>
    <mergeCell ref="C618:D618"/>
    <mergeCell ref="E618:F618"/>
    <mergeCell ref="G618:H618"/>
    <mergeCell ref="I618:J618"/>
    <mergeCell ref="K618:L618"/>
    <mergeCell ref="M618:N618"/>
    <mergeCell ref="O618:P618"/>
    <mergeCell ref="A617:B617"/>
    <mergeCell ref="C617:D617"/>
    <mergeCell ref="E617:F617"/>
    <mergeCell ref="G617:H617"/>
    <mergeCell ref="I617:J617"/>
    <mergeCell ref="K617:L617"/>
    <mergeCell ref="M615:N615"/>
    <mergeCell ref="O615:P615"/>
    <mergeCell ref="A616:B616"/>
    <mergeCell ref="C616:D616"/>
    <mergeCell ref="E616:F616"/>
    <mergeCell ref="G616:H616"/>
    <mergeCell ref="I616:J616"/>
    <mergeCell ref="K616:L616"/>
    <mergeCell ref="M616:N616"/>
    <mergeCell ref="O616:P616"/>
    <mergeCell ref="A615:B615"/>
    <mergeCell ref="C615:D615"/>
    <mergeCell ref="E615:F615"/>
    <mergeCell ref="G615:H615"/>
    <mergeCell ref="I615:J615"/>
    <mergeCell ref="K615:L615"/>
    <mergeCell ref="M613:N613"/>
    <mergeCell ref="O613:P613"/>
    <mergeCell ref="A614:B614"/>
    <mergeCell ref="C614:D614"/>
    <mergeCell ref="E614:F614"/>
    <mergeCell ref="G614:H614"/>
    <mergeCell ref="I614:J614"/>
    <mergeCell ref="K614:L614"/>
    <mergeCell ref="M614:N614"/>
    <mergeCell ref="O614:P614"/>
    <mergeCell ref="A613:B613"/>
    <mergeCell ref="C613:D613"/>
    <mergeCell ref="E613:F613"/>
    <mergeCell ref="G613:H613"/>
    <mergeCell ref="I613:J613"/>
    <mergeCell ref="K613:L613"/>
    <mergeCell ref="M623:N623"/>
    <mergeCell ref="O623:P623"/>
    <mergeCell ref="A624:B624"/>
    <mergeCell ref="C624:D624"/>
    <mergeCell ref="E624:F624"/>
    <mergeCell ref="G624:H624"/>
    <mergeCell ref="I624:J624"/>
    <mergeCell ref="K624:L624"/>
    <mergeCell ref="M624:N624"/>
    <mergeCell ref="O624:P624"/>
    <mergeCell ref="A623:B623"/>
    <mergeCell ref="C623:D623"/>
    <mergeCell ref="E623:F623"/>
    <mergeCell ref="G623:H623"/>
    <mergeCell ref="I623:J623"/>
    <mergeCell ref="K623:L623"/>
    <mergeCell ref="M621:N621"/>
    <mergeCell ref="O621:P621"/>
    <mergeCell ref="A622:B622"/>
    <mergeCell ref="C622:D622"/>
    <mergeCell ref="E622:F622"/>
    <mergeCell ref="G622:H622"/>
    <mergeCell ref="I622:J622"/>
    <mergeCell ref="K622:L622"/>
    <mergeCell ref="M622:N622"/>
    <mergeCell ref="O622:P622"/>
    <mergeCell ref="A621:B621"/>
    <mergeCell ref="C621:D621"/>
    <mergeCell ref="E621:F621"/>
    <mergeCell ref="G621:H621"/>
    <mergeCell ref="I621:J621"/>
    <mergeCell ref="K621:L621"/>
    <mergeCell ref="M619:N619"/>
    <mergeCell ref="O619:P619"/>
    <mergeCell ref="A620:B620"/>
    <mergeCell ref="C620:D620"/>
    <mergeCell ref="E620:F620"/>
    <mergeCell ref="G620:H620"/>
    <mergeCell ref="I620:J620"/>
    <mergeCell ref="K620:L620"/>
    <mergeCell ref="M620:N620"/>
    <mergeCell ref="O620:P620"/>
    <mergeCell ref="A619:B619"/>
    <mergeCell ref="C619:D619"/>
    <mergeCell ref="E619:F619"/>
    <mergeCell ref="G619:H619"/>
    <mergeCell ref="I619:J619"/>
    <mergeCell ref="K619:L619"/>
    <mergeCell ref="M629:N629"/>
    <mergeCell ref="O629:P629"/>
    <mergeCell ref="A630:B630"/>
    <mergeCell ref="C630:D630"/>
    <mergeCell ref="E630:F630"/>
    <mergeCell ref="G630:H630"/>
    <mergeCell ref="I630:J630"/>
    <mergeCell ref="K630:L630"/>
    <mergeCell ref="M630:N630"/>
    <mergeCell ref="O630:P630"/>
    <mergeCell ref="A629:B629"/>
    <mergeCell ref="C629:D629"/>
    <mergeCell ref="E629:F629"/>
    <mergeCell ref="G629:H629"/>
    <mergeCell ref="I629:J629"/>
    <mergeCell ref="K629:L629"/>
    <mergeCell ref="M627:N627"/>
    <mergeCell ref="O627:P627"/>
    <mergeCell ref="A628:B628"/>
    <mergeCell ref="C628:D628"/>
    <mergeCell ref="E628:F628"/>
    <mergeCell ref="G628:H628"/>
    <mergeCell ref="I628:J628"/>
    <mergeCell ref="K628:L628"/>
    <mergeCell ref="M628:N628"/>
    <mergeCell ref="O628:P628"/>
    <mergeCell ref="A627:B627"/>
    <mergeCell ref="C627:D627"/>
    <mergeCell ref="E627:F627"/>
    <mergeCell ref="G627:H627"/>
    <mergeCell ref="I627:J627"/>
    <mergeCell ref="K627:L627"/>
    <mergeCell ref="M625:N625"/>
    <mergeCell ref="O625:P625"/>
    <mergeCell ref="A626:B626"/>
    <mergeCell ref="C626:D626"/>
    <mergeCell ref="E626:F626"/>
    <mergeCell ref="G626:H626"/>
    <mergeCell ref="I626:J626"/>
    <mergeCell ref="K626:L626"/>
    <mergeCell ref="M626:N626"/>
    <mergeCell ref="O626:P626"/>
    <mergeCell ref="A625:B625"/>
    <mergeCell ref="C625:D625"/>
    <mergeCell ref="E625:F625"/>
    <mergeCell ref="G625:H625"/>
    <mergeCell ref="I625:J625"/>
    <mergeCell ref="K625:L625"/>
    <mergeCell ref="M635:N635"/>
    <mergeCell ref="O635:P635"/>
    <mergeCell ref="A636:B636"/>
    <mergeCell ref="C636:D636"/>
    <mergeCell ref="E636:F636"/>
    <mergeCell ref="G636:H636"/>
    <mergeCell ref="I636:J636"/>
    <mergeCell ref="K636:L636"/>
    <mergeCell ref="M636:N636"/>
    <mergeCell ref="O636:P636"/>
    <mergeCell ref="A635:B635"/>
    <mergeCell ref="C635:D635"/>
    <mergeCell ref="E635:F635"/>
    <mergeCell ref="G635:H635"/>
    <mergeCell ref="I635:J635"/>
    <mergeCell ref="K635:L635"/>
    <mergeCell ref="M633:N633"/>
    <mergeCell ref="O633:P633"/>
    <mergeCell ref="A634:B634"/>
    <mergeCell ref="C634:D634"/>
    <mergeCell ref="E634:F634"/>
    <mergeCell ref="G634:H634"/>
    <mergeCell ref="I634:J634"/>
    <mergeCell ref="K634:L634"/>
    <mergeCell ref="M634:N634"/>
    <mergeCell ref="O634:P634"/>
    <mergeCell ref="A633:B633"/>
    <mergeCell ref="C633:D633"/>
    <mergeCell ref="E633:F633"/>
    <mergeCell ref="G633:H633"/>
    <mergeCell ref="I633:J633"/>
    <mergeCell ref="K633:L633"/>
    <mergeCell ref="M631:N631"/>
    <mergeCell ref="O631:P631"/>
    <mergeCell ref="A632:B632"/>
    <mergeCell ref="C632:D632"/>
    <mergeCell ref="E632:F632"/>
    <mergeCell ref="G632:H632"/>
    <mergeCell ref="I632:J632"/>
    <mergeCell ref="K632:L632"/>
    <mergeCell ref="M632:N632"/>
    <mergeCell ref="O632:P632"/>
    <mergeCell ref="A631:B631"/>
    <mergeCell ref="C631:D631"/>
    <mergeCell ref="E631:F631"/>
    <mergeCell ref="G631:H631"/>
    <mergeCell ref="I631:J631"/>
    <mergeCell ref="K631:L631"/>
    <mergeCell ref="M641:N641"/>
    <mergeCell ref="O641:P641"/>
    <mergeCell ref="A642:B642"/>
    <mergeCell ref="C642:D642"/>
    <mergeCell ref="E642:F642"/>
    <mergeCell ref="G642:H642"/>
    <mergeCell ref="I642:J642"/>
    <mergeCell ref="K642:L642"/>
    <mergeCell ref="M642:N642"/>
    <mergeCell ref="O642:P642"/>
    <mergeCell ref="A641:B641"/>
    <mergeCell ref="C641:D641"/>
    <mergeCell ref="E641:F641"/>
    <mergeCell ref="G641:H641"/>
    <mergeCell ref="I641:J641"/>
    <mergeCell ref="K641:L641"/>
    <mergeCell ref="M639:N639"/>
    <mergeCell ref="O639:P639"/>
    <mergeCell ref="A640:B640"/>
    <mergeCell ref="C640:D640"/>
    <mergeCell ref="E640:F640"/>
    <mergeCell ref="G640:H640"/>
    <mergeCell ref="I640:J640"/>
    <mergeCell ref="K640:L640"/>
    <mergeCell ref="M640:N640"/>
    <mergeCell ref="O640:P640"/>
    <mergeCell ref="A639:B639"/>
    <mergeCell ref="C639:D639"/>
    <mergeCell ref="E639:F639"/>
    <mergeCell ref="G639:H639"/>
    <mergeCell ref="I639:J639"/>
    <mergeCell ref="K639:L639"/>
    <mergeCell ref="M637:N637"/>
    <mergeCell ref="O637:P637"/>
    <mergeCell ref="A638:B638"/>
    <mergeCell ref="C638:D638"/>
    <mergeCell ref="E638:F638"/>
    <mergeCell ref="G638:H638"/>
    <mergeCell ref="I638:J638"/>
    <mergeCell ref="K638:L638"/>
    <mergeCell ref="M638:N638"/>
    <mergeCell ref="O638:P638"/>
    <mergeCell ref="A637:B637"/>
    <mergeCell ref="C637:D637"/>
    <mergeCell ref="E637:F637"/>
    <mergeCell ref="G637:H637"/>
    <mergeCell ref="I637:J637"/>
    <mergeCell ref="K637:L637"/>
    <mergeCell ref="M647:N647"/>
    <mergeCell ref="O647:P647"/>
    <mergeCell ref="A648:B648"/>
    <mergeCell ref="C648:D648"/>
    <mergeCell ref="E648:F648"/>
    <mergeCell ref="G648:H648"/>
    <mergeCell ref="I648:J648"/>
    <mergeCell ref="K648:L648"/>
    <mergeCell ref="M648:N648"/>
    <mergeCell ref="O648:P648"/>
    <mergeCell ref="A647:B647"/>
    <mergeCell ref="C647:D647"/>
    <mergeCell ref="E647:F647"/>
    <mergeCell ref="G647:H647"/>
    <mergeCell ref="I647:J647"/>
    <mergeCell ref="K647:L647"/>
    <mergeCell ref="M645:N645"/>
    <mergeCell ref="O645:P645"/>
    <mergeCell ref="A646:B646"/>
    <mergeCell ref="C646:D646"/>
    <mergeCell ref="E646:F646"/>
    <mergeCell ref="G646:H646"/>
    <mergeCell ref="I646:J646"/>
    <mergeCell ref="K646:L646"/>
    <mergeCell ref="M646:N646"/>
    <mergeCell ref="O646:P646"/>
    <mergeCell ref="A645:B645"/>
    <mergeCell ref="C645:D645"/>
    <mergeCell ref="E645:F645"/>
    <mergeCell ref="G645:H645"/>
    <mergeCell ref="I645:J645"/>
    <mergeCell ref="K645:L645"/>
    <mergeCell ref="M643:N643"/>
    <mergeCell ref="O643:P643"/>
    <mergeCell ref="A644:B644"/>
    <mergeCell ref="C644:D644"/>
    <mergeCell ref="E644:F644"/>
    <mergeCell ref="G644:H644"/>
    <mergeCell ref="I644:J644"/>
    <mergeCell ref="K644:L644"/>
    <mergeCell ref="M644:N644"/>
    <mergeCell ref="O644:P644"/>
    <mergeCell ref="A643:B643"/>
    <mergeCell ref="C643:D643"/>
    <mergeCell ref="E643:F643"/>
    <mergeCell ref="G643:H643"/>
    <mergeCell ref="I643:J643"/>
    <mergeCell ref="K643:L643"/>
    <mergeCell ref="M653:N653"/>
    <mergeCell ref="O653:P653"/>
    <mergeCell ref="A654:B654"/>
    <mergeCell ref="C654:D654"/>
    <mergeCell ref="E654:F654"/>
    <mergeCell ref="G654:H654"/>
    <mergeCell ref="I654:J654"/>
    <mergeCell ref="K654:L654"/>
    <mergeCell ref="M654:N654"/>
    <mergeCell ref="O654:P654"/>
    <mergeCell ref="A653:B653"/>
    <mergeCell ref="C653:D653"/>
    <mergeCell ref="E653:F653"/>
    <mergeCell ref="G653:H653"/>
    <mergeCell ref="I653:J653"/>
    <mergeCell ref="K653:L653"/>
    <mergeCell ref="M651:N651"/>
    <mergeCell ref="O651:P651"/>
    <mergeCell ref="A652:B652"/>
    <mergeCell ref="C652:D652"/>
    <mergeCell ref="E652:F652"/>
    <mergeCell ref="G652:H652"/>
    <mergeCell ref="I652:J652"/>
    <mergeCell ref="K652:L652"/>
    <mergeCell ref="M652:N652"/>
    <mergeCell ref="O652:P652"/>
    <mergeCell ref="A651:B651"/>
    <mergeCell ref="C651:D651"/>
    <mergeCell ref="E651:F651"/>
    <mergeCell ref="G651:H651"/>
    <mergeCell ref="I651:J651"/>
    <mergeCell ref="K651:L651"/>
    <mergeCell ref="M649:N649"/>
    <mergeCell ref="O649:P649"/>
    <mergeCell ref="A650:B650"/>
    <mergeCell ref="C650:D650"/>
    <mergeCell ref="E650:F650"/>
    <mergeCell ref="G650:H650"/>
    <mergeCell ref="I650:J650"/>
    <mergeCell ref="K650:L650"/>
    <mergeCell ref="M650:N650"/>
    <mergeCell ref="O650:P650"/>
    <mergeCell ref="A649:B649"/>
    <mergeCell ref="C649:D649"/>
    <mergeCell ref="E649:F649"/>
    <mergeCell ref="G649:H649"/>
    <mergeCell ref="I649:J649"/>
    <mergeCell ref="K649:L649"/>
    <mergeCell ref="M659:N659"/>
    <mergeCell ref="O659:P659"/>
    <mergeCell ref="A660:B660"/>
    <mergeCell ref="C660:D660"/>
    <mergeCell ref="E660:F660"/>
    <mergeCell ref="G660:H660"/>
    <mergeCell ref="I660:J660"/>
    <mergeCell ref="K660:L660"/>
    <mergeCell ref="M660:N660"/>
    <mergeCell ref="O660:P660"/>
    <mergeCell ref="A659:B659"/>
    <mergeCell ref="C659:D659"/>
    <mergeCell ref="E659:F659"/>
    <mergeCell ref="G659:H659"/>
    <mergeCell ref="I659:J659"/>
    <mergeCell ref="K659:L659"/>
    <mergeCell ref="M657:N657"/>
    <mergeCell ref="O657:P657"/>
    <mergeCell ref="A658:B658"/>
    <mergeCell ref="C658:D658"/>
    <mergeCell ref="E658:F658"/>
    <mergeCell ref="G658:H658"/>
    <mergeCell ref="I658:J658"/>
    <mergeCell ref="K658:L658"/>
    <mergeCell ref="M658:N658"/>
    <mergeCell ref="O658:P658"/>
    <mergeCell ref="A657:B657"/>
    <mergeCell ref="C657:D657"/>
    <mergeCell ref="E657:F657"/>
    <mergeCell ref="G657:H657"/>
    <mergeCell ref="I657:J657"/>
    <mergeCell ref="K657:L657"/>
    <mergeCell ref="M655:N655"/>
    <mergeCell ref="O655:P655"/>
    <mergeCell ref="A656:B656"/>
    <mergeCell ref="C656:D656"/>
    <mergeCell ref="E656:F656"/>
    <mergeCell ref="G656:H656"/>
    <mergeCell ref="I656:J656"/>
    <mergeCell ref="K656:L656"/>
    <mergeCell ref="M656:N656"/>
    <mergeCell ref="O656:P656"/>
    <mergeCell ref="A655:B655"/>
    <mergeCell ref="C655:D655"/>
    <mergeCell ref="E655:F655"/>
    <mergeCell ref="G655:H655"/>
    <mergeCell ref="I655:J655"/>
    <mergeCell ref="K655:L655"/>
    <mergeCell ref="M665:N665"/>
    <mergeCell ref="O665:P665"/>
    <mergeCell ref="A666:B666"/>
    <mergeCell ref="C666:D666"/>
    <mergeCell ref="E666:F666"/>
    <mergeCell ref="G666:H666"/>
    <mergeCell ref="I666:J666"/>
    <mergeCell ref="K666:L666"/>
    <mergeCell ref="M666:N666"/>
    <mergeCell ref="O666:P666"/>
    <mergeCell ref="A665:B665"/>
    <mergeCell ref="C665:D665"/>
    <mergeCell ref="E665:F665"/>
    <mergeCell ref="G665:H665"/>
    <mergeCell ref="I665:J665"/>
    <mergeCell ref="K665:L665"/>
    <mergeCell ref="M663:N663"/>
    <mergeCell ref="O663:P663"/>
    <mergeCell ref="A664:B664"/>
    <mergeCell ref="C664:D664"/>
    <mergeCell ref="E664:F664"/>
    <mergeCell ref="G664:H664"/>
    <mergeCell ref="I664:J664"/>
    <mergeCell ref="K664:L664"/>
    <mergeCell ref="M664:N664"/>
    <mergeCell ref="O664:P664"/>
    <mergeCell ref="A663:B663"/>
    <mergeCell ref="C663:D663"/>
    <mergeCell ref="E663:F663"/>
    <mergeCell ref="G663:H663"/>
    <mergeCell ref="I663:J663"/>
    <mergeCell ref="K663:L663"/>
    <mergeCell ref="M661:N661"/>
    <mergeCell ref="O661:P661"/>
    <mergeCell ref="A662:B662"/>
    <mergeCell ref="C662:D662"/>
    <mergeCell ref="E662:F662"/>
    <mergeCell ref="G662:H662"/>
    <mergeCell ref="I662:J662"/>
    <mergeCell ref="K662:L662"/>
    <mergeCell ref="M662:N662"/>
    <mergeCell ref="O662:P662"/>
    <mergeCell ref="A661:B661"/>
    <mergeCell ref="C661:D661"/>
    <mergeCell ref="E661:F661"/>
    <mergeCell ref="G661:H661"/>
    <mergeCell ref="I661:J661"/>
    <mergeCell ref="K661:L661"/>
    <mergeCell ref="M671:N671"/>
    <mergeCell ref="O671:P671"/>
    <mergeCell ref="A672:B672"/>
    <mergeCell ref="C672:D672"/>
    <mergeCell ref="E672:F672"/>
    <mergeCell ref="G672:H672"/>
    <mergeCell ref="I672:J672"/>
    <mergeCell ref="K672:L672"/>
    <mergeCell ref="M672:N672"/>
    <mergeCell ref="O672:P672"/>
    <mergeCell ref="A671:B671"/>
    <mergeCell ref="C671:D671"/>
    <mergeCell ref="E671:F671"/>
    <mergeCell ref="G671:H671"/>
    <mergeCell ref="I671:J671"/>
    <mergeCell ref="K671:L671"/>
    <mergeCell ref="M669:N669"/>
    <mergeCell ref="O669:P669"/>
    <mergeCell ref="A670:B670"/>
    <mergeCell ref="C670:D670"/>
    <mergeCell ref="E670:F670"/>
    <mergeCell ref="G670:H670"/>
    <mergeCell ref="I670:J670"/>
    <mergeCell ref="K670:L670"/>
    <mergeCell ref="M670:N670"/>
    <mergeCell ref="O670:P670"/>
    <mergeCell ref="A669:B669"/>
    <mergeCell ref="C669:D669"/>
    <mergeCell ref="E669:F669"/>
    <mergeCell ref="G669:H669"/>
    <mergeCell ref="I669:J669"/>
    <mergeCell ref="K669:L669"/>
    <mergeCell ref="M667:N667"/>
    <mergeCell ref="O667:P667"/>
    <mergeCell ref="A668:B668"/>
    <mergeCell ref="C668:D668"/>
    <mergeCell ref="E668:F668"/>
    <mergeCell ref="G668:H668"/>
    <mergeCell ref="I668:J668"/>
    <mergeCell ref="K668:L668"/>
    <mergeCell ref="M668:N668"/>
    <mergeCell ref="O668:P668"/>
    <mergeCell ref="A667:B667"/>
    <mergeCell ref="C667:D667"/>
    <mergeCell ref="E667:F667"/>
    <mergeCell ref="G667:H667"/>
    <mergeCell ref="I667:J667"/>
    <mergeCell ref="K667:L667"/>
    <mergeCell ref="M677:N677"/>
    <mergeCell ref="O677:P677"/>
    <mergeCell ref="A678:B678"/>
    <mergeCell ref="C678:D678"/>
    <mergeCell ref="E678:F678"/>
    <mergeCell ref="G678:H678"/>
    <mergeCell ref="I678:J678"/>
    <mergeCell ref="K678:L678"/>
    <mergeCell ref="M678:N678"/>
    <mergeCell ref="O678:P678"/>
    <mergeCell ref="A677:B677"/>
    <mergeCell ref="C677:D677"/>
    <mergeCell ref="E677:F677"/>
    <mergeCell ref="G677:H677"/>
    <mergeCell ref="I677:J677"/>
    <mergeCell ref="K677:L677"/>
    <mergeCell ref="M675:N675"/>
    <mergeCell ref="O675:P675"/>
    <mergeCell ref="A676:B676"/>
    <mergeCell ref="C676:D676"/>
    <mergeCell ref="E676:F676"/>
    <mergeCell ref="G676:H676"/>
    <mergeCell ref="I676:J676"/>
    <mergeCell ref="K676:L676"/>
    <mergeCell ref="M676:N676"/>
    <mergeCell ref="O676:P676"/>
    <mergeCell ref="A675:B675"/>
    <mergeCell ref="C675:D675"/>
    <mergeCell ref="E675:F675"/>
    <mergeCell ref="G675:H675"/>
    <mergeCell ref="I675:J675"/>
    <mergeCell ref="K675:L675"/>
    <mergeCell ref="M673:N673"/>
    <mergeCell ref="O673:P673"/>
    <mergeCell ref="A674:B674"/>
    <mergeCell ref="C674:D674"/>
    <mergeCell ref="E674:F674"/>
    <mergeCell ref="G674:H674"/>
    <mergeCell ref="I674:J674"/>
    <mergeCell ref="K674:L674"/>
    <mergeCell ref="M674:N674"/>
    <mergeCell ref="O674:P674"/>
    <mergeCell ref="A673:B673"/>
    <mergeCell ref="C673:D673"/>
    <mergeCell ref="E673:F673"/>
    <mergeCell ref="G673:H673"/>
    <mergeCell ref="I673:J673"/>
    <mergeCell ref="K673:L673"/>
    <mergeCell ref="M683:N683"/>
    <mergeCell ref="O683:P683"/>
    <mergeCell ref="A684:B684"/>
    <mergeCell ref="C684:D684"/>
    <mergeCell ref="E684:F684"/>
    <mergeCell ref="G684:H684"/>
    <mergeCell ref="I684:J684"/>
    <mergeCell ref="K684:L684"/>
    <mergeCell ref="M684:N684"/>
    <mergeCell ref="O684:P684"/>
    <mergeCell ref="A683:B683"/>
    <mergeCell ref="C683:D683"/>
    <mergeCell ref="E683:F683"/>
    <mergeCell ref="G683:H683"/>
    <mergeCell ref="I683:J683"/>
    <mergeCell ref="K683:L683"/>
    <mergeCell ref="M681:N681"/>
    <mergeCell ref="O681:P681"/>
    <mergeCell ref="A682:B682"/>
    <mergeCell ref="C682:D682"/>
    <mergeCell ref="E682:F682"/>
    <mergeCell ref="G682:H682"/>
    <mergeCell ref="I682:J682"/>
    <mergeCell ref="K682:L682"/>
    <mergeCell ref="M682:N682"/>
    <mergeCell ref="O682:P682"/>
    <mergeCell ref="A681:B681"/>
    <mergeCell ref="C681:D681"/>
    <mergeCell ref="E681:F681"/>
    <mergeCell ref="G681:H681"/>
    <mergeCell ref="I681:J681"/>
    <mergeCell ref="K681:L681"/>
    <mergeCell ref="M679:N679"/>
    <mergeCell ref="O679:P679"/>
    <mergeCell ref="A680:B680"/>
    <mergeCell ref="C680:D680"/>
    <mergeCell ref="E680:F680"/>
    <mergeCell ref="G680:H680"/>
    <mergeCell ref="I680:J680"/>
    <mergeCell ref="K680:L680"/>
    <mergeCell ref="M680:N680"/>
    <mergeCell ref="O680:P680"/>
    <mergeCell ref="A679:B679"/>
    <mergeCell ref="C679:D679"/>
    <mergeCell ref="E679:F679"/>
    <mergeCell ref="G679:H679"/>
    <mergeCell ref="I679:J679"/>
    <mergeCell ref="K679:L679"/>
    <mergeCell ref="M689:N689"/>
    <mergeCell ref="O689:P689"/>
    <mergeCell ref="A690:B690"/>
    <mergeCell ref="C690:D690"/>
    <mergeCell ref="E690:F690"/>
    <mergeCell ref="G690:H690"/>
    <mergeCell ref="I690:J690"/>
    <mergeCell ref="K690:L690"/>
    <mergeCell ref="M690:N690"/>
    <mergeCell ref="O690:P690"/>
    <mergeCell ref="A689:B689"/>
    <mergeCell ref="C689:D689"/>
    <mergeCell ref="E689:F689"/>
    <mergeCell ref="G689:H689"/>
    <mergeCell ref="I689:J689"/>
    <mergeCell ref="K689:L689"/>
    <mergeCell ref="M687:N687"/>
    <mergeCell ref="O687:P687"/>
    <mergeCell ref="A688:B688"/>
    <mergeCell ref="C688:D688"/>
    <mergeCell ref="E688:F688"/>
    <mergeCell ref="G688:H688"/>
    <mergeCell ref="I688:J688"/>
    <mergeCell ref="K688:L688"/>
    <mergeCell ref="M688:N688"/>
    <mergeCell ref="O688:P688"/>
    <mergeCell ref="A687:B687"/>
    <mergeCell ref="C687:D687"/>
    <mergeCell ref="E687:F687"/>
    <mergeCell ref="G687:H687"/>
    <mergeCell ref="I687:J687"/>
    <mergeCell ref="K687:L687"/>
    <mergeCell ref="M685:N685"/>
    <mergeCell ref="O685:P685"/>
    <mergeCell ref="A686:B686"/>
    <mergeCell ref="C686:D686"/>
    <mergeCell ref="E686:F686"/>
    <mergeCell ref="G686:H686"/>
    <mergeCell ref="I686:J686"/>
    <mergeCell ref="K686:L686"/>
    <mergeCell ref="M686:N686"/>
    <mergeCell ref="O686:P686"/>
    <mergeCell ref="A685:B685"/>
    <mergeCell ref="C685:D685"/>
    <mergeCell ref="E685:F685"/>
    <mergeCell ref="G685:H685"/>
    <mergeCell ref="I685:J685"/>
    <mergeCell ref="K685:L685"/>
    <mergeCell ref="M695:N695"/>
    <mergeCell ref="O695:P695"/>
    <mergeCell ref="A696:B696"/>
    <mergeCell ref="C696:D696"/>
    <mergeCell ref="E696:F696"/>
    <mergeCell ref="G696:H696"/>
    <mergeCell ref="I696:J696"/>
    <mergeCell ref="K696:L696"/>
    <mergeCell ref="M696:N696"/>
    <mergeCell ref="O696:P696"/>
    <mergeCell ref="A695:B695"/>
    <mergeCell ref="C695:D695"/>
    <mergeCell ref="E695:F695"/>
    <mergeCell ref="G695:H695"/>
    <mergeCell ref="I695:J695"/>
    <mergeCell ref="K695:L695"/>
    <mergeCell ref="M693:N693"/>
    <mergeCell ref="O693:P693"/>
    <mergeCell ref="A694:B694"/>
    <mergeCell ref="C694:D694"/>
    <mergeCell ref="E694:F694"/>
    <mergeCell ref="G694:H694"/>
    <mergeCell ref="I694:J694"/>
    <mergeCell ref="K694:L694"/>
    <mergeCell ref="M694:N694"/>
    <mergeCell ref="O694:P694"/>
    <mergeCell ref="A693:B693"/>
    <mergeCell ref="C693:D693"/>
    <mergeCell ref="E693:F693"/>
    <mergeCell ref="G693:H693"/>
    <mergeCell ref="I693:J693"/>
    <mergeCell ref="K693:L693"/>
    <mergeCell ref="M691:N691"/>
    <mergeCell ref="O691:P691"/>
    <mergeCell ref="A692:B692"/>
    <mergeCell ref="C692:D692"/>
    <mergeCell ref="E692:F692"/>
    <mergeCell ref="G692:H692"/>
    <mergeCell ref="I692:J692"/>
    <mergeCell ref="K692:L692"/>
    <mergeCell ref="M692:N692"/>
    <mergeCell ref="O692:P692"/>
    <mergeCell ref="A691:B691"/>
    <mergeCell ref="C691:D691"/>
    <mergeCell ref="E691:F691"/>
    <mergeCell ref="G691:H691"/>
    <mergeCell ref="I691:J691"/>
    <mergeCell ref="K691:L691"/>
    <mergeCell ref="M701:N701"/>
    <mergeCell ref="O701:P701"/>
    <mergeCell ref="A702:B702"/>
    <mergeCell ref="C702:D702"/>
    <mergeCell ref="E702:F702"/>
    <mergeCell ref="G702:H702"/>
    <mergeCell ref="I702:J702"/>
    <mergeCell ref="K702:L702"/>
    <mergeCell ref="M702:N702"/>
    <mergeCell ref="O702:P702"/>
    <mergeCell ref="A701:B701"/>
    <mergeCell ref="C701:D701"/>
    <mergeCell ref="E701:F701"/>
    <mergeCell ref="G701:H701"/>
    <mergeCell ref="I701:J701"/>
    <mergeCell ref="K701:L701"/>
    <mergeCell ref="M699:N699"/>
    <mergeCell ref="O699:P699"/>
    <mergeCell ref="A700:B700"/>
    <mergeCell ref="C700:D700"/>
    <mergeCell ref="E700:F700"/>
    <mergeCell ref="G700:H700"/>
    <mergeCell ref="I700:J700"/>
    <mergeCell ref="K700:L700"/>
    <mergeCell ref="M700:N700"/>
    <mergeCell ref="O700:P700"/>
    <mergeCell ref="A699:B699"/>
    <mergeCell ref="C699:D699"/>
    <mergeCell ref="E699:F699"/>
    <mergeCell ref="G699:H699"/>
    <mergeCell ref="I699:J699"/>
    <mergeCell ref="K699:L699"/>
    <mergeCell ref="M697:N697"/>
    <mergeCell ref="O697:P697"/>
    <mergeCell ref="A698:B698"/>
    <mergeCell ref="C698:D698"/>
    <mergeCell ref="E698:F698"/>
    <mergeCell ref="G698:H698"/>
    <mergeCell ref="I698:J698"/>
    <mergeCell ref="K698:L698"/>
    <mergeCell ref="M698:N698"/>
    <mergeCell ref="O698:P698"/>
    <mergeCell ref="A697:B697"/>
    <mergeCell ref="C697:D697"/>
    <mergeCell ref="E697:F697"/>
    <mergeCell ref="G697:H697"/>
    <mergeCell ref="I697:J697"/>
    <mergeCell ref="K697:L697"/>
    <mergeCell ref="M707:N707"/>
    <mergeCell ref="O707:P707"/>
    <mergeCell ref="A708:B708"/>
    <mergeCell ref="C708:D708"/>
    <mergeCell ref="E708:F708"/>
    <mergeCell ref="G708:H708"/>
    <mergeCell ref="I708:J708"/>
    <mergeCell ref="K708:L708"/>
    <mergeCell ref="M708:N708"/>
    <mergeCell ref="O708:P708"/>
    <mergeCell ref="A707:B707"/>
    <mergeCell ref="C707:D707"/>
    <mergeCell ref="E707:F707"/>
    <mergeCell ref="G707:H707"/>
    <mergeCell ref="I707:J707"/>
    <mergeCell ref="K707:L707"/>
    <mergeCell ref="M705:N705"/>
    <mergeCell ref="O705:P705"/>
    <mergeCell ref="A706:B706"/>
    <mergeCell ref="C706:D706"/>
    <mergeCell ref="E706:F706"/>
    <mergeCell ref="G706:H706"/>
    <mergeCell ref="I706:J706"/>
    <mergeCell ref="K706:L706"/>
    <mergeCell ref="M706:N706"/>
    <mergeCell ref="O706:P706"/>
    <mergeCell ref="A705:B705"/>
    <mergeCell ref="C705:D705"/>
    <mergeCell ref="E705:F705"/>
    <mergeCell ref="G705:H705"/>
    <mergeCell ref="I705:J705"/>
    <mergeCell ref="K705:L705"/>
    <mergeCell ref="M703:N703"/>
    <mergeCell ref="O703:P703"/>
    <mergeCell ref="A704:B704"/>
    <mergeCell ref="C704:D704"/>
    <mergeCell ref="E704:F704"/>
    <mergeCell ref="G704:H704"/>
    <mergeCell ref="I704:J704"/>
    <mergeCell ref="K704:L704"/>
    <mergeCell ref="M704:N704"/>
    <mergeCell ref="O704:P704"/>
    <mergeCell ref="A703:B703"/>
    <mergeCell ref="C703:D703"/>
    <mergeCell ref="E703:F703"/>
    <mergeCell ref="G703:H703"/>
    <mergeCell ref="I703:J703"/>
    <mergeCell ref="K703:L703"/>
    <mergeCell ref="M713:N713"/>
    <mergeCell ref="O713:P713"/>
    <mergeCell ref="A714:B714"/>
    <mergeCell ref="C714:D714"/>
    <mergeCell ref="E714:F714"/>
    <mergeCell ref="G714:H714"/>
    <mergeCell ref="I714:J714"/>
    <mergeCell ref="K714:L714"/>
    <mergeCell ref="M714:N714"/>
    <mergeCell ref="O714:P714"/>
    <mergeCell ref="A713:B713"/>
    <mergeCell ref="C713:D713"/>
    <mergeCell ref="E713:F713"/>
    <mergeCell ref="G713:H713"/>
    <mergeCell ref="I713:J713"/>
    <mergeCell ref="K713:L713"/>
    <mergeCell ref="M711:N711"/>
    <mergeCell ref="O711:P711"/>
    <mergeCell ref="A712:B712"/>
    <mergeCell ref="C712:D712"/>
    <mergeCell ref="E712:F712"/>
    <mergeCell ref="G712:H712"/>
    <mergeCell ref="I712:J712"/>
    <mergeCell ref="K712:L712"/>
    <mergeCell ref="M712:N712"/>
    <mergeCell ref="O712:P712"/>
    <mergeCell ref="A711:B711"/>
    <mergeCell ref="C711:D711"/>
    <mergeCell ref="E711:F711"/>
    <mergeCell ref="G711:H711"/>
    <mergeCell ref="I711:J711"/>
    <mergeCell ref="K711:L711"/>
    <mergeCell ref="M709:N709"/>
    <mergeCell ref="O709:P709"/>
    <mergeCell ref="A710:B710"/>
    <mergeCell ref="C710:D710"/>
    <mergeCell ref="E710:F710"/>
    <mergeCell ref="G710:H710"/>
    <mergeCell ref="I710:J710"/>
    <mergeCell ref="K710:L710"/>
    <mergeCell ref="M710:N710"/>
    <mergeCell ref="O710:P710"/>
    <mergeCell ref="A709:B709"/>
    <mergeCell ref="C709:D709"/>
    <mergeCell ref="E709:F709"/>
    <mergeCell ref="G709:H709"/>
    <mergeCell ref="I709:J709"/>
    <mergeCell ref="K709:L709"/>
    <mergeCell ref="M719:N719"/>
    <mergeCell ref="O719:P719"/>
    <mergeCell ref="A720:B720"/>
    <mergeCell ref="C720:D720"/>
    <mergeCell ref="E720:F720"/>
    <mergeCell ref="G720:H720"/>
    <mergeCell ref="I720:J720"/>
    <mergeCell ref="K720:L720"/>
    <mergeCell ref="M720:N720"/>
    <mergeCell ref="O720:P720"/>
    <mergeCell ref="A719:B719"/>
    <mergeCell ref="C719:D719"/>
    <mergeCell ref="E719:F719"/>
    <mergeCell ref="G719:H719"/>
    <mergeCell ref="I719:J719"/>
    <mergeCell ref="K719:L719"/>
    <mergeCell ref="M717:N717"/>
    <mergeCell ref="O717:P717"/>
    <mergeCell ref="A718:B718"/>
    <mergeCell ref="C718:D718"/>
    <mergeCell ref="E718:F718"/>
    <mergeCell ref="G718:H718"/>
    <mergeCell ref="I718:J718"/>
    <mergeCell ref="K718:L718"/>
    <mergeCell ref="M718:N718"/>
    <mergeCell ref="O718:P718"/>
    <mergeCell ref="A717:B717"/>
    <mergeCell ref="C717:D717"/>
    <mergeCell ref="E717:F717"/>
    <mergeCell ref="G717:H717"/>
    <mergeCell ref="I717:J717"/>
    <mergeCell ref="K717:L717"/>
    <mergeCell ref="M715:N715"/>
    <mergeCell ref="O715:P715"/>
    <mergeCell ref="A716:B716"/>
    <mergeCell ref="C716:D716"/>
    <mergeCell ref="E716:F716"/>
    <mergeCell ref="G716:H716"/>
    <mergeCell ref="I716:J716"/>
    <mergeCell ref="K716:L716"/>
    <mergeCell ref="M716:N716"/>
    <mergeCell ref="O716:P716"/>
    <mergeCell ref="A715:B715"/>
    <mergeCell ref="C715:D715"/>
    <mergeCell ref="E715:F715"/>
    <mergeCell ref="G715:H715"/>
    <mergeCell ref="I715:J715"/>
    <mergeCell ref="K715:L715"/>
    <mergeCell ref="M725:N725"/>
    <mergeCell ref="O725:P725"/>
    <mergeCell ref="A726:B726"/>
    <mergeCell ref="C726:D726"/>
    <mergeCell ref="E726:F726"/>
    <mergeCell ref="G726:H726"/>
    <mergeCell ref="I726:J726"/>
    <mergeCell ref="K726:L726"/>
    <mergeCell ref="M726:N726"/>
    <mergeCell ref="O726:P726"/>
    <mergeCell ref="A725:B725"/>
    <mergeCell ref="C725:D725"/>
    <mergeCell ref="E725:F725"/>
    <mergeCell ref="G725:H725"/>
    <mergeCell ref="I725:J725"/>
    <mergeCell ref="K725:L725"/>
    <mergeCell ref="M723:N723"/>
    <mergeCell ref="O723:P723"/>
    <mergeCell ref="A724:B724"/>
    <mergeCell ref="C724:D724"/>
    <mergeCell ref="E724:F724"/>
    <mergeCell ref="G724:H724"/>
    <mergeCell ref="I724:J724"/>
    <mergeCell ref="K724:L724"/>
    <mergeCell ref="M724:N724"/>
    <mergeCell ref="O724:P724"/>
    <mergeCell ref="A723:B723"/>
    <mergeCell ref="C723:D723"/>
    <mergeCell ref="E723:F723"/>
    <mergeCell ref="G723:H723"/>
    <mergeCell ref="I723:J723"/>
    <mergeCell ref="K723:L723"/>
    <mergeCell ref="M721:N721"/>
    <mergeCell ref="O721:P721"/>
    <mergeCell ref="A722:B722"/>
    <mergeCell ref="C722:D722"/>
    <mergeCell ref="E722:F722"/>
    <mergeCell ref="G722:H722"/>
    <mergeCell ref="I722:J722"/>
    <mergeCell ref="K722:L722"/>
    <mergeCell ref="M722:N722"/>
    <mergeCell ref="O722:P722"/>
    <mergeCell ref="A721:B721"/>
    <mergeCell ref="C721:D721"/>
    <mergeCell ref="E721:F721"/>
    <mergeCell ref="G721:H721"/>
    <mergeCell ref="I721:J721"/>
    <mergeCell ref="K721:L721"/>
    <mergeCell ref="M731:N731"/>
    <mergeCell ref="O731:P731"/>
    <mergeCell ref="A732:B732"/>
    <mergeCell ref="C732:D732"/>
    <mergeCell ref="E732:F732"/>
    <mergeCell ref="G732:H732"/>
    <mergeCell ref="I732:J732"/>
    <mergeCell ref="K732:L732"/>
    <mergeCell ref="M732:N732"/>
    <mergeCell ref="O732:P732"/>
    <mergeCell ref="A731:B731"/>
    <mergeCell ref="C731:D731"/>
    <mergeCell ref="E731:F731"/>
    <mergeCell ref="G731:H731"/>
    <mergeCell ref="I731:J731"/>
    <mergeCell ref="K731:L731"/>
    <mergeCell ref="M729:N729"/>
    <mergeCell ref="O729:P729"/>
    <mergeCell ref="A730:B730"/>
    <mergeCell ref="C730:D730"/>
    <mergeCell ref="E730:F730"/>
    <mergeCell ref="G730:H730"/>
    <mergeCell ref="I730:J730"/>
    <mergeCell ref="K730:L730"/>
    <mergeCell ref="M730:N730"/>
    <mergeCell ref="O730:P730"/>
    <mergeCell ref="A729:B729"/>
    <mergeCell ref="C729:D729"/>
    <mergeCell ref="E729:F729"/>
    <mergeCell ref="G729:H729"/>
    <mergeCell ref="I729:J729"/>
    <mergeCell ref="K729:L729"/>
    <mergeCell ref="M727:N727"/>
    <mergeCell ref="O727:P727"/>
    <mergeCell ref="A728:B728"/>
    <mergeCell ref="C728:D728"/>
    <mergeCell ref="E728:F728"/>
    <mergeCell ref="G728:H728"/>
    <mergeCell ref="I728:J728"/>
    <mergeCell ref="K728:L728"/>
    <mergeCell ref="M728:N728"/>
    <mergeCell ref="O728:P728"/>
    <mergeCell ref="A727:B727"/>
    <mergeCell ref="C727:D727"/>
    <mergeCell ref="E727:F727"/>
    <mergeCell ref="G727:H727"/>
    <mergeCell ref="I727:J727"/>
    <mergeCell ref="K727:L727"/>
    <mergeCell ref="M737:N737"/>
    <mergeCell ref="O737:P737"/>
    <mergeCell ref="A738:B738"/>
    <mergeCell ref="C738:D738"/>
    <mergeCell ref="E738:F738"/>
    <mergeCell ref="G738:H738"/>
    <mergeCell ref="I738:J738"/>
    <mergeCell ref="K738:L738"/>
    <mergeCell ref="M738:N738"/>
    <mergeCell ref="O738:P738"/>
    <mergeCell ref="A737:B737"/>
    <mergeCell ref="C737:D737"/>
    <mergeCell ref="E737:F737"/>
    <mergeCell ref="G737:H737"/>
    <mergeCell ref="I737:J737"/>
    <mergeCell ref="K737:L737"/>
    <mergeCell ref="M735:N735"/>
    <mergeCell ref="O735:P735"/>
    <mergeCell ref="A736:B736"/>
    <mergeCell ref="C736:D736"/>
    <mergeCell ref="E736:F736"/>
    <mergeCell ref="G736:H736"/>
    <mergeCell ref="I736:J736"/>
    <mergeCell ref="K736:L736"/>
    <mergeCell ref="M736:N736"/>
    <mergeCell ref="O736:P736"/>
    <mergeCell ref="A735:B735"/>
    <mergeCell ref="C735:D735"/>
    <mergeCell ref="E735:F735"/>
    <mergeCell ref="G735:H735"/>
    <mergeCell ref="I735:J735"/>
    <mergeCell ref="K735:L735"/>
    <mergeCell ref="M733:N733"/>
    <mergeCell ref="O733:P733"/>
    <mergeCell ref="A734:B734"/>
    <mergeCell ref="C734:D734"/>
    <mergeCell ref="E734:F734"/>
    <mergeCell ref="G734:H734"/>
    <mergeCell ref="I734:J734"/>
    <mergeCell ref="K734:L734"/>
    <mergeCell ref="M734:N734"/>
    <mergeCell ref="O734:P734"/>
    <mergeCell ref="A733:B733"/>
    <mergeCell ref="C733:D733"/>
    <mergeCell ref="E733:F733"/>
    <mergeCell ref="G733:H733"/>
    <mergeCell ref="I733:J733"/>
    <mergeCell ref="K733:L733"/>
    <mergeCell ref="M743:N743"/>
    <mergeCell ref="O743:P743"/>
    <mergeCell ref="A744:B744"/>
    <mergeCell ref="C744:D744"/>
    <mergeCell ref="E744:F744"/>
    <mergeCell ref="G744:H744"/>
    <mergeCell ref="I744:J744"/>
    <mergeCell ref="K744:L744"/>
    <mergeCell ref="M744:N744"/>
    <mergeCell ref="O744:P744"/>
    <mergeCell ref="A743:B743"/>
    <mergeCell ref="C743:D743"/>
    <mergeCell ref="E743:F743"/>
    <mergeCell ref="G743:H743"/>
    <mergeCell ref="I743:J743"/>
    <mergeCell ref="K743:L743"/>
    <mergeCell ref="M741:N741"/>
    <mergeCell ref="O741:P741"/>
    <mergeCell ref="A742:B742"/>
    <mergeCell ref="C742:D742"/>
    <mergeCell ref="E742:F742"/>
    <mergeCell ref="G742:H742"/>
    <mergeCell ref="I742:J742"/>
    <mergeCell ref="K742:L742"/>
    <mergeCell ref="M742:N742"/>
    <mergeCell ref="O742:P742"/>
    <mergeCell ref="A741:B741"/>
    <mergeCell ref="C741:D741"/>
    <mergeCell ref="E741:F741"/>
    <mergeCell ref="G741:H741"/>
    <mergeCell ref="I741:J741"/>
    <mergeCell ref="K741:L741"/>
    <mergeCell ref="M739:N739"/>
    <mergeCell ref="O739:P739"/>
    <mergeCell ref="A740:B740"/>
    <mergeCell ref="C740:D740"/>
    <mergeCell ref="E740:F740"/>
    <mergeCell ref="G740:H740"/>
    <mergeCell ref="I740:J740"/>
    <mergeCell ref="K740:L740"/>
    <mergeCell ref="M740:N740"/>
    <mergeCell ref="O740:P740"/>
    <mergeCell ref="A739:B739"/>
    <mergeCell ref="C739:D739"/>
    <mergeCell ref="E739:F739"/>
    <mergeCell ref="G739:H739"/>
    <mergeCell ref="I739:J739"/>
    <mergeCell ref="K739:L739"/>
    <mergeCell ref="M749:N749"/>
    <mergeCell ref="O749:P749"/>
    <mergeCell ref="A750:B750"/>
    <mergeCell ref="C750:D750"/>
    <mergeCell ref="E750:F750"/>
    <mergeCell ref="G750:H750"/>
    <mergeCell ref="I750:J750"/>
    <mergeCell ref="K750:L750"/>
    <mergeCell ref="M750:N750"/>
    <mergeCell ref="O750:P750"/>
    <mergeCell ref="A749:B749"/>
    <mergeCell ref="C749:D749"/>
    <mergeCell ref="E749:F749"/>
    <mergeCell ref="G749:H749"/>
    <mergeCell ref="I749:J749"/>
    <mergeCell ref="K749:L749"/>
    <mergeCell ref="M747:N747"/>
    <mergeCell ref="O747:P747"/>
    <mergeCell ref="A748:B748"/>
    <mergeCell ref="C748:D748"/>
    <mergeCell ref="E748:F748"/>
    <mergeCell ref="G748:H748"/>
    <mergeCell ref="I748:J748"/>
    <mergeCell ref="K748:L748"/>
    <mergeCell ref="M748:N748"/>
    <mergeCell ref="O748:P748"/>
    <mergeCell ref="A747:B747"/>
    <mergeCell ref="C747:D747"/>
    <mergeCell ref="E747:F747"/>
    <mergeCell ref="G747:H747"/>
    <mergeCell ref="I747:J747"/>
    <mergeCell ref="K747:L747"/>
    <mergeCell ref="M745:N745"/>
    <mergeCell ref="O745:P745"/>
    <mergeCell ref="A746:B746"/>
    <mergeCell ref="C746:D746"/>
    <mergeCell ref="E746:F746"/>
    <mergeCell ref="G746:H746"/>
    <mergeCell ref="I746:J746"/>
    <mergeCell ref="K746:L746"/>
    <mergeCell ref="M746:N746"/>
    <mergeCell ref="O746:P746"/>
    <mergeCell ref="A745:B745"/>
    <mergeCell ref="C745:D745"/>
    <mergeCell ref="E745:F745"/>
    <mergeCell ref="G745:H745"/>
    <mergeCell ref="I745:J745"/>
    <mergeCell ref="K745:L745"/>
    <mergeCell ref="M755:N755"/>
    <mergeCell ref="O755:P755"/>
    <mergeCell ref="A756:B756"/>
    <mergeCell ref="C756:D756"/>
    <mergeCell ref="E756:F756"/>
    <mergeCell ref="G756:H756"/>
    <mergeCell ref="I756:J756"/>
    <mergeCell ref="K756:L756"/>
    <mergeCell ref="M756:N756"/>
    <mergeCell ref="O756:P756"/>
    <mergeCell ref="A755:B755"/>
    <mergeCell ref="C755:D755"/>
    <mergeCell ref="E755:F755"/>
    <mergeCell ref="G755:H755"/>
    <mergeCell ref="I755:J755"/>
    <mergeCell ref="K755:L755"/>
    <mergeCell ref="M753:N753"/>
    <mergeCell ref="O753:P753"/>
    <mergeCell ref="A754:B754"/>
    <mergeCell ref="C754:D754"/>
    <mergeCell ref="E754:F754"/>
    <mergeCell ref="G754:H754"/>
    <mergeCell ref="I754:J754"/>
    <mergeCell ref="K754:L754"/>
    <mergeCell ref="M754:N754"/>
    <mergeCell ref="O754:P754"/>
    <mergeCell ref="A753:B753"/>
    <mergeCell ref="C753:D753"/>
    <mergeCell ref="E753:F753"/>
    <mergeCell ref="G753:H753"/>
    <mergeCell ref="I753:J753"/>
    <mergeCell ref="K753:L753"/>
    <mergeCell ref="M751:N751"/>
    <mergeCell ref="O751:P751"/>
    <mergeCell ref="A752:B752"/>
    <mergeCell ref="C752:D752"/>
    <mergeCell ref="E752:F752"/>
    <mergeCell ref="G752:H752"/>
    <mergeCell ref="I752:J752"/>
    <mergeCell ref="K752:L752"/>
    <mergeCell ref="M752:N752"/>
    <mergeCell ref="O752:P752"/>
    <mergeCell ref="A751:B751"/>
    <mergeCell ref="C751:D751"/>
    <mergeCell ref="E751:F751"/>
    <mergeCell ref="G751:H751"/>
    <mergeCell ref="I751:J751"/>
    <mergeCell ref="K751:L751"/>
    <mergeCell ref="M761:N761"/>
    <mergeCell ref="O761:P761"/>
    <mergeCell ref="A762:B762"/>
    <mergeCell ref="C762:D762"/>
    <mergeCell ref="E762:F762"/>
    <mergeCell ref="G762:H762"/>
    <mergeCell ref="I762:J762"/>
    <mergeCell ref="K762:L762"/>
    <mergeCell ref="M762:N762"/>
    <mergeCell ref="O762:P762"/>
    <mergeCell ref="A761:B761"/>
    <mergeCell ref="C761:D761"/>
    <mergeCell ref="E761:F761"/>
    <mergeCell ref="G761:H761"/>
    <mergeCell ref="I761:J761"/>
    <mergeCell ref="K761:L761"/>
    <mergeCell ref="M759:N759"/>
    <mergeCell ref="O759:P759"/>
    <mergeCell ref="A760:B760"/>
    <mergeCell ref="C760:D760"/>
    <mergeCell ref="E760:F760"/>
    <mergeCell ref="G760:H760"/>
    <mergeCell ref="I760:J760"/>
    <mergeCell ref="K760:L760"/>
    <mergeCell ref="M760:N760"/>
    <mergeCell ref="O760:P760"/>
    <mergeCell ref="A759:B759"/>
    <mergeCell ref="C759:D759"/>
    <mergeCell ref="E759:F759"/>
    <mergeCell ref="G759:H759"/>
    <mergeCell ref="I759:J759"/>
    <mergeCell ref="K759:L759"/>
    <mergeCell ref="M757:N757"/>
    <mergeCell ref="O757:P757"/>
    <mergeCell ref="A758:B758"/>
    <mergeCell ref="C758:D758"/>
    <mergeCell ref="E758:F758"/>
    <mergeCell ref="G758:H758"/>
    <mergeCell ref="I758:J758"/>
    <mergeCell ref="K758:L758"/>
    <mergeCell ref="M758:N758"/>
    <mergeCell ref="O758:P758"/>
    <mergeCell ref="A757:B757"/>
    <mergeCell ref="C757:D757"/>
    <mergeCell ref="E757:F757"/>
    <mergeCell ref="G757:H757"/>
    <mergeCell ref="I757:J757"/>
    <mergeCell ref="K757:L757"/>
    <mergeCell ref="M767:N767"/>
    <mergeCell ref="O767:P767"/>
    <mergeCell ref="A768:B768"/>
    <mergeCell ref="C768:D768"/>
    <mergeCell ref="E768:F768"/>
    <mergeCell ref="G768:H768"/>
    <mergeCell ref="I768:J768"/>
    <mergeCell ref="K768:L768"/>
    <mergeCell ref="M768:N768"/>
    <mergeCell ref="O768:P768"/>
    <mergeCell ref="A767:B767"/>
    <mergeCell ref="C767:D767"/>
    <mergeCell ref="E767:F767"/>
    <mergeCell ref="G767:H767"/>
    <mergeCell ref="I767:J767"/>
    <mergeCell ref="K767:L767"/>
    <mergeCell ref="M765:N765"/>
    <mergeCell ref="O765:P765"/>
    <mergeCell ref="A766:B766"/>
    <mergeCell ref="C766:D766"/>
    <mergeCell ref="E766:F766"/>
    <mergeCell ref="G766:H766"/>
    <mergeCell ref="I766:J766"/>
    <mergeCell ref="K766:L766"/>
    <mergeCell ref="M766:N766"/>
    <mergeCell ref="O766:P766"/>
    <mergeCell ref="A765:B765"/>
    <mergeCell ref="C765:D765"/>
    <mergeCell ref="E765:F765"/>
    <mergeCell ref="G765:H765"/>
    <mergeCell ref="I765:J765"/>
    <mergeCell ref="K765:L765"/>
    <mergeCell ref="M763:N763"/>
    <mergeCell ref="O763:P763"/>
    <mergeCell ref="A764:B764"/>
    <mergeCell ref="C764:D764"/>
    <mergeCell ref="E764:F764"/>
    <mergeCell ref="G764:H764"/>
    <mergeCell ref="I764:J764"/>
    <mergeCell ref="K764:L764"/>
    <mergeCell ref="M764:N764"/>
    <mergeCell ref="O764:P764"/>
    <mergeCell ref="A763:B763"/>
    <mergeCell ref="C763:D763"/>
    <mergeCell ref="E763:F763"/>
    <mergeCell ref="G763:H763"/>
    <mergeCell ref="I763:J763"/>
    <mergeCell ref="K763:L763"/>
    <mergeCell ref="M773:N773"/>
    <mergeCell ref="O773:P773"/>
    <mergeCell ref="A774:B774"/>
    <mergeCell ref="C774:D774"/>
    <mergeCell ref="E774:F774"/>
    <mergeCell ref="G774:H774"/>
    <mergeCell ref="I774:J774"/>
    <mergeCell ref="K774:L774"/>
    <mergeCell ref="M774:N774"/>
    <mergeCell ref="O774:P774"/>
    <mergeCell ref="A773:B773"/>
    <mergeCell ref="C773:D773"/>
    <mergeCell ref="E773:F773"/>
    <mergeCell ref="G773:H773"/>
    <mergeCell ref="I773:J773"/>
    <mergeCell ref="K773:L773"/>
    <mergeCell ref="M771:N771"/>
    <mergeCell ref="O771:P771"/>
    <mergeCell ref="A772:B772"/>
    <mergeCell ref="C772:D772"/>
    <mergeCell ref="E772:F772"/>
    <mergeCell ref="G772:H772"/>
    <mergeCell ref="I772:J772"/>
    <mergeCell ref="K772:L772"/>
    <mergeCell ref="M772:N772"/>
    <mergeCell ref="O772:P772"/>
    <mergeCell ref="A771:B771"/>
    <mergeCell ref="C771:D771"/>
    <mergeCell ref="E771:F771"/>
    <mergeCell ref="G771:H771"/>
    <mergeCell ref="I771:J771"/>
    <mergeCell ref="K771:L771"/>
    <mergeCell ref="M769:N769"/>
    <mergeCell ref="O769:P769"/>
    <mergeCell ref="A770:B770"/>
    <mergeCell ref="C770:D770"/>
    <mergeCell ref="E770:F770"/>
    <mergeCell ref="G770:H770"/>
    <mergeCell ref="I770:J770"/>
    <mergeCell ref="K770:L770"/>
    <mergeCell ref="M770:N770"/>
    <mergeCell ref="O770:P770"/>
    <mergeCell ref="A769:B769"/>
    <mergeCell ref="C769:D769"/>
    <mergeCell ref="E769:F769"/>
    <mergeCell ref="G769:H769"/>
    <mergeCell ref="I769:J769"/>
    <mergeCell ref="K769:L769"/>
    <mergeCell ref="M779:N779"/>
    <mergeCell ref="O779:P779"/>
    <mergeCell ref="A780:B780"/>
    <mergeCell ref="C780:D780"/>
    <mergeCell ref="E780:F780"/>
    <mergeCell ref="G780:H780"/>
    <mergeCell ref="I780:J780"/>
    <mergeCell ref="K780:L780"/>
    <mergeCell ref="M780:N780"/>
    <mergeCell ref="O780:P780"/>
    <mergeCell ref="A779:B779"/>
    <mergeCell ref="C779:D779"/>
    <mergeCell ref="E779:F779"/>
    <mergeCell ref="G779:H779"/>
    <mergeCell ref="I779:J779"/>
    <mergeCell ref="K779:L779"/>
    <mergeCell ref="M777:N777"/>
    <mergeCell ref="O777:P777"/>
    <mergeCell ref="A778:B778"/>
    <mergeCell ref="C778:D778"/>
    <mergeCell ref="E778:F778"/>
    <mergeCell ref="G778:H778"/>
    <mergeCell ref="I778:J778"/>
    <mergeCell ref="K778:L778"/>
    <mergeCell ref="M778:N778"/>
    <mergeCell ref="O778:P778"/>
    <mergeCell ref="A777:B777"/>
    <mergeCell ref="C777:D777"/>
    <mergeCell ref="E777:F777"/>
    <mergeCell ref="G777:H777"/>
    <mergeCell ref="I777:J777"/>
    <mergeCell ref="K777:L777"/>
    <mergeCell ref="M775:N775"/>
    <mergeCell ref="O775:P775"/>
    <mergeCell ref="A776:B776"/>
    <mergeCell ref="C776:D776"/>
    <mergeCell ref="E776:F776"/>
    <mergeCell ref="G776:H776"/>
    <mergeCell ref="I776:J776"/>
    <mergeCell ref="K776:L776"/>
    <mergeCell ref="M776:N776"/>
    <mergeCell ref="O776:P776"/>
    <mergeCell ref="A775:B775"/>
    <mergeCell ref="C775:D775"/>
    <mergeCell ref="E775:F775"/>
    <mergeCell ref="G775:H775"/>
    <mergeCell ref="I775:J775"/>
    <mergeCell ref="K775:L775"/>
    <mergeCell ref="M785:N785"/>
    <mergeCell ref="O785:P785"/>
    <mergeCell ref="A786:B786"/>
    <mergeCell ref="C786:D786"/>
    <mergeCell ref="E786:F786"/>
    <mergeCell ref="G786:H786"/>
    <mergeCell ref="I786:J786"/>
    <mergeCell ref="K786:L786"/>
    <mergeCell ref="M786:N786"/>
    <mergeCell ref="O786:P786"/>
    <mergeCell ref="A785:B785"/>
    <mergeCell ref="C785:D785"/>
    <mergeCell ref="E785:F785"/>
    <mergeCell ref="G785:H785"/>
    <mergeCell ref="I785:J785"/>
    <mergeCell ref="K785:L785"/>
    <mergeCell ref="M783:N783"/>
    <mergeCell ref="O783:P783"/>
    <mergeCell ref="A784:B784"/>
    <mergeCell ref="C784:D784"/>
    <mergeCell ref="E784:F784"/>
    <mergeCell ref="G784:H784"/>
    <mergeCell ref="I784:J784"/>
    <mergeCell ref="K784:L784"/>
    <mergeCell ref="M784:N784"/>
    <mergeCell ref="O784:P784"/>
    <mergeCell ref="A783:B783"/>
    <mergeCell ref="C783:D783"/>
    <mergeCell ref="E783:F783"/>
    <mergeCell ref="G783:H783"/>
    <mergeCell ref="I783:J783"/>
    <mergeCell ref="K783:L783"/>
    <mergeCell ref="M781:N781"/>
    <mergeCell ref="O781:P781"/>
    <mergeCell ref="A782:B782"/>
    <mergeCell ref="C782:D782"/>
    <mergeCell ref="E782:F782"/>
    <mergeCell ref="G782:H782"/>
    <mergeCell ref="I782:J782"/>
    <mergeCell ref="K782:L782"/>
    <mergeCell ref="M782:N782"/>
    <mergeCell ref="O782:P782"/>
    <mergeCell ref="A781:B781"/>
    <mergeCell ref="C781:D781"/>
    <mergeCell ref="E781:F781"/>
    <mergeCell ref="G781:H781"/>
    <mergeCell ref="I781:J781"/>
    <mergeCell ref="K781:L781"/>
    <mergeCell ref="M791:N791"/>
    <mergeCell ref="O791:P791"/>
    <mergeCell ref="A792:B792"/>
    <mergeCell ref="C792:D792"/>
    <mergeCell ref="E792:F792"/>
    <mergeCell ref="G792:H792"/>
    <mergeCell ref="I792:J792"/>
    <mergeCell ref="K792:L792"/>
    <mergeCell ref="M792:N792"/>
    <mergeCell ref="O792:P792"/>
    <mergeCell ref="A791:B791"/>
    <mergeCell ref="C791:D791"/>
    <mergeCell ref="E791:F791"/>
    <mergeCell ref="G791:H791"/>
    <mergeCell ref="I791:J791"/>
    <mergeCell ref="K791:L791"/>
    <mergeCell ref="M789:N789"/>
    <mergeCell ref="O789:P789"/>
    <mergeCell ref="A790:B790"/>
    <mergeCell ref="C790:D790"/>
    <mergeCell ref="E790:F790"/>
    <mergeCell ref="G790:H790"/>
    <mergeCell ref="I790:J790"/>
    <mergeCell ref="K790:L790"/>
    <mergeCell ref="M790:N790"/>
    <mergeCell ref="O790:P790"/>
    <mergeCell ref="A789:B789"/>
    <mergeCell ref="C789:D789"/>
    <mergeCell ref="E789:F789"/>
    <mergeCell ref="G789:H789"/>
    <mergeCell ref="I789:J789"/>
    <mergeCell ref="K789:L789"/>
    <mergeCell ref="M787:N787"/>
    <mergeCell ref="O787:P787"/>
    <mergeCell ref="A788:B788"/>
    <mergeCell ref="C788:D788"/>
    <mergeCell ref="E788:F788"/>
    <mergeCell ref="G788:H788"/>
    <mergeCell ref="I788:J788"/>
    <mergeCell ref="K788:L788"/>
    <mergeCell ref="M788:N788"/>
    <mergeCell ref="O788:P788"/>
    <mergeCell ref="A787:B787"/>
    <mergeCell ref="C787:D787"/>
    <mergeCell ref="E787:F787"/>
    <mergeCell ref="G787:H787"/>
    <mergeCell ref="I787:J787"/>
    <mergeCell ref="K787:L787"/>
    <mergeCell ref="M797:N797"/>
    <mergeCell ref="O797:P797"/>
    <mergeCell ref="A798:B798"/>
    <mergeCell ref="C798:D798"/>
    <mergeCell ref="E798:F798"/>
    <mergeCell ref="G798:H798"/>
    <mergeCell ref="I798:J798"/>
    <mergeCell ref="K798:L798"/>
    <mergeCell ref="M798:N798"/>
    <mergeCell ref="O798:P798"/>
    <mergeCell ref="A797:B797"/>
    <mergeCell ref="C797:D797"/>
    <mergeCell ref="E797:F797"/>
    <mergeCell ref="G797:H797"/>
    <mergeCell ref="I797:J797"/>
    <mergeCell ref="K797:L797"/>
    <mergeCell ref="M795:N795"/>
    <mergeCell ref="O795:P795"/>
    <mergeCell ref="A796:B796"/>
    <mergeCell ref="C796:D796"/>
    <mergeCell ref="E796:F796"/>
    <mergeCell ref="G796:H796"/>
    <mergeCell ref="I796:J796"/>
    <mergeCell ref="K796:L796"/>
    <mergeCell ref="M796:N796"/>
    <mergeCell ref="O796:P796"/>
    <mergeCell ref="A795:B795"/>
    <mergeCell ref="C795:D795"/>
    <mergeCell ref="E795:F795"/>
    <mergeCell ref="G795:H795"/>
    <mergeCell ref="I795:J795"/>
    <mergeCell ref="K795:L795"/>
    <mergeCell ref="M793:N793"/>
    <mergeCell ref="O793:P793"/>
    <mergeCell ref="A794:B794"/>
    <mergeCell ref="C794:D794"/>
    <mergeCell ref="E794:F794"/>
    <mergeCell ref="G794:H794"/>
    <mergeCell ref="I794:J794"/>
    <mergeCell ref="K794:L794"/>
    <mergeCell ref="M794:N794"/>
    <mergeCell ref="O794:P794"/>
    <mergeCell ref="A793:B793"/>
    <mergeCell ref="C793:D793"/>
    <mergeCell ref="E793:F793"/>
    <mergeCell ref="G793:H793"/>
    <mergeCell ref="I793:J793"/>
    <mergeCell ref="K793:L793"/>
    <mergeCell ref="M803:N803"/>
    <mergeCell ref="O803:P803"/>
    <mergeCell ref="A804:B804"/>
    <mergeCell ref="C804:D804"/>
    <mergeCell ref="E804:F804"/>
    <mergeCell ref="G804:H804"/>
    <mergeCell ref="I804:J804"/>
    <mergeCell ref="K804:L804"/>
    <mergeCell ref="M804:N804"/>
    <mergeCell ref="O804:P804"/>
    <mergeCell ref="A803:B803"/>
    <mergeCell ref="C803:D803"/>
    <mergeCell ref="E803:F803"/>
    <mergeCell ref="G803:H803"/>
    <mergeCell ref="I803:J803"/>
    <mergeCell ref="K803:L803"/>
    <mergeCell ref="M801:N801"/>
    <mergeCell ref="O801:P801"/>
    <mergeCell ref="A802:B802"/>
    <mergeCell ref="C802:D802"/>
    <mergeCell ref="E802:F802"/>
    <mergeCell ref="G802:H802"/>
    <mergeCell ref="I802:J802"/>
    <mergeCell ref="K802:L802"/>
    <mergeCell ref="M802:N802"/>
    <mergeCell ref="O802:P802"/>
    <mergeCell ref="A801:B801"/>
    <mergeCell ref="C801:D801"/>
    <mergeCell ref="E801:F801"/>
    <mergeCell ref="G801:H801"/>
    <mergeCell ref="I801:J801"/>
    <mergeCell ref="K801:L801"/>
    <mergeCell ref="M799:N799"/>
    <mergeCell ref="O799:P799"/>
    <mergeCell ref="A800:B800"/>
    <mergeCell ref="C800:D800"/>
    <mergeCell ref="E800:F800"/>
    <mergeCell ref="G800:H800"/>
    <mergeCell ref="I800:J800"/>
    <mergeCell ref="K800:L800"/>
    <mergeCell ref="M800:N800"/>
    <mergeCell ref="O800:P800"/>
    <mergeCell ref="A799:B799"/>
    <mergeCell ref="C799:D799"/>
    <mergeCell ref="E799:F799"/>
    <mergeCell ref="G799:H799"/>
    <mergeCell ref="I799:J799"/>
    <mergeCell ref="K799:L799"/>
    <mergeCell ref="M809:N809"/>
    <mergeCell ref="O809:P809"/>
    <mergeCell ref="A810:B810"/>
    <mergeCell ref="C810:D810"/>
    <mergeCell ref="E810:F810"/>
    <mergeCell ref="G810:H810"/>
    <mergeCell ref="I810:J810"/>
    <mergeCell ref="K810:L810"/>
    <mergeCell ref="M810:N810"/>
    <mergeCell ref="O810:P810"/>
    <mergeCell ref="A809:B809"/>
    <mergeCell ref="C809:D809"/>
    <mergeCell ref="E809:F809"/>
    <mergeCell ref="G809:H809"/>
    <mergeCell ref="I809:J809"/>
    <mergeCell ref="K809:L809"/>
    <mergeCell ref="M807:N807"/>
    <mergeCell ref="O807:P807"/>
    <mergeCell ref="A808:B808"/>
    <mergeCell ref="C808:D808"/>
    <mergeCell ref="E808:F808"/>
    <mergeCell ref="G808:H808"/>
    <mergeCell ref="I808:J808"/>
    <mergeCell ref="K808:L808"/>
    <mergeCell ref="M808:N808"/>
    <mergeCell ref="O808:P808"/>
    <mergeCell ref="A807:B807"/>
    <mergeCell ref="C807:D807"/>
    <mergeCell ref="E807:F807"/>
    <mergeCell ref="G807:H807"/>
    <mergeCell ref="I807:J807"/>
    <mergeCell ref="K807:L807"/>
    <mergeCell ref="M805:N805"/>
    <mergeCell ref="O805:P805"/>
    <mergeCell ref="A806:B806"/>
    <mergeCell ref="C806:D806"/>
    <mergeCell ref="E806:F806"/>
    <mergeCell ref="G806:H806"/>
    <mergeCell ref="I806:J806"/>
    <mergeCell ref="K806:L806"/>
    <mergeCell ref="M806:N806"/>
    <mergeCell ref="O806:P806"/>
    <mergeCell ref="A805:B805"/>
    <mergeCell ref="C805:D805"/>
    <mergeCell ref="E805:F805"/>
    <mergeCell ref="G805:H805"/>
    <mergeCell ref="I805:J805"/>
    <mergeCell ref="K805:L805"/>
    <mergeCell ref="M815:N815"/>
    <mergeCell ref="O815:P815"/>
    <mergeCell ref="A816:B816"/>
    <mergeCell ref="C816:D816"/>
    <mergeCell ref="E816:F816"/>
    <mergeCell ref="G816:H816"/>
    <mergeCell ref="I816:J816"/>
    <mergeCell ref="K816:L816"/>
    <mergeCell ref="M816:N816"/>
    <mergeCell ref="O816:P816"/>
    <mergeCell ref="A815:B815"/>
    <mergeCell ref="C815:D815"/>
    <mergeCell ref="E815:F815"/>
    <mergeCell ref="G815:H815"/>
    <mergeCell ref="I815:J815"/>
    <mergeCell ref="K815:L815"/>
    <mergeCell ref="M813:N813"/>
    <mergeCell ref="O813:P813"/>
    <mergeCell ref="A814:B814"/>
    <mergeCell ref="C814:D814"/>
    <mergeCell ref="E814:F814"/>
    <mergeCell ref="G814:H814"/>
    <mergeCell ref="I814:J814"/>
    <mergeCell ref="K814:L814"/>
    <mergeCell ref="M814:N814"/>
    <mergeCell ref="O814:P814"/>
    <mergeCell ref="A813:B813"/>
    <mergeCell ref="C813:D813"/>
    <mergeCell ref="E813:F813"/>
    <mergeCell ref="G813:H813"/>
    <mergeCell ref="I813:J813"/>
    <mergeCell ref="K813:L813"/>
    <mergeCell ref="M811:N811"/>
    <mergeCell ref="O811:P811"/>
    <mergeCell ref="A812:B812"/>
    <mergeCell ref="C812:D812"/>
    <mergeCell ref="E812:F812"/>
    <mergeCell ref="G812:H812"/>
    <mergeCell ref="I812:J812"/>
    <mergeCell ref="K812:L812"/>
    <mergeCell ref="M812:N812"/>
    <mergeCell ref="O812:P812"/>
    <mergeCell ref="A811:B811"/>
    <mergeCell ref="C811:D811"/>
    <mergeCell ref="E811:F811"/>
    <mergeCell ref="G811:H811"/>
    <mergeCell ref="I811:J811"/>
    <mergeCell ref="K811:L811"/>
    <mergeCell ref="M821:N821"/>
    <mergeCell ref="O821:P821"/>
    <mergeCell ref="A822:B822"/>
    <mergeCell ref="C822:D822"/>
    <mergeCell ref="E822:F822"/>
    <mergeCell ref="G822:H822"/>
    <mergeCell ref="I822:J822"/>
    <mergeCell ref="K822:L822"/>
    <mergeCell ref="M822:N822"/>
    <mergeCell ref="O822:P822"/>
    <mergeCell ref="A821:B821"/>
    <mergeCell ref="C821:D821"/>
    <mergeCell ref="E821:F821"/>
    <mergeCell ref="G821:H821"/>
    <mergeCell ref="I821:J821"/>
    <mergeCell ref="K821:L821"/>
    <mergeCell ref="M819:N819"/>
    <mergeCell ref="O819:P819"/>
    <mergeCell ref="A820:B820"/>
    <mergeCell ref="C820:D820"/>
    <mergeCell ref="E820:F820"/>
    <mergeCell ref="G820:H820"/>
    <mergeCell ref="I820:J820"/>
    <mergeCell ref="K820:L820"/>
    <mergeCell ref="M820:N820"/>
    <mergeCell ref="O820:P820"/>
    <mergeCell ref="A819:B819"/>
    <mergeCell ref="C819:D819"/>
    <mergeCell ref="E819:F819"/>
    <mergeCell ref="G819:H819"/>
    <mergeCell ref="I819:J819"/>
    <mergeCell ref="K819:L819"/>
    <mergeCell ref="M817:N817"/>
    <mergeCell ref="O817:P817"/>
    <mergeCell ref="A818:B818"/>
    <mergeCell ref="C818:D818"/>
    <mergeCell ref="E818:F818"/>
    <mergeCell ref="G818:H818"/>
    <mergeCell ref="I818:J818"/>
    <mergeCell ref="K818:L818"/>
    <mergeCell ref="M818:N818"/>
    <mergeCell ref="O818:P818"/>
    <mergeCell ref="A817:B817"/>
    <mergeCell ref="C817:D817"/>
    <mergeCell ref="E817:F817"/>
    <mergeCell ref="G817:H817"/>
    <mergeCell ref="I817:J817"/>
    <mergeCell ref="K817:L817"/>
    <mergeCell ref="M827:N827"/>
    <mergeCell ref="O827:P827"/>
    <mergeCell ref="A828:B828"/>
    <mergeCell ref="C828:D828"/>
    <mergeCell ref="E828:F828"/>
    <mergeCell ref="G828:H828"/>
    <mergeCell ref="I828:J828"/>
    <mergeCell ref="K828:L828"/>
    <mergeCell ref="M828:N828"/>
    <mergeCell ref="O828:P828"/>
    <mergeCell ref="A827:B827"/>
    <mergeCell ref="C827:D827"/>
    <mergeCell ref="E827:F827"/>
    <mergeCell ref="G827:H827"/>
    <mergeCell ref="I827:J827"/>
    <mergeCell ref="K827:L827"/>
    <mergeCell ref="M825:N825"/>
    <mergeCell ref="O825:P825"/>
    <mergeCell ref="A826:B826"/>
    <mergeCell ref="C826:D826"/>
    <mergeCell ref="E826:F826"/>
    <mergeCell ref="G826:H826"/>
    <mergeCell ref="I826:J826"/>
    <mergeCell ref="K826:L826"/>
    <mergeCell ref="M826:N826"/>
    <mergeCell ref="O826:P826"/>
    <mergeCell ref="A825:B825"/>
    <mergeCell ref="C825:D825"/>
    <mergeCell ref="E825:F825"/>
    <mergeCell ref="G825:H825"/>
    <mergeCell ref="I825:J825"/>
    <mergeCell ref="K825:L825"/>
    <mergeCell ref="M823:N823"/>
    <mergeCell ref="O823:P823"/>
    <mergeCell ref="A824:B824"/>
    <mergeCell ref="C824:D824"/>
    <mergeCell ref="E824:F824"/>
    <mergeCell ref="G824:H824"/>
    <mergeCell ref="I824:J824"/>
    <mergeCell ref="K824:L824"/>
    <mergeCell ref="M824:N824"/>
    <mergeCell ref="O824:P824"/>
    <mergeCell ref="A823:B823"/>
    <mergeCell ref="C823:D823"/>
    <mergeCell ref="E823:F823"/>
    <mergeCell ref="G823:H823"/>
    <mergeCell ref="I823:J823"/>
    <mergeCell ref="K823:L823"/>
    <mergeCell ref="M833:N833"/>
    <mergeCell ref="O833:P833"/>
    <mergeCell ref="A834:B834"/>
    <mergeCell ref="C834:D834"/>
    <mergeCell ref="E834:F834"/>
    <mergeCell ref="G834:H834"/>
    <mergeCell ref="I834:J834"/>
    <mergeCell ref="K834:L834"/>
    <mergeCell ref="M834:N834"/>
    <mergeCell ref="O834:P834"/>
    <mergeCell ref="A833:B833"/>
    <mergeCell ref="C833:D833"/>
    <mergeCell ref="E833:F833"/>
    <mergeCell ref="G833:H833"/>
    <mergeCell ref="I833:J833"/>
    <mergeCell ref="K833:L833"/>
    <mergeCell ref="M831:N831"/>
    <mergeCell ref="O831:P831"/>
    <mergeCell ref="A832:B832"/>
    <mergeCell ref="C832:D832"/>
    <mergeCell ref="E832:F832"/>
    <mergeCell ref="G832:H832"/>
    <mergeCell ref="I832:J832"/>
    <mergeCell ref="K832:L832"/>
    <mergeCell ref="M832:N832"/>
    <mergeCell ref="O832:P832"/>
    <mergeCell ref="A831:B831"/>
    <mergeCell ref="C831:D831"/>
    <mergeCell ref="E831:F831"/>
    <mergeCell ref="G831:H831"/>
    <mergeCell ref="I831:J831"/>
    <mergeCell ref="K831:L831"/>
    <mergeCell ref="M829:N829"/>
    <mergeCell ref="O829:P829"/>
    <mergeCell ref="A830:B830"/>
    <mergeCell ref="C830:D830"/>
    <mergeCell ref="E830:F830"/>
    <mergeCell ref="G830:H830"/>
    <mergeCell ref="I830:J830"/>
    <mergeCell ref="K830:L830"/>
    <mergeCell ref="M830:N830"/>
    <mergeCell ref="O830:P830"/>
    <mergeCell ref="A829:B829"/>
    <mergeCell ref="C829:D829"/>
    <mergeCell ref="E829:F829"/>
    <mergeCell ref="G829:H829"/>
    <mergeCell ref="I829:J829"/>
    <mergeCell ref="K829:L829"/>
    <mergeCell ref="M839:N839"/>
    <mergeCell ref="O839:P839"/>
    <mergeCell ref="A840:B840"/>
    <mergeCell ref="C840:D840"/>
    <mergeCell ref="E840:F840"/>
    <mergeCell ref="G840:H840"/>
    <mergeCell ref="I840:J840"/>
    <mergeCell ref="K840:L840"/>
    <mergeCell ref="M840:N840"/>
    <mergeCell ref="O840:P840"/>
    <mergeCell ref="A839:B839"/>
    <mergeCell ref="C839:D839"/>
    <mergeCell ref="E839:F839"/>
    <mergeCell ref="G839:H839"/>
    <mergeCell ref="I839:J839"/>
    <mergeCell ref="K839:L839"/>
    <mergeCell ref="M837:N837"/>
    <mergeCell ref="O837:P837"/>
    <mergeCell ref="A838:B838"/>
    <mergeCell ref="C838:D838"/>
    <mergeCell ref="E838:F838"/>
    <mergeCell ref="G838:H838"/>
    <mergeCell ref="I838:J838"/>
    <mergeCell ref="K838:L838"/>
    <mergeCell ref="M838:N838"/>
    <mergeCell ref="O838:P838"/>
    <mergeCell ref="A837:B837"/>
    <mergeCell ref="C837:D837"/>
    <mergeCell ref="E837:F837"/>
    <mergeCell ref="G837:H837"/>
    <mergeCell ref="I837:J837"/>
    <mergeCell ref="K837:L837"/>
    <mergeCell ref="M835:N835"/>
    <mergeCell ref="O835:P835"/>
    <mergeCell ref="A836:B836"/>
    <mergeCell ref="C836:D836"/>
    <mergeCell ref="E836:F836"/>
    <mergeCell ref="G836:H836"/>
    <mergeCell ref="I836:J836"/>
    <mergeCell ref="K836:L836"/>
    <mergeCell ref="M836:N836"/>
    <mergeCell ref="O836:P836"/>
    <mergeCell ref="A835:B835"/>
    <mergeCell ref="C835:D835"/>
    <mergeCell ref="E835:F835"/>
    <mergeCell ref="G835:H835"/>
    <mergeCell ref="I835:J835"/>
    <mergeCell ref="K835:L835"/>
    <mergeCell ref="M845:N845"/>
    <mergeCell ref="O845:P845"/>
    <mergeCell ref="A846:B846"/>
    <mergeCell ref="C846:D846"/>
    <mergeCell ref="E846:F846"/>
    <mergeCell ref="G846:H846"/>
    <mergeCell ref="I846:J846"/>
    <mergeCell ref="K846:L846"/>
    <mergeCell ref="M846:N846"/>
    <mergeCell ref="O846:P846"/>
    <mergeCell ref="A845:B845"/>
    <mergeCell ref="C845:D845"/>
    <mergeCell ref="E845:F845"/>
    <mergeCell ref="G845:H845"/>
    <mergeCell ref="I845:J845"/>
    <mergeCell ref="K845:L845"/>
    <mergeCell ref="M843:N843"/>
    <mergeCell ref="O843:P843"/>
    <mergeCell ref="A844:B844"/>
    <mergeCell ref="C844:D844"/>
    <mergeCell ref="E844:F844"/>
    <mergeCell ref="G844:H844"/>
    <mergeCell ref="I844:J844"/>
    <mergeCell ref="K844:L844"/>
    <mergeCell ref="M844:N844"/>
    <mergeCell ref="O844:P844"/>
    <mergeCell ref="A843:B843"/>
    <mergeCell ref="C843:D843"/>
    <mergeCell ref="E843:F843"/>
    <mergeCell ref="G843:H843"/>
    <mergeCell ref="I843:J843"/>
    <mergeCell ref="K843:L843"/>
    <mergeCell ref="M841:N841"/>
    <mergeCell ref="O841:P841"/>
    <mergeCell ref="A842:B842"/>
    <mergeCell ref="C842:D842"/>
    <mergeCell ref="E842:F842"/>
    <mergeCell ref="G842:H842"/>
    <mergeCell ref="I842:J842"/>
    <mergeCell ref="K842:L842"/>
    <mergeCell ref="M842:N842"/>
    <mergeCell ref="O842:P842"/>
    <mergeCell ref="A841:B841"/>
    <mergeCell ref="C841:D841"/>
    <mergeCell ref="E841:F841"/>
    <mergeCell ref="G841:H841"/>
    <mergeCell ref="I841:J841"/>
    <mergeCell ref="K841:L841"/>
    <mergeCell ref="M851:N851"/>
    <mergeCell ref="O851:P851"/>
    <mergeCell ref="A852:B852"/>
    <mergeCell ref="C852:D852"/>
    <mergeCell ref="E852:F852"/>
    <mergeCell ref="G852:H852"/>
    <mergeCell ref="I852:J852"/>
    <mergeCell ref="K852:L852"/>
    <mergeCell ref="M852:N852"/>
    <mergeCell ref="O852:P852"/>
    <mergeCell ref="A851:B851"/>
    <mergeCell ref="C851:D851"/>
    <mergeCell ref="E851:F851"/>
    <mergeCell ref="G851:H851"/>
    <mergeCell ref="I851:J851"/>
    <mergeCell ref="K851:L851"/>
    <mergeCell ref="M849:N849"/>
    <mergeCell ref="O849:P849"/>
    <mergeCell ref="A850:B850"/>
    <mergeCell ref="C850:D850"/>
    <mergeCell ref="E850:F850"/>
    <mergeCell ref="G850:H850"/>
    <mergeCell ref="I850:J850"/>
    <mergeCell ref="K850:L850"/>
    <mergeCell ref="M850:N850"/>
    <mergeCell ref="O850:P850"/>
    <mergeCell ref="A849:B849"/>
    <mergeCell ref="C849:D849"/>
    <mergeCell ref="E849:F849"/>
    <mergeCell ref="G849:H849"/>
    <mergeCell ref="I849:J849"/>
    <mergeCell ref="K849:L849"/>
    <mergeCell ref="M847:N847"/>
    <mergeCell ref="O847:P847"/>
    <mergeCell ref="A848:B848"/>
    <mergeCell ref="C848:D848"/>
    <mergeCell ref="E848:F848"/>
    <mergeCell ref="G848:H848"/>
    <mergeCell ref="I848:J848"/>
    <mergeCell ref="K848:L848"/>
    <mergeCell ref="M848:N848"/>
    <mergeCell ref="O848:P848"/>
    <mergeCell ref="A847:B847"/>
    <mergeCell ref="C847:D847"/>
    <mergeCell ref="E847:F847"/>
    <mergeCell ref="G847:H847"/>
    <mergeCell ref="I847:J847"/>
    <mergeCell ref="K847:L847"/>
    <mergeCell ref="M857:N857"/>
    <mergeCell ref="O857:P857"/>
    <mergeCell ref="A858:B858"/>
    <mergeCell ref="C858:D858"/>
    <mergeCell ref="E858:F858"/>
    <mergeCell ref="G858:H858"/>
    <mergeCell ref="I858:J858"/>
    <mergeCell ref="K858:L858"/>
    <mergeCell ref="M858:N858"/>
    <mergeCell ref="O858:P858"/>
    <mergeCell ref="A857:B857"/>
    <mergeCell ref="C857:D857"/>
    <mergeCell ref="E857:F857"/>
    <mergeCell ref="G857:H857"/>
    <mergeCell ref="I857:J857"/>
    <mergeCell ref="K857:L857"/>
    <mergeCell ref="M855:N855"/>
    <mergeCell ref="O855:P855"/>
    <mergeCell ref="A856:B856"/>
    <mergeCell ref="C856:D856"/>
    <mergeCell ref="E856:F856"/>
    <mergeCell ref="G856:H856"/>
    <mergeCell ref="I856:J856"/>
    <mergeCell ref="K856:L856"/>
    <mergeCell ref="M856:N856"/>
    <mergeCell ref="O856:P856"/>
    <mergeCell ref="A855:B855"/>
    <mergeCell ref="C855:D855"/>
    <mergeCell ref="E855:F855"/>
    <mergeCell ref="G855:H855"/>
    <mergeCell ref="I855:J855"/>
    <mergeCell ref="K855:L855"/>
    <mergeCell ref="M853:N853"/>
    <mergeCell ref="O853:P853"/>
    <mergeCell ref="A854:B854"/>
    <mergeCell ref="C854:D854"/>
    <mergeCell ref="E854:F854"/>
    <mergeCell ref="G854:H854"/>
    <mergeCell ref="I854:J854"/>
    <mergeCell ref="K854:L854"/>
    <mergeCell ref="M854:N854"/>
    <mergeCell ref="O854:P854"/>
    <mergeCell ref="A853:B853"/>
    <mergeCell ref="C853:D853"/>
    <mergeCell ref="E853:F853"/>
    <mergeCell ref="G853:H853"/>
    <mergeCell ref="I853:J853"/>
    <mergeCell ref="K853:L853"/>
    <mergeCell ref="M863:N863"/>
    <mergeCell ref="O863:P863"/>
    <mergeCell ref="A864:B864"/>
    <mergeCell ref="C864:D864"/>
    <mergeCell ref="E864:F864"/>
    <mergeCell ref="G864:H864"/>
    <mergeCell ref="I864:J864"/>
    <mergeCell ref="K864:L864"/>
    <mergeCell ref="M864:N864"/>
    <mergeCell ref="O864:P864"/>
    <mergeCell ref="A863:B863"/>
    <mergeCell ref="C863:D863"/>
    <mergeCell ref="E863:F863"/>
    <mergeCell ref="G863:H863"/>
    <mergeCell ref="I863:J863"/>
    <mergeCell ref="K863:L863"/>
    <mergeCell ref="M861:N861"/>
    <mergeCell ref="O861:P861"/>
    <mergeCell ref="A862:B862"/>
    <mergeCell ref="C862:D862"/>
    <mergeCell ref="E862:F862"/>
    <mergeCell ref="G862:H862"/>
    <mergeCell ref="I862:J862"/>
    <mergeCell ref="K862:L862"/>
    <mergeCell ref="M862:N862"/>
    <mergeCell ref="O862:P862"/>
    <mergeCell ref="A861:B861"/>
    <mergeCell ref="C861:D861"/>
    <mergeCell ref="E861:F861"/>
    <mergeCell ref="G861:H861"/>
    <mergeCell ref="I861:J861"/>
    <mergeCell ref="K861:L861"/>
    <mergeCell ref="M859:N859"/>
    <mergeCell ref="O859:P859"/>
    <mergeCell ref="A860:B860"/>
    <mergeCell ref="C860:D860"/>
    <mergeCell ref="E860:F860"/>
    <mergeCell ref="G860:H860"/>
    <mergeCell ref="I860:J860"/>
    <mergeCell ref="K860:L860"/>
    <mergeCell ref="M860:N860"/>
    <mergeCell ref="O860:P860"/>
    <mergeCell ref="A859:B859"/>
    <mergeCell ref="C859:D859"/>
    <mergeCell ref="E859:F859"/>
    <mergeCell ref="G859:H859"/>
    <mergeCell ref="I859:J859"/>
    <mergeCell ref="K859:L859"/>
    <mergeCell ref="M869:N869"/>
    <mergeCell ref="O869:P869"/>
    <mergeCell ref="A870:B870"/>
    <mergeCell ref="C870:D870"/>
    <mergeCell ref="E870:F870"/>
    <mergeCell ref="G870:H870"/>
    <mergeCell ref="I870:J870"/>
    <mergeCell ref="K870:L870"/>
    <mergeCell ref="M870:N870"/>
    <mergeCell ref="O870:P870"/>
    <mergeCell ref="A869:B869"/>
    <mergeCell ref="C869:D869"/>
    <mergeCell ref="E869:F869"/>
    <mergeCell ref="G869:H869"/>
    <mergeCell ref="I869:J869"/>
    <mergeCell ref="K869:L869"/>
    <mergeCell ref="M867:N867"/>
    <mergeCell ref="O867:P867"/>
    <mergeCell ref="A868:B868"/>
    <mergeCell ref="C868:D868"/>
    <mergeCell ref="E868:F868"/>
    <mergeCell ref="G868:H868"/>
    <mergeCell ref="I868:J868"/>
    <mergeCell ref="K868:L868"/>
    <mergeCell ref="M868:N868"/>
    <mergeCell ref="O868:P868"/>
    <mergeCell ref="A867:B867"/>
    <mergeCell ref="C867:D867"/>
    <mergeCell ref="E867:F867"/>
    <mergeCell ref="G867:H867"/>
    <mergeCell ref="I867:J867"/>
    <mergeCell ref="K867:L867"/>
    <mergeCell ref="M865:N865"/>
    <mergeCell ref="O865:P865"/>
    <mergeCell ref="A866:B866"/>
    <mergeCell ref="C866:D866"/>
    <mergeCell ref="E866:F866"/>
    <mergeCell ref="G866:H866"/>
    <mergeCell ref="I866:J866"/>
    <mergeCell ref="K866:L866"/>
    <mergeCell ref="M866:N866"/>
    <mergeCell ref="O866:P866"/>
    <mergeCell ref="A865:B865"/>
    <mergeCell ref="C865:D865"/>
    <mergeCell ref="E865:F865"/>
    <mergeCell ref="G865:H865"/>
    <mergeCell ref="I865:J865"/>
    <mergeCell ref="K865:L865"/>
    <mergeCell ref="M875:N875"/>
    <mergeCell ref="O875:P875"/>
    <mergeCell ref="A876:B876"/>
    <mergeCell ref="C876:D876"/>
    <mergeCell ref="E876:F876"/>
    <mergeCell ref="G876:H876"/>
    <mergeCell ref="I876:J876"/>
    <mergeCell ref="K876:L876"/>
    <mergeCell ref="M876:N876"/>
    <mergeCell ref="O876:P876"/>
    <mergeCell ref="A875:B875"/>
    <mergeCell ref="C875:D875"/>
    <mergeCell ref="E875:F875"/>
    <mergeCell ref="G875:H875"/>
    <mergeCell ref="I875:J875"/>
    <mergeCell ref="K875:L875"/>
    <mergeCell ref="M873:N873"/>
    <mergeCell ref="O873:P873"/>
    <mergeCell ref="A874:B874"/>
    <mergeCell ref="C874:D874"/>
    <mergeCell ref="E874:F874"/>
    <mergeCell ref="G874:H874"/>
    <mergeCell ref="I874:J874"/>
    <mergeCell ref="K874:L874"/>
    <mergeCell ref="M874:N874"/>
    <mergeCell ref="O874:P874"/>
    <mergeCell ref="A873:B873"/>
    <mergeCell ref="C873:D873"/>
    <mergeCell ref="E873:F873"/>
    <mergeCell ref="G873:H873"/>
    <mergeCell ref="I873:J873"/>
    <mergeCell ref="K873:L873"/>
    <mergeCell ref="M871:N871"/>
    <mergeCell ref="O871:P871"/>
    <mergeCell ref="A872:B872"/>
    <mergeCell ref="C872:D872"/>
    <mergeCell ref="E872:F872"/>
    <mergeCell ref="G872:H872"/>
    <mergeCell ref="I872:J872"/>
    <mergeCell ref="K872:L872"/>
    <mergeCell ref="M872:N872"/>
    <mergeCell ref="O872:P872"/>
    <mergeCell ref="A871:B871"/>
    <mergeCell ref="C871:D871"/>
    <mergeCell ref="E871:F871"/>
    <mergeCell ref="G871:H871"/>
    <mergeCell ref="I871:J871"/>
    <mergeCell ref="K871:L871"/>
    <mergeCell ref="M881:N881"/>
    <mergeCell ref="O881:P881"/>
    <mergeCell ref="A882:B882"/>
    <mergeCell ref="C882:D882"/>
    <mergeCell ref="E882:F882"/>
    <mergeCell ref="G882:H882"/>
    <mergeCell ref="I882:J882"/>
    <mergeCell ref="K882:L882"/>
    <mergeCell ref="M882:N882"/>
    <mergeCell ref="O882:P882"/>
    <mergeCell ref="A881:B881"/>
    <mergeCell ref="C881:D881"/>
    <mergeCell ref="E881:F881"/>
    <mergeCell ref="G881:H881"/>
    <mergeCell ref="I881:J881"/>
    <mergeCell ref="K881:L881"/>
    <mergeCell ref="M879:N879"/>
    <mergeCell ref="O879:P879"/>
    <mergeCell ref="A880:B880"/>
    <mergeCell ref="C880:D880"/>
    <mergeCell ref="E880:F880"/>
    <mergeCell ref="G880:H880"/>
    <mergeCell ref="I880:J880"/>
    <mergeCell ref="K880:L880"/>
    <mergeCell ref="M880:N880"/>
    <mergeCell ref="O880:P880"/>
    <mergeCell ref="A879:B879"/>
    <mergeCell ref="C879:D879"/>
    <mergeCell ref="E879:F879"/>
    <mergeCell ref="G879:H879"/>
    <mergeCell ref="I879:J879"/>
    <mergeCell ref="K879:L879"/>
    <mergeCell ref="M877:N877"/>
    <mergeCell ref="O877:P877"/>
    <mergeCell ref="A878:B878"/>
    <mergeCell ref="C878:D878"/>
    <mergeCell ref="E878:F878"/>
    <mergeCell ref="G878:H878"/>
    <mergeCell ref="I878:J878"/>
    <mergeCell ref="K878:L878"/>
    <mergeCell ref="M878:N878"/>
    <mergeCell ref="O878:P878"/>
    <mergeCell ref="A877:B877"/>
    <mergeCell ref="C877:D877"/>
    <mergeCell ref="E877:F877"/>
    <mergeCell ref="G877:H877"/>
    <mergeCell ref="I877:J877"/>
    <mergeCell ref="K877:L877"/>
    <mergeCell ref="M887:N887"/>
    <mergeCell ref="O887:P887"/>
    <mergeCell ref="A888:B888"/>
    <mergeCell ref="C888:D888"/>
    <mergeCell ref="E888:F888"/>
    <mergeCell ref="G888:H888"/>
    <mergeCell ref="I888:J888"/>
    <mergeCell ref="K888:L888"/>
    <mergeCell ref="M888:N888"/>
    <mergeCell ref="O888:P888"/>
    <mergeCell ref="A887:B887"/>
    <mergeCell ref="C887:D887"/>
    <mergeCell ref="E887:F887"/>
    <mergeCell ref="G887:H887"/>
    <mergeCell ref="I887:J887"/>
    <mergeCell ref="K887:L887"/>
    <mergeCell ref="M885:N885"/>
    <mergeCell ref="O885:P885"/>
    <mergeCell ref="A886:B886"/>
    <mergeCell ref="C886:D886"/>
    <mergeCell ref="E886:F886"/>
    <mergeCell ref="G886:H886"/>
    <mergeCell ref="I886:J886"/>
    <mergeCell ref="K886:L886"/>
    <mergeCell ref="M886:N886"/>
    <mergeCell ref="O886:P886"/>
    <mergeCell ref="A885:B885"/>
    <mergeCell ref="C885:D885"/>
    <mergeCell ref="E885:F885"/>
    <mergeCell ref="G885:H885"/>
    <mergeCell ref="I885:J885"/>
    <mergeCell ref="K885:L885"/>
    <mergeCell ref="M883:N883"/>
    <mergeCell ref="O883:P883"/>
    <mergeCell ref="A884:B884"/>
    <mergeCell ref="C884:D884"/>
    <mergeCell ref="E884:F884"/>
    <mergeCell ref="G884:H884"/>
    <mergeCell ref="I884:J884"/>
    <mergeCell ref="K884:L884"/>
    <mergeCell ref="M884:N884"/>
    <mergeCell ref="O884:P884"/>
    <mergeCell ref="A883:B883"/>
    <mergeCell ref="C883:D883"/>
    <mergeCell ref="E883:F883"/>
    <mergeCell ref="G883:H883"/>
    <mergeCell ref="I883:J883"/>
    <mergeCell ref="K883:L883"/>
    <mergeCell ref="M893:N893"/>
    <mergeCell ref="O893:P893"/>
    <mergeCell ref="A894:B894"/>
    <mergeCell ref="C894:D894"/>
    <mergeCell ref="E894:F894"/>
    <mergeCell ref="G894:H894"/>
    <mergeCell ref="I894:J894"/>
    <mergeCell ref="K894:L894"/>
    <mergeCell ref="M894:N894"/>
    <mergeCell ref="O894:P894"/>
    <mergeCell ref="A893:B893"/>
    <mergeCell ref="C893:D893"/>
    <mergeCell ref="E893:F893"/>
    <mergeCell ref="G893:H893"/>
    <mergeCell ref="I893:J893"/>
    <mergeCell ref="K893:L893"/>
    <mergeCell ref="M891:N891"/>
    <mergeCell ref="O891:P891"/>
    <mergeCell ref="A892:B892"/>
    <mergeCell ref="C892:D892"/>
    <mergeCell ref="E892:F892"/>
    <mergeCell ref="G892:H892"/>
    <mergeCell ref="I892:J892"/>
    <mergeCell ref="K892:L892"/>
    <mergeCell ref="M892:N892"/>
    <mergeCell ref="O892:P892"/>
    <mergeCell ref="A891:B891"/>
    <mergeCell ref="C891:D891"/>
    <mergeCell ref="E891:F891"/>
    <mergeCell ref="G891:H891"/>
    <mergeCell ref="I891:J891"/>
    <mergeCell ref="K891:L891"/>
    <mergeCell ref="M889:N889"/>
    <mergeCell ref="O889:P889"/>
    <mergeCell ref="A890:B890"/>
    <mergeCell ref="C890:D890"/>
    <mergeCell ref="E890:F890"/>
    <mergeCell ref="G890:H890"/>
    <mergeCell ref="I890:J890"/>
    <mergeCell ref="K890:L890"/>
    <mergeCell ref="M890:N890"/>
    <mergeCell ref="O890:P890"/>
    <mergeCell ref="A889:B889"/>
    <mergeCell ref="C889:D889"/>
    <mergeCell ref="E889:F889"/>
    <mergeCell ref="G889:H889"/>
    <mergeCell ref="I889:J889"/>
    <mergeCell ref="K889:L889"/>
    <mergeCell ref="M899:N899"/>
    <mergeCell ref="O899:P899"/>
    <mergeCell ref="A900:B900"/>
    <mergeCell ref="C900:D900"/>
    <mergeCell ref="E900:F900"/>
    <mergeCell ref="G900:H900"/>
    <mergeCell ref="I900:J900"/>
    <mergeCell ref="K900:L900"/>
    <mergeCell ref="M900:N900"/>
    <mergeCell ref="O900:P900"/>
    <mergeCell ref="A899:B899"/>
    <mergeCell ref="C899:D899"/>
    <mergeCell ref="E899:F899"/>
    <mergeCell ref="G899:H899"/>
    <mergeCell ref="I899:J899"/>
    <mergeCell ref="K899:L899"/>
    <mergeCell ref="M897:N897"/>
    <mergeCell ref="O897:P897"/>
    <mergeCell ref="A898:B898"/>
    <mergeCell ref="C898:D898"/>
    <mergeCell ref="E898:F898"/>
    <mergeCell ref="G898:H898"/>
    <mergeCell ref="I898:J898"/>
    <mergeCell ref="K898:L898"/>
    <mergeCell ref="M898:N898"/>
    <mergeCell ref="O898:P898"/>
    <mergeCell ref="A897:B897"/>
    <mergeCell ref="C897:D897"/>
    <mergeCell ref="E897:F897"/>
    <mergeCell ref="G897:H897"/>
    <mergeCell ref="I897:J897"/>
    <mergeCell ref="K897:L897"/>
    <mergeCell ref="M895:N895"/>
    <mergeCell ref="O895:P895"/>
    <mergeCell ref="A896:B896"/>
    <mergeCell ref="C896:D896"/>
    <mergeCell ref="E896:F896"/>
    <mergeCell ref="G896:H896"/>
    <mergeCell ref="I896:J896"/>
    <mergeCell ref="K896:L896"/>
    <mergeCell ref="M896:N896"/>
    <mergeCell ref="O896:P896"/>
    <mergeCell ref="A895:B895"/>
    <mergeCell ref="C895:D895"/>
    <mergeCell ref="E895:F895"/>
    <mergeCell ref="G895:H895"/>
    <mergeCell ref="I895:J895"/>
    <mergeCell ref="K895:L895"/>
    <mergeCell ref="M905:N905"/>
    <mergeCell ref="O905:P905"/>
    <mergeCell ref="A906:B906"/>
    <mergeCell ref="C906:D906"/>
    <mergeCell ref="E906:F906"/>
    <mergeCell ref="G906:H906"/>
    <mergeCell ref="I906:J906"/>
    <mergeCell ref="K906:L906"/>
    <mergeCell ref="M906:N906"/>
    <mergeCell ref="O906:P906"/>
    <mergeCell ref="A905:B905"/>
    <mergeCell ref="C905:D905"/>
    <mergeCell ref="E905:F905"/>
    <mergeCell ref="G905:H905"/>
    <mergeCell ref="I905:J905"/>
    <mergeCell ref="K905:L905"/>
    <mergeCell ref="M903:N903"/>
    <mergeCell ref="O903:P903"/>
    <mergeCell ref="A904:B904"/>
    <mergeCell ref="C904:D904"/>
    <mergeCell ref="E904:F904"/>
    <mergeCell ref="G904:H904"/>
    <mergeCell ref="I904:J904"/>
    <mergeCell ref="K904:L904"/>
    <mergeCell ref="M904:N904"/>
    <mergeCell ref="O904:P904"/>
    <mergeCell ref="A903:B903"/>
    <mergeCell ref="C903:D903"/>
    <mergeCell ref="E903:F903"/>
    <mergeCell ref="G903:H903"/>
    <mergeCell ref="I903:J903"/>
    <mergeCell ref="K903:L903"/>
    <mergeCell ref="M901:N901"/>
    <mergeCell ref="O901:P901"/>
    <mergeCell ref="A902:B902"/>
    <mergeCell ref="C902:D902"/>
    <mergeCell ref="E902:F902"/>
    <mergeCell ref="G902:H902"/>
    <mergeCell ref="I902:J902"/>
    <mergeCell ref="K902:L902"/>
    <mergeCell ref="M902:N902"/>
    <mergeCell ref="O902:P902"/>
    <mergeCell ref="A901:B901"/>
    <mergeCell ref="C901:D901"/>
    <mergeCell ref="E901:F901"/>
    <mergeCell ref="G901:H901"/>
    <mergeCell ref="I901:J901"/>
    <mergeCell ref="K901:L901"/>
    <mergeCell ref="M911:N911"/>
    <mergeCell ref="O911:P911"/>
    <mergeCell ref="A912:B912"/>
    <mergeCell ref="C912:D912"/>
    <mergeCell ref="E912:F912"/>
    <mergeCell ref="G912:H912"/>
    <mergeCell ref="I912:J912"/>
    <mergeCell ref="K912:L912"/>
    <mergeCell ref="M912:N912"/>
    <mergeCell ref="O912:P912"/>
    <mergeCell ref="A911:B911"/>
    <mergeCell ref="C911:D911"/>
    <mergeCell ref="E911:F911"/>
    <mergeCell ref="G911:H911"/>
    <mergeCell ref="I911:J911"/>
    <mergeCell ref="K911:L911"/>
    <mergeCell ref="M909:N909"/>
    <mergeCell ref="O909:P909"/>
    <mergeCell ref="A910:B910"/>
    <mergeCell ref="C910:D910"/>
    <mergeCell ref="E910:F910"/>
    <mergeCell ref="G910:H910"/>
    <mergeCell ref="I910:J910"/>
    <mergeCell ref="K910:L910"/>
    <mergeCell ref="M910:N910"/>
    <mergeCell ref="O910:P910"/>
    <mergeCell ref="A909:B909"/>
    <mergeCell ref="C909:D909"/>
    <mergeCell ref="E909:F909"/>
    <mergeCell ref="G909:H909"/>
    <mergeCell ref="I909:J909"/>
    <mergeCell ref="K909:L909"/>
    <mergeCell ref="M907:N907"/>
    <mergeCell ref="O907:P907"/>
    <mergeCell ref="A908:B908"/>
    <mergeCell ref="C908:D908"/>
    <mergeCell ref="E908:F908"/>
    <mergeCell ref="G908:H908"/>
    <mergeCell ref="I908:J908"/>
    <mergeCell ref="K908:L908"/>
    <mergeCell ref="M908:N908"/>
    <mergeCell ref="O908:P908"/>
    <mergeCell ref="A907:B907"/>
    <mergeCell ref="C907:D907"/>
    <mergeCell ref="E907:F907"/>
    <mergeCell ref="G907:H907"/>
    <mergeCell ref="I907:J907"/>
    <mergeCell ref="K907:L907"/>
    <mergeCell ref="M917:N917"/>
    <mergeCell ref="O917:P917"/>
    <mergeCell ref="A918:B918"/>
    <mergeCell ref="C918:D918"/>
    <mergeCell ref="E918:F918"/>
    <mergeCell ref="G918:H918"/>
    <mergeCell ref="I918:J918"/>
    <mergeCell ref="K918:L918"/>
    <mergeCell ref="M918:N918"/>
    <mergeCell ref="O918:P918"/>
    <mergeCell ref="A917:B917"/>
    <mergeCell ref="C917:D917"/>
    <mergeCell ref="E917:F917"/>
    <mergeCell ref="G917:H917"/>
    <mergeCell ref="I917:J917"/>
    <mergeCell ref="K917:L917"/>
    <mergeCell ref="M915:N915"/>
    <mergeCell ref="O915:P915"/>
    <mergeCell ref="A916:B916"/>
    <mergeCell ref="C916:D916"/>
    <mergeCell ref="E916:F916"/>
    <mergeCell ref="G916:H916"/>
    <mergeCell ref="I916:J916"/>
    <mergeCell ref="K916:L916"/>
    <mergeCell ref="M916:N916"/>
    <mergeCell ref="O916:P916"/>
    <mergeCell ref="A915:B915"/>
    <mergeCell ref="C915:D915"/>
    <mergeCell ref="E915:F915"/>
    <mergeCell ref="G915:H915"/>
    <mergeCell ref="I915:J915"/>
    <mergeCell ref="K915:L915"/>
    <mergeCell ref="M913:N913"/>
    <mergeCell ref="O913:P913"/>
    <mergeCell ref="A914:B914"/>
    <mergeCell ref="C914:D914"/>
    <mergeCell ref="E914:F914"/>
    <mergeCell ref="G914:H914"/>
    <mergeCell ref="I914:J914"/>
    <mergeCell ref="K914:L914"/>
    <mergeCell ref="M914:N914"/>
    <mergeCell ref="O914:P914"/>
    <mergeCell ref="A913:B913"/>
    <mergeCell ref="C913:D913"/>
    <mergeCell ref="E913:F913"/>
    <mergeCell ref="G913:H913"/>
    <mergeCell ref="I913:J913"/>
    <mergeCell ref="K913:L913"/>
    <mergeCell ref="M923:N923"/>
    <mergeCell ref="O923:P923"/>
    <mergeCell ref="A924:B924"/>
    <mergeCell ref="C924:D924"/>
    <mergeCell ref="E924:F924"/>
    <mergeCell ref="G924:H924"/>
    <mergeCell ref="I924:J924"/>
    <mergeCell ref="K924:L924"/>
    <mergeCell ref="M924:N924"/>
    <mergeCell ref="O924:P924"/>
    <mergeCell ref="A923:B923"/>
    <mergeCell ref="C923:D923"/>
    <mergeCell ref="E923:F923"/>
    <mergeCell ref="G923:H923"/>
    <mergeCell ref="I923:J923"/>
    <mergeCell ref="K923:L923"/>
    <mergeCell ref="M921:N921"/>
    <mergeCell ref="O921:P921"/>
    <mergeCell ref="A922:B922"/>
    <mergeCell ref="C922:D922"/>
    <mergeCell ref="E922:F922"/>
    <mergeCell ref="G922:H922"/>
    <mergeCell ref="I922:J922"/>
    <mergeCell ref="K922:L922"/>
    <mergeCell ref="M922:N922"/>
    <mergeCell ref="O922:P922"/>
    <mergeCell ref="A921:B921"/>
    <mergeCell ref="C921:D921"/>
    <mergeCell ref="E921:F921"/>
    <mergeCell ref="G921:H921"/>
    <mergeCell ref="I921:J921"/>
    <mergeCell ref="K921:L921"/>
    <mergeCell ref="M919:N919"/>
    <mergeCell ref="O919:P919"/>
    <mergeCell ref="A920:B920"/>
    <mergeCell ref="C920:D920"/>
    <mergeCell ref="E920:F920"/>
    <mergeCell ref="G920:H920"/>
    <mergeCell ref="I920:J920"/>
    <mergeCell ref="K920:L920"/>
    <mergeCell ref="M920:N920"/>
    <mergeCell ref="O920:P920"/>
    <mergeCell ref="A919:B919"/>
    <mergeCell ref="C919:D919"/>
    <mergeCell ref="E919:F919"/>
    <mergeCell ref="G919:H919"/>
    <mergeCell ref="I919:J919"/>
    <mergeCell ref="K919:L919"/>
    <mergeCell ref="M929:N929"/>
    <mergeCell ref="O929:P929"/>
    <mergeCell ref="A930:B930"/>
    <mergeCell ref="C930:D930"/>
    <mergeCell ref="E930:F930"/>
    <mergeCell ref="G930:H930"/>
    <mergeCell ref="I930:J930"/>
    <mergeCell ref="K930:L930"/>
    <mergeCell ref="M930:N930"/>
    <mergeCell ref="O930:P930"/>
    <mergeCell ref="A929:B929"/>
    <mergeCell ref="C929:D929"/>
    <mergeCell ref="E929:F929"/>
    <mergeCell ref="G929:H929"/>
    <mergeCell ref="I929:J929"/>
    <mergeCell ref="K929:L929"/>
    <mergeCell ref="M927:N927"/>
    <mergeCell ref="O927:P927"/>
    <mergeCell ref="A928:B928"/>
    <mergeCell ref="C928:D928"/>
    <mergeCell ref="E928:F928"/>
    <mergeCell ref="G928:H928"/>
    <mergeCell ref="I928:J928"/>
    <mergeCell ref="K928:L928"/>
    <mergeCell ref="M928:N928"/>
    <mergeCell ref="O928:P928"/>
    <mergeCell ref="A927:B927"/>
    <mergeCell ref="C927:D927"/>
    <mergeCell ref="E927:F927"/>
    <mergeCell ref="G927:H927"/>
    <mergeCell ref="I927:J927"/>
    <mergeCell ref="K927:L927"/>
    <mergeCell ref="M925:N925"/>
    <mergeCell ref="O925:P925"/>
    <mergeCell ref="A926:B926"/>
    <mergeCell ref="C926:D926"/>
    <mergeCell ref="E926:F926"/>
    <mergeCell ref="G926:H926"/>
    <mergeCell ref="I926:J926"/>
    <mergeCell ref="K926:L926"/>
    <mergeCell ref="M926:N926"/>
    <mergeCell ref="O926:P926"/>
    <mergeCell ref="A925:B925"/>
    <mergeCell ref="C925:D925"/>
    <mergeCell ref="E925:F925"/>
    <mergeCell ref="G925:H925"/>
    <mergeCell ref="I925:J925"/>
    <mergeCell ref="K925:L925"/>
    <mergeCell ref="M935:N935"/>
    <mergeCell ref="O935:P935"/>
    <mergeCell ref="A936:B936"/>
    <mergeCell ref="C936:D936"/>
    <mergeCell ref="E936:F936"/>
    <mergeCell ref="G936:H936"/>
    <mergeCell ref="I936:J936"/>
    <mergeCell ref="K936:L936"/>
    <mergeCell ref="M936:N936"/>
    <mergeCell ref="O936:P936"/>
    <mergeCell ref="A935:B935"/>
    <mergeCell ref="C935:D935"/>
    <mergeCell ref="E935:F935"/>
    <mergeCell ref="G935:H935"/>
    <mergeCell ref="I935:J935"/>
    <mergeCell ref="K935:L935"/>
    <mergeCell ref="M933:N933"/>
    <mergeCell ref="O933:P933"/>
    <mergeCell ref="A934:B934"/>
    <mergeCell ref="C934:D934"/>
    <mergeCell ref="E934:F934"/>
    <mergeCell ref="G934:H934"/>
    <mergeCell ref="I934:J934"/>
    <mergeCell ref="K934:L934"/>
    <mergeCell ref="M934:N934"/>
    <mergeCell ref="O934:P934"/>
    <mergeCell ref="A933:B933"/>
    <mergeCell ref="C933:D933"/>
    <mergeCell ref="E933:F933"/>
    <mergeCell ref="G933:H933"/>
    <mergeCell ref="I933:J933"/>
    <mergeCell ref="K933:L933"/>
    <mergeCell ref="M931:N931"/>
    <mergeCell ref="O931:P931"/>
    <mergeCell ref="A932:B932"/>
    <mergeCell ref="C932:D932"/>
    <mergeCell ref="E932:F932"/>
    <mergeCell ref="G932:H932"/>
    <mergeCell ref="I932:J932"/>
    <mergeCell ref="K932:L932"/>
    <mergeCell ref="M932:N932"/>
    <mergeCell ref="O932:P932"/>
    <mergeCell ref="A931:B931"/>
    <mergeCell ref="C931:D931"/>
    <mergeCell ref="E931:F931"/>
    <mergeCell ref="G931:H931"/>
    <mergeCell ref="I931:J931"/>
    <mergeCell ref="K931:L931"/>
    <mergeCell ref="M941:N941"/>
    <mergeCell ref="O941:P941"/>
    <mergeCell ref="A942:B942"/>
    <mergeCell ref="C942:D942"/>
    <mergeCell ref="E942:F942"/>
    <mergeCell ref="G942:H942"/>
    <mergeCell ref="I942:J942"/>
    <mergeCell ref="K942:L942"/>
    <mergeCell ref="M942:N942"/>
    <mergeCell ref="O942:P942"/>
    <mergeCell ref="A941:B941"/>
    <mergeCell ref="C941:D941"/>
    <mergeCell ref="E941:F941"/>
    <mergeCell ref="G941:H941"/>
    <mergeCell ref="I941:J941"/>
    <mergeCell ref="K941:L941"/>
    <mergeCell ref="M939:N939"/>
    <mergeCell ref="O939:P939"/>
    <mergeCell ref="A940:B940"/>
    <mergeCell ref="C940:D940"/>
    <mergeCell ref="E940:F940"/>
    <mergeCell ref="G940:H940"/>
    <mergeCell ref="I940:J940"/>
    <mergeCell ref="K940:L940"/>
    <mergeCell ref="M940:N940"/>
    <mergeCell ref="O940:P940"/>
    <mergeCell ref="A939:B939"/>
    <mergeCell ref="C939:D939"/>
    <mergeCell ref="E939:F939"/>
    <mergeCell ref="G939:H939"/>
    <mergeCell ref="I939:J939"/>
    <mergeCell ref="K939:L939"/>
    <mergeCell ref="M937:N937"/>
    <mergeCell ref="O937:P937"/>
    <mergeCell ref="A938:B938"/>
    <mergeCell ref="C938:D938"/>
    <mergeCell ref="E938:F938"/>
    <mergeCell ref="G938:H938"/>
    <mergeCell ref="I938:J938"/>
    <mergeCell ref="K938:L938"/>
    <mergeCell ref="M938:N938"/>
    <mergeCell ref="O938:P938"/>
    <mergeCell ref="A937:B937"/>
    <mergeCell ref="C937:D937"/>
    <mergeCell ref="E937:F937"/>
    <mergeCell ref="G937:H937"/>
    <mergeCell ref="I937:J937"/>
    <mergeCell ref="K937:L937"/>
    <mergeCell ref="M947:N947"/>
    <mergeCell ref="O947:P947"/>
    <mergeCell ref="A948:B948"/>
    <mergeCell ref="C948:D948"/>
    <mergeCell ref="E948:F948"/>
    <mergeCell ref="G948:H948"/>
    <mergeCell ref="I948:J948"/>
    <mergeCell ref="K948:L948"/>
    <mergeCell ref="M948:N948"/>
    <mergeCell ref="O948:P948"/>
    <mergeCell ref="A947:B947"/>
    <mergeCell ref="C947:D947"/>
    <mergeCell ref="E947:F947"/>
    <mergeCell ref="G947:H947"/>
    <mergeCell ref="I947:J947"/>
    <mergeCell ref="K947:L947"/>
    <mergeCell ref="M945:N945"/>
    <mergeCell ref="O945:P945"/>
    <mergeCell ref="A946:B946"/>
    <mergeCell ref="C946:D946"/>
    <mergeCell ref="E946:F946"/>
    <mergeCell ref="G946:H946"/>
    <mergeCell ref="I946:J946"/>
    <mergeCell ref="K946:L946"/>
    <mergeCell ref="M946:N946"/>
    <mergeCell ref="O946:P946"/>
    <mergeCell ref="A945:B945"/>
    <mergeCell ref="C945:D945"/>
    <mergeCell ref="E945:F945"/>
    <mergeCell ref="G945:H945"/>
    <mergeCell ref="I945:J945"/>
    <mergeCell ref="K945:L945"/>
    <mergeCell ref="M943:N943"/>
    <mergeCell ref="O943:P943"/>
    <mergeCell ref="A944:B944"/>
    <mergeCell ref="C944:D944"/>
    <mergeCell ref="E944:F944"/>
    <mergeCell ref="G944:H944"/>
    <mergeCell ref="I944:J944"/>
    <mergeCell ref="K944:L944"/>
    <mergeCell ref="M944:N944"/>
    <mergeCell ref="O944:P944"/>
    <mergeCell ref="A943:B943"/>
    <mergeCell ref="C943:D943"/>
    <mergeCell ref="E943:F943"/>
    <mergeCell ref="G943:H943"/>
    <mergeCell ref="I943:J943"/>
    <mergeCell ref="K943:L943"/>
    <mergeCell ref="M953:N953"/>
    <mergeCell ref="O953:P953"/>
    <mergeCell ref="A954:B954"/>
    <mergeCell ref="C954:D954"/>
    <mergeCell ref="E954:F954"/>
    <mergeCell ref="G954:H954"/>
    <mergeCell ref="I954:J954"/>
    <mergeCell ref="K954:L954"/>
    <mergeCell ref="M954:N954"/>
    <mergeCell ref="O954:P954"/>
    <mergeCell ref="A953:B953"/>
    <mergeCell ref="C953:D953"/>
    <mergeCell ref="E953:F953"/>
    <mergeCell ref="G953:H953"/>
    <mergeCell ref="I953:J953"/>
    <mergeCell ref="K953:L953"/>
    <mergeCell ref="M951:N951"/>
    <mergeCell ref="O951:P951"/>
    <mergeCell ref="A952:B952"/>
    <mergeCell ref="C952:D952"/>
    <mergeCell ref="E952:F952"/>
    <mergeCell ref="G952:H952"/>
    <mergeCell ref="I952:J952"/>
    <mergeCell ref="K952:L952"/>
    <mergeCell ref="M952:N952"/>
    <mergeCell ref="O952:P952"/>
    <mergeCell ref="A951:B951"/>
    <mergeCell ref="C951:D951"/>
    <mergeCell ref="E951:F951"/>
    <mergeCell ref="G951:H951"/>
    <mergeCell ref="I951:J951"/>
    <mergeCell ref="K951:L951"/>
    <mergeCell ref="M949:N949"/>
    <mergeCell ref="O949:P949"/>
    <mergeCell ref="A950:B950"/>
    <mergeCell ref="C950:D950"/>
    <mergeCell ref="E950:F950"/>
    <mergeCell ref="G950:H950"/>
    <mergeCell ref="I950:J950"/>
    <mergeCell ref="K950:L950"/>
    <mergeCell ref="M950:N950"/>
    <mergeCell ref="O950:P950"/>
    <mergeCell ref="A949:B949"/>
    <mergeCell ref="C949:D949"/>
    <mergeCell ref="E949:F949"/>
    <mergeCell ref="G949:H949"/>
    <mergeCell ref="I949:J949"/>
    <mergeCell ref="K949:L949"/>
    <mergeCell ref="M959:N959"/>
    <mergeCell ref="O959:P959"/>
    <mergeCell ref="A960:B960"/>
    <mergeCell ref="C960:D960"/>
    <mergeCell ref="E960:F960"/>
    <mergeCell ref="G960:H960"/>
    <mergeCell ref="I960:J960"/>
    <mergeCell ref="K960:L960"/>
    <mergeCell ref="M960:N960"/>
    <mergeCell ref="O960:P960"/>
    <mergeCell ref="A959:B959"/>
    <mergeCell ref="C959:D959"/>
    <mergeCell ref="E959:F959"/>
    <mergeCell ref="G959:H959"/>
    <mergeCell ref="I959:J959"/>
    <mergeCell ref="K959:L959"/>
    <mergeCell ref="M957:N957"/>
    <mergeCell ref="O957:P957"/>
    <mergeCell ref="A958:B958"/>
    <mergeCell ref="C958:D958"/>
    <mergeCell ref="E958:F958"/>
    <mergeCell ref="G958:H958"/>
    <mergeCell ref="I958:J958"/>
    <mergeCell ref="K958:L958"/>
    <mergeCell ref="M958:N958"/>
    <mergeCell ref="O958:P958"/>
    <mergeCell ref="A957:B957"/>
    <mergeCell ref="C957:D957"/>
    <mergeCell ref="E957:F957"/>
    <mergeCell ref="G957:H957"/>
    <mergeCell ref="I957:J957"/>
    <mergeCell ref="K957:L957"/>
    <mergeCell ref="M955:N955"/>
    <mergeCell ref="O955:P955"/>
    <mergeCell ref="A956:B956"/>
    <mergeCell ref="C956:D956"/>
    <mergeCell ref="E956:F956"/>
    <mergeCell ref="G956:H956"/>
    <mergeCell ref="I956:J956"/>
    <mergeCell ref="K956:L956"/>
    <mergeCell ref="M956:N956"/>
    <mergeCell ref="O956:P956"/>
    <mergeCell ref="A955:B955"/>
    <mergeCell ref="C955:D955"/>
    <mergeCell ref="E955:F955"/>
    <mergeCell ref="G955:H955"/>
    <mergeCell ref="I955:J955"/>
    <mergeCell ref="K955:L955"/>
    <mergeCell ref="M965:N965"/>
    <mergeCell ref="O965:P965"/>
    <mergeCell ref="A966:B966"/>
    <mergeCell ref="C966:D966"/>
    <mergeCell ref="E966:F966"/>
    <mergeCell ref="G966:H966"/>
    <mergeCell ref="I966:J966"/>
    <mergeCell ref="K966:L966"/>
    <mergeCell ref="M966:N966"/>
    <mergeCell ref="O966:P966"/>
    <mergeCell ref="A965:B965"/>
    <mergeCell ref="C965:D965"/>
    <mergeCell ref="E965:F965"/>
    <mergeCell ref="G965:H965"/>
    <mergeCell ref="I965:J965"/>
    <mergeCell ref="K965:L965"/>
    <mergeCell ref="M963:N963"/>
    <mergeCell ref="O963:P963"/>
    <mergeCell ref="A964:B964"/>
    <mergeCell ref="C964:D964"/>
    <mergeCell ref="E964:F964"/>
    <mergeCell ref="G964:H964"/>
    <mergeCell ref="I964:J964"/>
    <mergeCell ref="K964:L964"/>
    <mergeCell ref="M964:N964"/>
    <mergeCell ref="O964:P964"/>
    <mergeCell ref="A963:B963"/>
    <mergeCell ref="C963:D963"/>
    <mergeCell ref="E963:F963"/>
    <mergeCell ref="G963:H963"/>
    <mergeCell ref="I963:J963"/>
    <mergeCell ref="K963:L963"/>
    <mergeCell ref="M961:N961"/>
    <mergeCell ref="O961:P961"/>
    <mergeCell ref="A962:B962"/>
    <mergeCell ref="C962:D962"/>
    <mergeCell ref="E962:F962"/>
    <mergeCell ref="G962:H962"/>
    <mergeCell ref="I962:J962"/>
    <mergeCell ref="K962:L962"/>
    <mergeCell ref="M962:N962"/>
    <mergeCell ref="O962:P962"/>
    <mergeCell ref="A961:B961"/>
    <mergeCell ref="C961:D961"/>
    <mergeCell ref="E961:F961"/>
    <mergeCell ref="G961:H961"/>
    <mergeCell ref="I961:J961"/>
    <mergeCell ref="K961:L961"/>
    <mergeCell ref="M971:N971"/>
    <mergeCell ref="O971:P971"/>
    <mergeCell ref="A972:B972"/>
    <mergeCell ref="C972:D972"/>
    <mergeCell ref="E972:F972"/>
    <mergeCell ref="G972:H972"/>
    <mergeCell ref="I972:J972"/>
    <mergeCell ref="K972:L972"/>
    <mergeCell ref="M972:N972"/>
    <mergeCell ref="O972:P972"/>
    <mergeCell ref="A971:B971"/>
    <mergeCell ref="C971:D971"/>
    <mergeCell ref="E971:F971"/>
    <mergeCell ref="G971:H971"/>
    <mergeCell ref="I971:J971"/>
    <mergeCell ref="K971:L971"/>
    <mergeCell ref="M969:N969"/>
    <mergeCell ref="O969:P969"/>
    <mergeCell ref="A970:B970"/>
    <mergeCell ref="C970:D970"/>
    <mergeCell ref="E970:F970"/>
    <mergeCell ref="G970:H970"/>
    <mergeCell ref="I970:J970"/>
    <mergeCell ref="K970:L970"/>
    <mergeCell ref="M970:N970"/>
    <mergeCell ref="O970:P970"/>
    <mergeCell ref="A969:B969"/>
    <mergeCell ref="C969:D969"/>
    <mergeCell ref="E969:F969"/>
    <mergeCell ref="G969:H969"/>
    <mergeCell ref="I969:J969"/>
    <mergeCell ref="K969:L969"/>
    <mergeCell ref="M967:N967"/>
    <mergeCell ref="O967:P967"/>
    <mergeCell ref="A968:B968"/>
    <mergeCell ref="C968:D968"/>
    <mergeCell ref="E968:F968"/>
    <mergeCell ref="G968:H968"/>
    <mergeCell ref="I968:J968"/>
    <mergeCell ref="K968:L968"/>
    <mergeCell ref="M968:N968"/>
    <mergeCell ref="O968:P968"/>
    <mergeCell ref="A967:B967"/>
    <mergeCell ref="C967:D967"/>
    <mergeCell ref="E967:F967"/>
    <mergeCell ref="G967:H967"/>
    <mergeCell ref="I967:J967"/>
    <mergeCell ref="K967:L967"/>
    <mergeCell ref="M977:N977"/>
    <mergeCell ref="O977:P977"/>
    <mergeCell ref="A978:B978"/>
    <mergeCell ref="C978:D978"/>
    <mergeCell ref="E978:F978"/>
    <mergeCell ref="G978:H978"/>
    <mergeCell ref="I978:J978"/>
    <mergeCell ref="K978:L978"/>
    <mergeCell ref="M978:N978"/>
    <mergeCell ref="O978:P978"/>
    <mergeCell ref="A977:B977"/>
    <mergeCell ref="C977:D977"/>
    <mergeCell ref="E977:F977"/>
    <mergeCell ref="G977:H977"/>
    <mergeCell ref="I977:J977"/>
    <mergeCell ref="K977:L977"/>
    <mergeCell ref="M975:N975"/>
    <mergeCell ref="O975:P975"/>
    <mergeCell ref="A976:B976"/>
    <mergeCell ref="C976:D976"/>
    <mergeCell ref="E976:F976"/>
    <mergeCell ref="G976:H976"/>
    <mergeCell ref="I976:J976"/>
    <mergeCell ref="K976:L976"/>
    <mergeCell ref="M976:N976"/>
    <mergeCell ref="O976:P976"/>
    <mergeCell ref="A975:B975"/>
    <mergeCell ref="C975:D975"/>
    <mergeCell ref="E975:F975"/>
    <mergeCell ref="G975:H975"/>
    <mergeCell ref="I975:J975"/>
    <mergeCell ref="K975:L975"/>
    <mergeCell ref="M973:N973"/>
    <mergeCell ref="O973:P973"/>
    <mergeCell ref="A974:B974"/>
    <mergeCell ref="C974:D974"/>
    <mergeCell ref="E974:F974"/>
    <mergeCell ref="G974:H974"/>
    <mergeCell ref="I974:J974"/>
    <mergeCell ref="K974:L974"/>
    <mergeCell ref="M974:N974"/>
    <mergeCell ref="O974:P974"/>
    <mergeCell ref="A973:B973"/>
    <mergeCell ref="C973:D973"/>
    <mergeCell ref="E973:F973"/>
    <mergeCell ref="G973:H973"/>
    <mergeCell ref="I973:J973"/>
    <mergeCell ref="K973:L973"/>
    <mergeCell ref="M983:N983"/>
    <mergeCell ref="O983:P983"/>
    <mergeCell ref="A984:B984"/>
    <mergeCell ref="C984:D984"/>
    <mergeCell ref="E984:F984"/>
    <mergeCell ref="G984:H984"/>
    <mergeCell ref="I984:J984"/>
    <mergeCell ref="K984:L984"/>
    <mergeCell ref="M984:N984"/>
    <mergeCell ref="O984:P984"/>
    <mergeCell ref="A983:B983"/>
    <mergeCell ref="C983:D983"/>
    <mergeCell ref="E983:F983"/>
    <mergeCell ref="G983:H983"/>
    <mergeCell ref="I983:J983"/>
    <mergeCell ref="K983:L983"/>
    <mergeCell ref="M981:N981"/>
    <mergeCell ref="O981:P981"/>
    <mergeCell ref="A982:B982"/>
    <mergeCell ref="C982:D982"/>
    <mergeCell ref="E982:F982"/>
    <mergeCell ref="G982:H982"/>
    <mergeCell ref="I982:J982"/>
    <mergeCell ref="K982:L982"/>
    <mergeCell ref="M982:N982"/>
    <mergeCell ref="O982:P982"/>
    <mergeCell ref="A981:B981"/>
    <mergeCell ref="C981:D981"/>
    <mergeCell ref="E981:F981"/>
    <mergeCell ref="G981:H981"/>
    <mergeCell ref="I981:J981"/>
    <mergeCell ref="K981:L981"/>
    <mergeCell ref="M979:N979"/>
    <mergeCell ref="O979:P979"/>
    <mergeCell ref="A980:B980"/>
    <mergeCell ref="C980:D980"/>
    <mergeCell ref="E980:F980"/>
    <mergeCell ref="G980:H980"/>
    <mergeCell ref="I980:J980"/>
    <mergeCell ref="K980:L980"/>
    <mergeCell ref="M980:N980"/>
    <mergeCell ref="O980:P980"/>
    <mergeCell ref="A979:B979"/>
    <mergeCell ref="C979:D979"/>
    <mergeCell ref="E979:F979"/>
    <mergeCell ref="G979:H979"/>
    <mergeCell ref="I979:J979"/>
    <mergeCell ref="K979:L979"/>
    <mergeCell ref="M989:N989"/>
    <mergeCell ref="O989:P989"/>
    <mergeCell ref="A990:B990"/>
    <mergeCell ref="C990:D990"/>
    <mergeCell ref="E990:F990"/>
    <mergeCell ref="G990:H990"/>
    <mergeCell ref="I990:J990"/>
    <mergeCell ref="K990:L990"/>
    <mergeCell ref="M990:N990"/>
    <mergeCell ref="O990:P990"/>
    <mergeCell ref="A989:B989"/>
    <mergeCell ref="C989:D989"/>
    <mergeCell ref="E989:F989"/>
    <mergeCell ref="G989:H989"/>
    <mergeCell ref="I989:J989"/>
    <mergeCell ref="K989:L989"/>
    <mergeCell ref="M987:N987"/>
    <mergeCell ref="O987:P987"/>
    <mergeCell ref="A988:B988"/>
    <mergeCell ref="C988:D988"/>
    <mergeCell ref="E988:F988"/>
    <mergeCell ref="G988:H988"/>
    <mergeCell ref="I988:J988"/>
    <mergeCell ref="K988:L988"/>
    <mergeCell ref="M988:N988"/>
    <mergeCell ref="O988:P988"/>
    <mergeCell ref="A987:B987"/>
    <mergeCell ref="C987:D987"/>
    <mergeCell ref="E987:F987"/>
    <mergeCell ref="G987:H987"/>
    <mergeCell ref="I987:J987"/>
    <mergeCell ref="K987:L987"/>
    <mergeCell ref="M985:N985"/>
    <mergeCell ref="O985:P985"/>
    <mergeCell ref="A986:B986"/>
    <mergeCell ref="C986:D986"/>
    <mergeCell ref="E986:F986"/>
    <mergeCell ref="G986:H986"/>
    <mergeCell ref="I986:J986"/>
    <mergeCell ref="K986:L986"/>
    <mergeCell ref="M986:N986"/>
    <mergeCell ref="O986:P986"/>
    <mergeCell ref="A985:B985"/>
    <mergeCell ref="C985:D985"/>
    <mergeCell ref="E985:F985"/>
    <mergeCell ref="G985:H985"/>
    <mergeCell ref="I985:J985"/>
    <mergeCell ref="K985:L985"/>
    <mergeCell ref="M995:N995"/>
    <mergeCell ref="O995:P995"/>
    <mergeCell ref="A996:B996"/>
    <mergeCell ref="C996:D996"/>
    <mergeCell ref="E996:F996"/>
    <mergeCell ref="G996:H996"/>
    <mergeCell ref="I996:J996"/>
    <mergeCell ref="K996:L996"/>
    <mergeCell ref="M996:N996"/>
    <mergeCell ref="O996:P996"/>
    <mergeCell ref="A995:B995"/>
    <mergeCell ref="C995:D995"/>
    <mergeCell ref="E995:F995"/>
    <mergeCell ref="G995:H995"/>
    <mergeCell ref="I995:J995"/>
    <mergeCell ref="K995:L995"/>
    <mergeCell ref="M993:N993"/>
    <mergeCell ref="O993:P993"/>
    <mergeCell ref="A994:B994"/>
    <mergeCell ref="C994:D994"/>
    <mergeCell ref="E994:F994"/>
    <mergeCell ref="G994:H994"/>
    <mergeCell ref="I994:J994"/>
    <mergeCell ref="K994:L994"/>
    <mergeCell ref="M994:N994"/>
    <mergeCell ref="O994:P994"/>
    <mergeCell ref="A993:B993"/>
    <mergeCell ref="C993:D993"/>
    <mergeCell ref="E993:F993"/>
    <mergeCell ref="G993:H993"/>
    <mergeCell ref="I993:J993"/>
    <mergeCell ref="K993:L993"/>
    <mergeCell ref="M991:N991"/>
    <mergeCell ref="O991:P991"/>
    <mergeCell ref="A992:B992"/>
    <mergeCell ref="C992:D992"/>
    <mergeCell ref="E992:F992"/>
    <mergeCell ref="G992:H992"/>
    <mergeCell ref="I992:J992"/>
    <mergeCell ref="K992:L992"/>
    <mergeCell ref="M992:N992"/>
    <mergeCell ref="O992:P992"/>
    <mergeCell ref="A991:B991"/>
    <mergeCell ref="C991:D991"/>
    <mergeCell ref="E991:F991"/>
    <mergeCell ref="G991:H991"/>
    <mergeCell ref="I991:J991"/>
    <mergeCell ref="K991:L991"/>
    <mergeCell ref="M1001:N1001"/>
    <mergeCell ref="O1001:P1001"/>
    <mergeCell ref="A1002:B1002"/>
    <mergeCell ref="C1002:D1002"/>
    <mergeCell ref="E1002:F1002"/>
    <mergeCell ref="G1002:H1002"/>
    <mergeCell ref="I1002:J1002"/>
    <mergeCell ref="K1002:L1002"/>
    <mergeCell ref="M1002:N1002"/>
    <mergeCell ref="O1002:P1002"/>
    <mergeCell ref="A1001:B1001"/>
    <mergeCell ref="C1001:D1001"/>
    <mergeCell ref="E1001:F1001"/>
    <mergeCell ref="G1001:H1001"/>
    <mergeCell ref="I1001:J1001"/>
    <mergeCell ref="K1001:L1001"/>
    <mergeCell ref="M999:N999"/>
    <mergeCell ref="O999:P999"/>
    <mergeCell ref="A1000:B1000"/>
    <mergeCell ref="C1000:D1000"/>
    <mergeCell ref="E1000:F1000"/>
    <mergeCell ref="G1000:H1000"/>
    <mergeCell ref="I1000:J1000"/>
    <mergeCell ref="K1000:L1000"/>
    <mergeCell ref="M1000:N1000"/>
    <mergeCell ref="O1000:P1000"/>
    <mergeCell ref="A999:B999"/>
    <mergeCell ref="C999:D999"/>
    <mergeCell ref="E999:F999"/>
    <mergeCell ref="G999:H999"/>
    <mergeCell ref="I999:J999"/>
    <mergeCell ref="K999:L999"/>
    <mergeCell ref="M997:N997"/>
    <mergeCell ref="O997:P997"/>
    <mergeCell ref="A998:B998"/>
    <mergeCell ref="C998:D998"/>
    <mergeCell ref="E998:F998"/>
    <mergeCell ref="G998:H998"/>
    <mergeCell ref="I998:J998"/>
    <mergeCell ref="K998:L998"/>
    <mergeCell ref="M998:N998"/>
    <mergeCell ref="O998:P998"/>
    <mergeCell ref="A997:B997"/>
    <mergeCell ref="C997:D997"/>
    <mergeCell ref="E997:F997"/>
    <mergeCell ref="G997:H997"/>
    <mergeCell ref="I997:J997"/>
    <mergeCell ref="K997:L997"/>
    <mergeCell ref="M1007:N1007"/>
    <mergeCell ref="O1007:P1007"/>
    <mergeCell ref="A1008:B1008"/>
    <mergeCell ref="C1008:D1008"/>
    <mergeCell ref="E1008:F1008"/>
    <mergeCell ref="G1008:H1008"/>
    <mergeCell ref="I1008:J1008"/>
    <mergeCell ref="K1008:L1008"/>
    <mergeCell ref="M1008:N1008"/>
    <mergeCell ref="O1008:P1008"/>
    <mergeCell ref="A1007:B1007"/>
    <mergeCell ref="C1007:D1007"/>
    <mergeCell ref="E1007:F1007"/>
    <mergeCell ref="G1007:H1007"/>
    <mergeCell ref="I1007:J1007"/>
    <mergeCell ref="K1007:L1007"/>
    <mergeCell ref="M1005:N1005"/>
    <mergeCell ref="O1005:P1005"/>
    <mergeCell ref="A1006:B1006"/>
    <mergeCell ref="C1006:D1006"/>
    <mergeCell ref="E1006:F1006"/>
    <mergeCell ref="G1006:H1006"/>
    <mergeCell ref="I1006:J1006"/>
    <mergeCell ref="K1006:L1006"/>
    <mergeCell ref="M1006:N1006"/>
    <mergeCell ref="O1006:P1006"/>
    <mergeCell ref="A1005:B1005"/>
    <mergeCell ref="C1005:D1005"/>
    <mergeCell ref="E1005:F1005"/>
    <mergeCell ref="G1005:H1005"/>
    <mergeCell ref="I1005:J1005"/>
    <mergeCell ref="K1005:L1005"/>
    <mergeCell ref="M1003:N1003"/>
    <mergeCell ref="O1003:P1003"/>
    <mergeCell ref="A1004:B1004"/>
    <mergeCell ref="C1004:D1004"/>
    <mergeCell ref="E1004:F1004"/>
    <mergeCell ref="G1004:H1004"/>
    <mergeCell ref="I1004:J1004"/>
    <mergeCell ref="K1004:L1004"/>
    <mergeCell ref="M1004:N1004"/>
    <mergeCell ref="O1004:P1004"/>
    <mergeCell ref="A1003:B1003"/>
    <mergeCell ref="C1003:D1003"/>
    <mergeCell ref="E1003:F1003"/>
    <mergeCell ref="G1003:H1003"/>
    <mergeCell ref="I1003:J1003"/>
    <mergeCell ref="K1003:L1003"/>
    <mergeCell ref="M1013:N1013"/>
    <mergeCell ref="O1013:P1013"/>
    <mergeCell ref="A1014:B1014"/>
    <mergeCell ref="C1014:D1014"/>
    <mergeCell ref="E1014:F1014"/>
    <mergeCell ref="G1014:H1014"/>
    <mergeCell ref="I1014:J1014"/>
    <mergeCell ref="K1014:L1014"/>
    <mergeCell ref="M1014:N1014"/>
    <mergeCell ref="O1014:P1014"/>
    <mergeCell ref="A1013:B1013"/>
    <mergeCell ref="C1013:D1013"/>
    <mergeCell ref="E1013:F1013"/>
    <mergeCell ref="G1013:H1013"/>
    <mergeCell ref="I1013:J1013"/>
    <mergeCell ref="K1013:L1013"/>
    <mergeCell ref="M1011:N1011"/>
    <mergeCell ref="O1011:P1011"/>
    <mergeCell ref="A1012:B1012"/>
    <mergeCell ref="C1012:D1012"/>
    <mergeCell ref="E1012:F1012"/>
    <mergeCell ref="G1012:H1012"/>
    <mergeCell ref="I1012:J1012"/>
    <mergeCell ref="K1012:L1012"/>
    <mergeCell ref="M1012:N1012"/>
    <mergeCell ref="O1012:P1012"/>
    <mergeCell ref="A1011:B1011"/>
    <mergeCell ref="C1011:D1011"/>
    <mergeCell ref="E1011:F1011"/>
    <mergeCell ref="G1011:H1011"/>
    <mergeCell ref="I1011:J1011"/>
    <mergeCell ref="K1011:L1011"/>
    <mergeCell ref="M1009:N1009"/>
    <mergeCell ref="O1009:P1009"/>
    <mergeCell ref="A1010:B1010"/>
    <mergeCell ref="C1010:D1010"/>
    <mergeCell ref="E1010:F1010"/>
    <mergeCell ref="G1010:H1010"/>
    <mergeCell ref="I1010:J1010"/>
    <mergeCell ref="K1010:L1010"/>
    <mergeCell ref="M1010:N1010"/>
    <mergeCell ref="O1010:P1010"/>
    <mergeCell ref="A1009:B1009"/>
    <mergeCell ref="C1009:D1009"/>
    <mergeCell ref="E1009:F1009"/>
    <mergeCell ref="G1009:H1009"/>
    <mergeCell ref="I1009:J1009"/>
    <mergeCell ref="K1009:L1009"/>
    <mergeCell ref="M1019:N1019"/>
    <mergeCell ref="O1019:P1019"/>
    <mergeCell ref="A1020:B1020"/>
    <mergeCell ref="C1020:D1020"/>
    <mergeCell ref="E1020:F1020"/>
    <mergeCell ref="G1020:H1020"/>
    <mergeCell ref="I1020:J1020"/>
    <mergeCell ref="K1020:L1020"/>
    <mergeCell ref="M1020:N1020"/>
    <mergeCell ref="O1020:P1020"/>
    <mergeCell ref="A1019:B1019"/>
    <mergeCell ref="C1019:D1019"/>
    <mergeCell ref="E1019:F1019"/>
    <mergeCell ref="G1019:H1019"/>
    <mergeCell ref="I1019:J1019"/>
    <mergeCell ref="K1019:L1019"/>
    <mergeCell ref="M1017:N1017"/>
    <mergeCell ref="O1017:P1017"/>
    <mergeCell ref="A1018:B1018"/>
    <mergeCell ref="C1018:D1018"/>
    <mergeCell ref="E1018:F1018"/>
    <mergeCell ref="G1018:H1018"/>
    <mergeCell ref="I1018:J1018"/>
    <mergeCell ref="K1018:L1018"/>
    <mergeCell ref="M1018:N1018"/>
    <mergeCell ref="O1018:P1018"/>
    <mergeCell ref="A1017:B1017"/>
    <mergeCell ref="C1017:D1017"/>
    <mergeCell ref="E1017:F1017"/>
    <mergeCell ref="G1017:H1017"/>
    <mergeCell ref="I1017:J1017"/>
    <mergeCell ref="K1017:L1017"/>
    <mergeCell ref="M1015:N1015"/>
    <mergeCell ref="O1015:P1015"/>
    <mergeCell ref="A1016:B1016"/>
    <mergeCell ref="C1016:D1016"/>
    <mergeCell ref="E1016:F1016"/>
    <mergeCell ref="G1016:H1016"/>
    <mergeCell ref="I1016:J1016"/>
    <mergeCell ref="K1016:L1016"/>
    <mergeCell ref="M1016:N1016"/>
    <mergeCell ref="O1016:P1016"/>
    <mergeCell ref="A1015:B1015"/>
    <mergeCell ref="C1015:D1015"/>
    <mergeCell ref="E1015:F1015"/>
    <mergeCell ref="G1015:H1015"/>
    <mergeCell ref="I1015:J1015"/>
    <mergeCell ref="K1015:L1015"/>
    <mergeCell ref="M1025:N1025"/>
    <mergeCell ref="O1025:P1025"/>
    <mergeCell ref="A1026:B1026"/>
    <mergeCell ref="C1026:D1026"/>
    <mergeCell ref="E1026:F1026"/>
    <mergeCell ref="G1026:H1026"/>
    <mergeCell ref="I1026:J1026"/>
    <mergeCell ref="K1026:L1026"/>
    <mergeCell ref="M1026:N1026"/>
    <mergeCell ref="O1026:P1026"/>
    <mergeCell ref="A1025:B1025"/>
    <mergeCell ref="C1025:D1025"/>
    <mergeCell ref="E1025:F1025"/>
    <mergeCell ref="G1025:H1025"/>
    <mergeCell ref="I1025:J1025"/>
    <mergeCell ref="K1025:L1025"/>
    <mergeCell ref="M1023:N1023"/>
    <mergeCell ref="O1023:P1023"/>
    <mergeCell ref="A1024:B1024"/>
    <mergeCell ref="C1024:D1024"/>
    <mergeCell ref="E1024:F1024"/>
    <mergeCell ref="G1024:H1024"/>
    <mergeCell ref="I1024:J1024"/>
    <mergeCell ref="K1024:L1024"/>
    <mergeCell ref="M1024:N1024"/>
    <mergeCell ref="O1024:P1024"/>
    <mergeCell ref="A1023:B1023"/>
    <mergeCell ref="C1023:D1023"/>
    <mergeCell ref="E1023:F1023"/>
    <mergeCell ref="G1023:H1023"/>
    <mergeCell ref="I1023:J1023"/>
    <mergeCell ref="K1023:L1023"/>
    <mergeCell ref="M1021:N1021"/>
    <mergeCell ref="O1021:P1021"/>
    <mergeCell ref="A1022:B1022"/>
    <mergeCell ref="C1022:D1022"/>
    <mergeCell ref="E1022:F1022"/>
    <mergeCell ref="G1022:H1022"/>
    <mergeCell ref="I1022:J1022"/>
    <mergeCell ref="K1022:L1022"/>
    <mergeCell ref="M1022:N1022"/>
    <mergeCell ref="O1022:P1022"/>
    <mergeCell ref="A1021:B1021"/>
    <mergeCell ref="C1021:D1021"/>
    <mergeCell ref="E1021:F1021"/>
    <mergeCell ref="G1021:H1021"/>
    <mergeCell ref="I1021:J1021"/>
    <mergeCell ref="K1021:L1021"/>
    <mergeCell ref="M1031:N1031"/>
    <mergeCell ref="O1031:P1031"/>
    <mergeCell ref="A1032:B1032"/>
    <mergeCell ref="C1032:D1032"/>
    <mergeCell ref="E1032:F1032"/>
    <mergeCell ref="G1032:H1032"/>
    <mergeCell ref="I1032:J1032"/>
    <mergeCell ref="K1032:L1032"/>
    <mergeCell ref="M1032:N1032"/>
    <mergeCell ref="O1032:P1032"/>
    <mergeCell ref="A1031:B1031"/>
    <mergeCell ref="C1031:D1031"/>
    <mergeCell ref="E1031:F1031"/>
    <mergeCell ref="G1031:H1031"/>
    <mergeCell ref="I1031:J1031"/>
    <mergeCell ref="K1031:L1031"/>
    <mergeCell ref="M1029:N1029"/>
    <mergeCell ref="O1029:P1029"/>
    <mergeCell ref="A1030:B1030"/>
    <mergeCell ref="C1030:D1030"/>
    <mergeCell ref="E1030:F1030"/>
    <mergeCell ref="G1030:H1030"/>
    <mergeCell ref="I1030:J1030"/>
    <mergeCell ref="K1030:L1030"/>
    <mergeCell ref="M1030:N1030"/>
    <mergeCell ref="O1030:P1030"/>
    <mergeCell ref="A1029:B1029"/>
    <mergeCell ref="C1029:D1029"/>
    <mergeCell ref="E1029:F1029"/>
    <mergeCell ref="G1029:H1029"/>
    <mergeCell ref="I1029:J1029"/>
    <mergeCell ref="K1029:L1029"/>
    <mergeCell ref="M1027:N1027"/>
    <mergeCell ref="O1027:P1027"/>
    <mergeCell ref="A1028:B1028"/>
    <mergeCell ref="C1028:D1028"/>
    <mergeCell ref="E1028:F1028"/>
    <mergeCell ref="G1028:H1028"/>
    <mergeCell ref="I1028:J1028"/>
    <mergeCell ref="K1028:L1028"/>
    <mergeCell ref="M1028:N1028"/>
    <mergeCell ref="O1028:P1028"/>
    <mergeCell ref="A1027:B1027"/>
    <mergeCell ref="C1027:D1027"/>
    <mergeCell ref="E1027:F1027"/>
    <mergeCell ref="G1027:H1027"/>
    <mergeCell ref="I1027:J1027"/>
    <mergeCell ref="K1027:L1027"/>
    <mergeCell ref="M1037:N1037"/>
    <mergeCell ref="O1037:P1037"/>
    <mergeCell ref="A1038:B1038"/>
    <mergeCell ref="C1038:D1038"/>
    <mergeCell ref="E1038:F1038"/>
    <mergeCell ref="G1038:H1038"/>
    <mergeCell ref="I1038:J1038"/>
    <mergeCell ref="K1038:L1038"/>
    <mergeCell ref="M1038:N1038"/>
    <mergeCell ref="O1038:P1038"/>
    <mergeCell ref="A1037:B1037"/>
    <mergeCell ref="C1037:D1037"/>
    <mergeCell ref="E1037:F1037"/>
    <mergeCell ref="G1037:H1037"/>
    <mergeCell ref="I1037:J1037"/>
    <mergeCell ref="K1037:L1037"/>
    <mergeCell ref="M1035:N1035"/>
    <mergeCell ref="O1035:P1035"/>
    <mergeCell ref="A1036:B1036"/>
    <mergeCell ref="C1036:D1036"/>
    <mergeCell ref="E1036:F1036"/>
    <mergeCell ref="G1036:H1036"/>
    <mergeCell ref="I1036:J1036"/>
    <mergeCell ref="K1036:L1036"/>
    <mergeCell ref="M1036:N1036"/>
    <mergeCell ref="O1036:P1036"/>
    <mergeCell ref="A1035:B1035"/>
    <mergeCell ref="C1035:D1035"/>
    <mergeCell ref="E1035:F1035"/>
    <mergeCell ref="G1035:H1035"/>
    <mergeCell ref="I1035:J1035"/>
    <mergeCell ref="K1035:L1035"/>
    <mergeCell ref="M1033:N1033"/>
    <mergeCell ref="O1033:P1033"/>
    <mergeCell ref="A1034:B1034"/>
    <mergeCell ref="C1034:D1034"/>
    <mergeCell ref="E1034:F1034"/>
    <mergeCell ref="G1034:H1034"/>
    <mergeCell ref="I1034:J1034"/>
    <mergeCell ref="K1034:L1034"/>
    <mergeCell ref="M1034:N1034"/>
    <mergeCell ref="O1034:P1034"/>
    <mergeCell ref="A1033:B1033"/>
    <mergeCell ref="C1033:D1033"/>
    <mergeCell ref="E1033:F1033"/>
    <mergeCell ref="G1033:H1033"/>
    <mergeCell ref="I1033:J1033"/>
    <mergeCell ref="K1033:L1033"/>
    <mergeCell ref="M1043:N1043"/>
    <mergeCell ref="O1043:P1043"/>
    <mergeCell ref="A1044:B1044"/>
    <mergeCell ref="C1044:D1044"/>
    <mergeCell ref="E1044:F1044"/>
    <mergeCell ref="G1044:H1044"/>
    <mergeCell ref="I1044:J1044"/>
    <mergeCell ref="K1044:L1044"/>
    <mergeCell ref="M1044:N1044"/>
    <mergeCell ref="O1044:P1044"/>
    <mergeCell ref="A1043:B1043"/>
    <mergeCell ref="C1043:D1043"/>
    <mergeCell ref="E1043:F1043"/>
    <mergeCell ref="G1043:H1043"/>
    <mergeCell ref="I1043:J1043"/>
    <mergeCell ref="K1043:L1043"/>
    <mergeCell ref="M1041:N1041"/>
    <mergeCell ref="O1041:P1041"/>
    <mergeCell ref="A1042:B1042"/>
    <mergeCell ref="C1042:D1042"/>
    <mergeCell ref="E1042:F1042"/>
    <mergeCell ref="G1042:H1042"/>
    <mergeCell ref="I1042:J1042"/>
    <mergeCell ref="K1042:L1042"/>
    <mergeCell ref="M1042:N1042"/>
    <mergeCell ref="O1042:P1042"/>
    <mergeCell ref="A1041:B1041"/>
    <mergeCell ref="C1041:D1041"/>
    <mergeCell ref="E1041:F1041"/>
    <mergeCell ref="G1041:H1041"/>
    <mergeCell ref="I1041:J1041"/>
    <mergeCell ref="K1041:L1041"/>
    <mergeCell ref="M1039:N1039"/>
    <mergeCell ref="O1039:P1039"/>
    <mergeCell ref="A1040:B1040"/>
    <mergeCell ref="C1040:D1040"/>
    <mergeCell ref="E1040:F1040"/>
    <mergeCell ref="G1040:H1040"/>
    <mergeCell ref="I1040:J1040"/>
    <mergeCell ref="K1040:L1040"/>
    <mergeCell ref="M1040:N1040"/>
    <mergeCell ref="O1040:P1040"/>
    <mergeCell ref="A1039:B1039"/>
    <mergeCell ref="C1039:D1039"/>
    <mergeCell ref="E1039:F1039"/>
    <mergeCell ref="G1039:H1039"/>
    <mergeCell ref="I1039:J1039"/>
    <mergeCell ref="K1039:L1039"/>
    <mergeCell ref="M1049:N1049"/>
    <mergeCell ref="O1049:P1049"/>
    <mergeCell ref="A1050:B1050"/>
    <mergeCell ref="C1050:D1050"/>
    <mergeCell ref="E1050:F1050"/>
    <mergeCell ref="G1050:H1050"/>
    <mergeCell ref="I1050:J1050"/>
    <mergeCell ref="K1050:L1050"/>
    <mergeCell ref="M1050:N1050"/>
    <mergeCell ref="O1050:P1050"/>
    <mergeCell ref="A1049:B1049"/>
    <mergeCell ref="C1049:D1049"/>
    <mergeCell ref="E1049:F1049"/>
    <mergeCell ref="G1049:H1049"/>
    <mergeCell ref="I1049:J1049"/>
    <mergeCell ref="K1049:L1049"/>
    <mergeCell ref="M1047:N1047"/>
    <mergeCell ref="O1047:P1047"/>
    <mergeCell ref="A1048:B1048"/>
    <mergeCell ref="C1048:D1048"/>
    <mergeCell ref="E1048:F1048"/>
    <mergeCell ref="G1048:H1048"/>
    <mergeCell ref="I1048:J1048"/>
    <mergeCell ref="K1048:L1048"/>
    <mergeCell ref="M1048:N1048"/>
    <mergeCell ref="O1048:P1048"/>
    <mergeCell ref="A1047:B1047"/>
    <mergeCell ref="C1047:D1047"/>
    <mergeCell ref="E1047:F1047"/>
    <mergeCell ref="G1047:H1047"/>
    <mergeCell ref="I1047:J1047"/>
    <mergeCell ref="K1047:L1047"/>
    <mergeCell ref="M1045:N1045"/>
    <mergeCell ref="O1045:P1045"/>
    <mergeCell ref="A1046:B1046"/>
    <mergeCell ref="C1046:D1046"/>
    <mergeCell ref="E1046:F1046"/>
    <mergeCell ref="G1046:H1046"/>
    <mergeCell ref="I1046:J1046"/>
    <mergeCell ref="K1046:L1046"/>
    <mergeCell ref="M1046:N1046"/>
    <mergeCell ref="O1046:P1046"/>
    <mergeCell ref="A1045:B1045"/>
    <mergeCell ref="C1045:D1045"/>
    <mergeCell ref="E1045:F1045"/>
    <mergeCell ref="G1045:H1045"/>
    <mergeCell ref="I1045:J1045"/>
    <mergeCell ref="K1045:L1045"/>
    <mergeCell ref="M1055:N1055"/>
    <mergeCell ref="O1055:P1055"/>
    <mergeCell ref="A1056:B1056"/>
    <mergeCell ref="C1056:D1056"/>
    <mergeCell ref="E1056:F1056"/>
    <mergeCell ref="G1056:H1056"/>
    <mergeCell ref="I1056:J1056"/>
    <mergeCell ref="K1056:L1056"/>
    <mergeCell ref="M1056:N1056"/>
    <mergeCell ref="O1056:P1056"/>
    <mergeCell ref="A1055:B1055"/>
    <mergeCell ref="C1055:D1055"/>
    <mergeCell ref="E1055:F1055"/>
    <mergeCell ref="G1055:H1055"/>
    <mergeCell ref="I1055:J1055"/>
    <mergeCell ref="K1055:L1055"/>
    <mergeCell ref="M1053:N1053"/>
    <mergeCell ref="O1053:P1053"/>
    <mergeCell ref="A1054:B1054"/>
    <mergeCell ref="C1054:D1054"/>
    <mergeCell ref="E1054:F1054"/>
    <mergeCell ref="G1054:H1054"/>
    <mergeCell ref="I1054:J1054"/>
    <mergeCell ref="K1054:L1054"/>
    <mergeCell ref="M1054:N1054"/>
    <mergeCell ref="O1054:P1054"/>
    <mergeCell ref="A1053:B1053"/>
    <mergeCell ref="C1053:D1053"/>
    <mergeCell ref="E1053:F1053"/>
    <mergeCell ref="G1053:H1053"/>
    <mergeCell ref="I1053:J1053"/>
    <mergeCell ref="K1053:L1053"/>
    <mergeCell ref="M1051:N1051"/>
    <mergeCell ref="O1051:P1051"/>
    <mergeCell ref="A1052:B1052"/>
    <mergeCell ref="C1052:D1052"/>
    <mergeCell ref="E1052:F1052"/>
    <mergeCell ref="G1052:H1052"/>
    <mergeCell ref="I1052:J1052"/>
    <mergeCell ref="K1052:L1052"/>
    <mergeCell ref="M1052:N1052"/>
    <mergeCell ref="O1052:P1052"/>
    <mergeCell ref="A1051:B1051"/>
    <mergeCell ref="C1051:D1051"/>
    <mergeCell ref="E1051:F1051"/>
    <mergeCell ref="G1051:H1051"/>
    <mergeCell ref="I1051:J1051"/>
    <mergeCell ref="K1051:L1051"/>
    <mergeCell ref="M1061:N1061"/>
    <mergeCell ref="O1061:P1061"/>
    <mergeCell ref="A1062:B1062"/>
    <mergeCell ref="C1062:D1062"/>
    <mergeCell ref="E1062:F1062"/>
    <mergeCell ref="G1062:H1062"/>
    <mergeCell ref="I1062:J1062"/>
    <mergeCell ref="K1062:L1062"/>
    <mergeCell ref="M1062:N1062"/>
    <mergeCell ref="O1062:P1062"/>
    <mergeCell ref="A1061:B1061"/>
    <mergeCell ref="C1061:D1061"/>
    <mergeCell ref="E1061:F1061"/>
    <mergeCell ref="G1061:H1061"/>
    <mergeCell ref="I1061:J1061"/>
    <mergeCell ref="K1061:L1061"/>
    <mergeCell ref="M1059:N1059"/>
    <mergeCell ref="O1059:P1059"/>
    <mergeCell ref="A1060:B1060"/>
    <mergeCell ref="C1060:D1060"/>
    <mergeCell ref="E1060:F1060"/>
    <mergeCell ref="G1060:H1060"/>
    <mergeCell ref="I1060:J1060"/>
    <mergeCell ref="K1060:L1060"/>
    <mergeCell ref="M1060:N1060"/>
    <mergeCell ref="O1060:P1060"/>
    <mergeCell ref="A1059:B1059"/>
    <mergeCell ref="C1059:D1059"/>
    <mergeCell ref="E1059:F1059"/>
    <mergeCell ref="G1059:H1059"/>
    <mergeCell ref="I1059:J1059"/>
    <mergeCell ref="K1059:L1059"/>
    <mergeCell ref="M1057:N1057"/>
    <mergeCell ref="O1057:P1057"/>
    <mergeCell ref="A1058:B1058"/>
    <mergeCell ref="C1058:D1058"/>
    <mergeCell ref="E1058:F1058"/>
    <mergeCell ref="G1058:H1058"/>
    <mergeCell ref="I1058:J1058"/>
    <mergeCell ref="K1058:L1058"/>
    <mergeCell ref="M1058:N1058"/>
    <mergeCell ref="O1058:P1058"/>
    <mergeCell ref="A1057:B1057"/>
    <mergeCell ref="C1057:D1057"/>
    <mergeCell ref="E1057:F1057"/>
    <mergeCell ref="G1057:H1057"/>
    <mergeCell ref="I1057:J1057"/>
    <mergeCell ref="K1057:L1057"/>
    <mergeCell ref="M1067:N1067"/>
    <mergeCell ref="O1067:P1067"/>
    <mergeCell ref="A1068:B1068"/>
    <mergeCell ref="C1068:D1068"/>
    <mergeCell ref="E1068:F1068"/>
    <mergeCell ref="G1068:H1068"/>
    <mergeCell ref="I1068:J1068"/>
    <mergeCell ref="K1068:L1068"/>
    <mergeCell ref="M1068:N1068"/>
    <mergeCell ref="O1068:P1068"/>
    <mergeCell ref="A1067:B1067"/>
    <mergeCell ref="C1067:D1067"/>
    <mergeCell ref="E1067:F1067"/>
    <mergeCell ref="G1067:H1067"/>
    <mergeCell ref="I1067:J1067"/>
    <mergeCell ref="K1067:L1067"/>
    <mergeCell ref="M1065:N1065"/>
    <mergeCell ref="O1065:P1065"/>
    <mergeCell ref="A1066:B1066"/>
    <mergeCell ref="C1066:D1066"/>
    <mergeCell ref="E1066:F1066"/>
    <mergeCell ref="G1066:H1066"/>
    <mergeCell ref="I1066:J1066"/>
    <mergeCell ref="K1066:L1066"/>
    <mergeCell ref="M1066:N1066"/>
    <mergeCell ref="O1066:P1066"/>
    <mergeCell ref="A1065:B1065"/>
    <mergeCell ref="C1065:D1065"/>
    <mergeCell ref="E1065:F1065"/>
    <mergeCell ref="G1065:H1065"/>
    <mergeCell ref="I1065:J1065"/>
    <mergeCell ref="K1065:L1065"/>
    <mergeCell ref="M1063:N1063"/>
    <mergeCell ref="O1063:P1063"/>
    <mergeCell ref="A1064:B1064"/>
    <mergeCell ref="C1064:D1064"/>
    <mergeCell ref="E1064:F1064"/>
    <mergeCell ref="G1064:H1064"/>
    <mergeCell ref="I1064:J1064"/>
    <mergeCell ref="K1064:L1064"/>
    <mergeCell ref="M1064:N1064"/>
    <mergeCell ref="O1064:P1064"/>
    <mergeCell ref="A1063:B1063"/>
    <mergeCell ref="C1063:D1063"/>
    <mergeCell ref="E1063:F1063"/>
    <mergeCell ref="G1063:H1063"/>
    <mergeCell ref="I1063:J1063"/>
    <mergeCell ref="K1063:L1063"/>
    <mergeCell ref="M1073:N1073"/>
    <mergeCell ref="O1073:P1073"/>
    <mergeCell ref="A1074:B1074"/>
    <mergeCell ref="C1074:D1074"/>
    <mergeCell ref="E1074:F1074"/>
    <mergeCell ref="G1074:H1074"/>
    <mergeCell ref="I1074:J1074"/>
    <mergeCell ref="K1074:L1074"/>
    <mergeCell ref="M1074:N1074"/>
    <mergeCell ref="O1074:P1074"/>
    <mergeCell ref="A1073:B1073"/>
    <mergeCell ref="C1073:D1073"/>
    <mergeCell ref="E1073:F1073"/>
    <mergeCell ref="G1073:H1073"/>
    <mergeCell ref="I1073:J1073"/>
    <mergeCell ref="K1073:L1073"/>
    <mergeCell ref="M1071:N1071"/>
    <mergeCell ref="O1071:P1071"/>
    <mergeCell ref="A1072:B1072"/>
    <mergeCell ref="C1072:D1072"/>
    <mergeCell ref="E1072:F1072"/>
    <mergeCell ref="G1072:H1072"/>
    <mergeCell ref="I1072:J1072"/>
    <mergeCell ref="K1072:L1072"/>
    <mergeCell ref="M1072:N1072"/>
    <mergeCell ref="O1072:P1072"/>
    <mergeCell ref="A1071:B1071"/>
    <mergeCell ref="C1071:D1071"/>
    <mergeCell ref="E1071:F1071"/>
    <mergeCell ref="G1071:H1071"/>
    <mergeCell ref="I1071:J1071"/>
    <mergeCell ref="K1071:L1071"/>
    <mergeCell ref="M1069:N1069"/>
    <mergeCell ref="O1069:P1069"/>
    <mergeCell ref="A1070:B1070"/>
    <mergeCell ref="C1070:D1070"/>
    <mergeCell ref="E1070:F1070"/>
    <mergeCell ref="G1070:H1070"/>
    <mergeCell ref="I1070:J1070"/>
    <mergeCell ref="K1070:L1070"/>
    <mergeCell ref="M1070:N1070"/>
    <mergeCell ref="O1070:P1070"/>
    <mergeCell ref="A1069:B1069"/>
    <mergeCell ref="C1069:D1069"/>
    <mergeCell ref="E1069:F1069"/>
    <mergeCell ref="G1069:H1069"/>
    <mergeCell ref="I1069:J1069"/>
    <mergeCell ref="K1069:L1069"/>
    <mergeCell ref="M1079:N1079"/>
    <mergeCell ref="O1079:P1079"/>
    <mergeCell ref="A1080:B1080"/>
    <mergeCell ref="C1080:D1080"/>
    <mergeCell ref="E1080:F1080"/>
    <mergeCell ref="G1080:H1080"/>
    <mergeCell ref="I1080:J1080"/>
    <mergeCell ref="K1080:L1080"/>
    <mergeCell ref="M1080:N1080"/>
    <mergeCell ref="O1080:P1080"/>
    <mergeCell ref="A1079:B1079"/>
    <mergeCell ref="C1079:D1079"/>
    <mergeCell ref="E1079:F1079"/>
    <mergeCell ref="G1079:H1079"/>
    <mergeCell ref="I1079:J1079"/>
    <mergeCell ref="K1079:L1079"/>
    <mergeCell ref="M1077:N1077"/>
    <mergeCell ref="O1077:P1077"/>
    <mergeCell ref="A1078:B1078"/>
    <mergeCell ref="C1078:D1078"/>
    <mergeCell ref="E1078:F1078"/>
    <mergeCell ref="G1078:H1078"/>
    <mergeCell ref="I1078:J1078"/>
    <mergeCell ref="K1078:L1078"/>
    <mergeCell ref="M1078:N1078"/>
    <mergeCell ref="O1078:P1078"/>
    <mergeCell ref="A1077:B1077"/>
    <mergeCell ref="C1077:D1077"/>
    <mergeCell ref="E1077:F1077"/>
    <mergeCell ref="G1077:H1077"/>
    <mergeCell ref="I1077:J1077"/>
    <mergeCell ref="K1077:L1077"/>
    <mergeCell ref="M1075:N1075"/>
    <mergeCell ref="O1075:P1075"/>
    <mergeCell ref="A1076:B1076"/>
    <mergeCell ref="C1076:D1076"/>
    <mergeCell ref="E1076:F1076"/>
    <mergeCell ref="G1076:H1076"/>
    <mergeCell ref="I1076:J1076"/>
    <mergeCell ref="K1076:L1076"/>
    <mergeCell ref="M1076:N1076"/>
    <mergeCell ref="O1076:P1076"/>
    <mergeCell ref="A1075:B1075"/>
    <mergeCell ref="C1075:D1075"/>
    <mergeCell ref="E1075:F1075"/>
    <mergeCell ref="G1075:H1075"/>
    <mergeCell ref="I1075:J1075"/>
    <mergeCell ref="K1075:L1075"/>
    <mergeCell ref="M1085:N1085"/>
    <mergeCell ref="O1085:P1085"/>
    <mergeCell ref="A1086:B1086"/>
    <mergeCell ref="C1086:D1086"/>
    <mergeCell ref="E1086:F1086"/>
    <mergeCell ref="G1086:H1086"/>
    <mergeCell ref="I1086:J1086"/>
    <mergeCell ref="K1086:L1086"/>
    <mergeCell ref="M1086:N1086"/>
    <mergeCell ref="O1086:P1086"/>
    <mergeCell ref="A1085:B1085"/>
    <mergeCell ref="C1085:D1085"/>
    <mergeCell ref="E1085:F1085"/>
    <mergeCell ref="G1085:H1085"/>
    <mergeCell ref="I1085:J1085"/>
    <mergeCell ref="K1085:L1085"/>
    <mergeCell ref="M1083:N1083"/>
    <mergeCell ref="O1083:P1083"/>
    <mergeCell ref="A1084:B1084"/>
    <mergeCell ref="C1084:D1084"/>
    <mergeCell ref="E1084:F1084"/>
    <mergeCell ref="G1084:H1084"/>
    <mergeCell ref="I1084:J1084"/>
    <mergeCell ref="K1084:L1084"/>
    <mergeCell ref="M1084:N1084"/>
    <mergeCell ref="O1084:P1084"/>
    <mergeCell ref="A1083:B1083"/>
    <mergeCell ref="C1083:D1083"/>
    <mergeCell ref="E1083:F1083"/>
    <mergeCell ref="G1083:H1083"/>
    <mergeCell ref="I1083:J1083"/>
    <mergeCell ref="K1083:L1083"/>
    <mergeCell ref="M1081:N1081"/>
    <mergeCell ref="O1081:P1081"/>
    <mergeCell ref="A1082:B1082"/>
    <mergeCell ref="C1082:D1082"/>
    <mergeCell ref="E1082:F1082"/>
    <mergeCell ref="G1082:H1082"/>
    <mergeCell ref="I1082:J1082"/>
    <mergeCell ref="K1082:L1082"/>
    <mergeCell ref="M1082:N1082"/>
    <mergeCell ref="O1082:P1082"/>
    <mergeCell ref="A1081:B1081"/>
    <mergeCell ref="C1081:D1081"/>
    <mergeCell ref="E1081:F1081"/>
    <mergeCell ref="G1081:H1081"/>
    <mergeCell ref="I1081:J1081"/>
    <mergeCell ref="K1081:L1081"/>
    <mergeCell ref="M1091:N1091"/>
    <mergeCell ref="O1091:P1091"/>
    <mergeCell ref="A1092:B1092"/>
    <mergeCell ref="C1092:D1092"/>
    <mergeCell ref="E1092:F1092"/>
    <mergeCell ref="G1092:H1092"/>
    <mergeCell ref="I1092:J1092"/>
    <mergeCell ref="K1092:L1092"/>
    <mergeCell ref="M1092:N1092"/>
    <mergeCell ref="O1092:P1092"/>
    <mergeCell ref="A1091:B1091"/>
    <mergeCell ref="C1091:D1091"/>
    <mergeCell ref="E1091:F1091"/>
    <mergeCell ref="G1091:H1091"/>
    <mergeCell ref="I1091:J1091"/>
    <mergeCell ref="K1091:L1091"/>
    <mergeCell ref="M1089:N1089"/>
    <mergeCell ref="O1089:P1089"/>
    <mergeCell ref="A1090:B1090"/>
    <mergeCell ref="C1090:D1090"/>
    <mergeCell ref="E1090:F1090"/>
    <mergeCell ref="G1090:H1090"/>
    <mergeCell ref="I1090:J1090"/>
    <mergeCell ref="K1090:L1090"/>
    <mergeCell ref="M1090:N1090"/>
    <mergeCell ref="O1090:P1090"/>
    <mergeCell ref="A1089:B1089"/>
    <mergeCell ref="C1089:D1089"/>
    <mergeCell ref="E1089:F1089"/>
    <mergeCell ref="G1089:H1089"/>
    <mergeCell ref="I1089:J1089"/>
    <mergeCell ref="K1089:L1089"/>
    <mergeCell ref="M1087:N1087"/>
    <mergeCell ref="O1087:P1087"/>
    <mergeCell ref="A1088:B1088"/>
    <mergeCell ref="C1088:D1088"/>
    <mergeCell ref="E1088:F1088"/>
    <mergeCell ref="G1088:H1088"/>
    <mergeCell ref="I1088:J1088"/>
    <mergeCell ref="K1088:L1088"/>
    <mergeCell ref="M1088:N1088"/>
    <mergeCell ref="O1088:P1088"/>
    <mergeCell ref="A1087:B1087"/>
    <mergeCell ref="C1087:D1087"/>
    <mergeCell ref="E1087:F1087"/>
    <mergeCell ref="G1087:H1087"/>
    <mergeCell ref="I1087:J1087"/>
    <mergeCell ref="K1087:L1087"/>
    <mergeCell ref="M1097:N1097"/>
    <mergeCell ref="O1097:P1097"/>
    <mergeCell ref="A1098:B1098"/>
    <mergeCell ref="C1098:D1098"/>
    <mergeCell ref="E1098:F1098"/>
    <mergeCell ref="G1098:H1098"/>
    <mergeCell ref="I1098:J1098"/>
    <mergeCell ref="K1098:L1098"/>
    <mergeCell ref="M1098:N1098"/>
    <mergeCell ref="O1098:P1098"/>
    <mergeCell ref="A1097:B1097"/>
    <mergeCell ref="C1097:D1097"/>
    <mergeCell ref="E1097:F1097"/>
    <mergeCell ref="G1097:H1097"/>
    <mergeCell ref="I1097:J1097"/>
    <mergeCell ref="K1097:L1097"/>
    <mergeCell ref="M1095:N1095"/>
    <mergeCell ref="O1095:P1095"/>
    <mergeCell ref="A1096:B1096"/>
    <mergeCell ref="C1096:D1096"/>
    <mergeCell ref="E1096:F1096"/>
    <mergeCell ref="G1096:H1096"/>
    <mergeCell ref="I1096:J1096"/>
    <mergeCell ref="K1096:L1096"/>
    <mergeCell ref="M1096:N1096"/>
    <mergeCell ref="O1096:P1096"/>
    <mergeCell ref="A1095:B1095"/>
    <mergeCell ref="C1095:D1095"/>
    <mergeCell ref="E1095:F1095"/>
    <mergeCell ref="G1095:H1095"/>
    <mergeCell ref="I1095:J1095"/>
    <mergeCell ref="K1095:L1095"/>
    <mergeCell ref="M1093:N1093"/>
    <mergeCell ref="O1093:P1093"/>
    <mergeCell ref="A1094:B1094"/>
    <mergeCell ref="C1094:D1094"/>
    <mergeCell ref="E1094:F1094"/>
    <mergeCell ref="G1094:H1094"/>
    <mergeCell ref="I1094:J1094"/>
    <mergeCell ref="K1094:L1094"/>
    <mergeCell ref="M1094:N1094"/>
    <mergeCell ref="O1094:P1094"/>
    <mergeCell ref="A1093:B1093"/>
    <mergeCell ref="C1093:D1093"/>
    <mergeCell ref="E1093:F1093"/>
    <mergeCell ref="G1093:H1093"/>
    <mergeCell ref="I1093:J1093"/>
    <mergeCell ref="K1093:L1093"/>
    <mergeCell ref="M1103:N1103"/>
    <mergeCell ref="O1103:P1103"/>
    <mergeCell ref="A1104:B1104"/>
    <mergeCell ref="C1104:D1104"/>
    <mergeCell ref="E1104:F1104"/>
    <mergeCell ref="G1104:H1104"/>
    <mergeCell ref="I1104:J1104"/>
    <mergeCell ref="K1104:L1104"/>
    <mergeCell ref="M1104:N1104"/>
    <mergeCell ref="O1104:P1104"/>
    <mergeCell ref="A1103:B1103"/>
    <mergeCell ref="C1103:D1103"/>
    <mergeCell ref="E1103:F1103"/>
    <mergeCell ref="G1103:H1103"/>
    <mergeCell ref="I1103:J1103"/>
    <mergeCell ref="K1103:L1103"/>
    <mergeCell ref="M1101:N1101"/>
    <mergeCell ref="O1101:P1101"/>
    <mergeCell ref="A1102:B1102"/>
    <mergeCell ref="C1102:D1102"/>
    <mergeCell ref="E1102:F1102"/>
    <mergeCell ref="G1102:H1102"/>
    <mergeCell ref="I1102:J1102"/>
    <mergeCell ref="K1102:L1102"/>
    <mergeCell ref="M1102:N1102"/>
    <mergeCell ref="O1102:P1102"/>
    <mergeCell ref="A1101:B1101"/>
    <mergeCell ref="C1101:D1101"/>
    <mergeCell ref="E1101:F1101"/>
    <mergeCell ref="G1101:H1101"/>
    <mergeCell ref="I1101:J1101"/>
    <mergeCell ref="K1101:L1101"/>
    <mergeCell ref="M1099:N1099"/>
    <mergeCell ref="O1099:P1099"/>
    <mergeCell ref="A1100:B1100"/>
    <mergeCell ref="C1100:D1100"/>
    <mergeCell ref="E1100:F1100"/>
    <mergeCell ref="G1100:H1100"/>
    <mergeCell ref="I1100:J1100"/>
    <mergeCell ref="K1100:L1100"/>
    <mergeCell ref="M1100:N1100"/>
    <mergeCell ref="O1100:P1100"/>
    <mergeCell ref="A1099:B1099"/>
    <mergeCell ref="C1099:D1099"/>
    <mergeCell ref="E1099:F1099"/>
    <mergeCell ref="G1099:H1099"/>
    <mergeCell ref="I1099:J1099"/>
    <mergeCell ref="K1099:L1099"/>
    <mergeCell ref="M1109:N1109"/>
    <mergeCell ref="O1109:P1109"/>
    <mergeCell ref="A1110:B1110"/>
    <mergeCell ref="C1110:D1110"/>
    <mergeCell ref="E1110:F1110"/>
    <mergeCell ref="G1110:H1110"/>
    <mergeCell ref="I1110:J1110"/>
    <mergeCell ref="K1110:L1110"/>
    <mergeCell ref="M1110:N1110"/>
    <mergeCell ref="O1110:P1110"/>
    <mergeCell ref="A1109:B1109"/>
    <mergeCell ref="C1109:D1109"/>
    <mergeCell ref="E1109:F1109"/>
    <mergeCell ref="G1109:H1109"/>
    <mergeCell ref="I1109:J1109"/>
    <mergeCell ref="K1109:L1109"/>
    <mergeCell ref="M1107:N1107"/>
    <mergeCell ref="O1107:P1107"/>
    <mergeCell ref="A1108:B1108"/>
    <mergeCell ref="C1108:D1108"/>
    <mergeCell ref="E1108:F1108"/>
    <mergeCell ref="G1108:H1108"/>
    <mergeCell ref="I1108:J1108"/>
    <mergeCell ref="K1108:L1108"/>
    <mergeCell ref="M1108:N1108"/>
    <mergeCell ref="O1108:P1108"/>
    <mergeCell ref="A1107:B1107"/>
    <mergeCell ref="C1107:D1107"/>
    <mergeCell ref="E1107:F1107"/>
    <mergeCell ref="G1107:H1107"/>
    <mergeCell ref="I1107:J1107"/>
    <mergeCell ref="K1107:L1107"/>
    <mergeCell ref="M1105:N1105"/>
    <mergeCell ref="O1105:P1105"/>
    <mergeCell ref="A1106:B1106"/>
    <mergeCell ref="C1106:D1106"/>
    <mergeCell ref="E1106:F1106"/>
    <mergeCell ref="G1106:H1106"/>
    <mergeCell ref="I1106:J1106"/>
    <mergeCell ref="K1106:L1106"/>
    <mergeCell ref="M1106:N1106"/>
    <mergeCell ref="O1106:P1106"/>
    <mergeCell ref="A1105:B1105"/>
    <mergeCell ref="C1105:D1105"/>
    <mergeCell ref="E1105:F1105"/>
    <mergeCell ref="G1105:H1105"/>
    <mergeCell ref="I1105:J1105"/>
    <mergeCell ref="K1105:L1105"/>
    <mergeCell ref="M1115:N1115"/>
    <mergeCell ref="O1115:P1115"/>
    <mergeCell ref="A1116:B1116"/>
    <mergeCell ref="C1116:D1116"/>
    <mergeCell ref="E1116:F1116"/>
    <mergeCell ref="G1116:H1116"/>
    <mergeCell ref="I1116:J1116"/>
    <mergeCell ref="K1116:L1116"/>
    <mergeCell ref="M1116:N1116"/>
    <mergeCell ref="O1116:P1116"/>
    <mergeCell ref="A1115:B1115"/>
    <mergeCell ref="C1115:D1115"/>
    <mergeCell ref="E1115:F1115"/>
    <mergeCell ref="G1115:H1115"/>
    <mergeCell ref="I1115:J1115"/>
    <mergeCell ref="K1115:L1115"/>
    <mergeCell ref="M1113:N1113"/>
    <mergeCell ref="O1113:P1113"/>
    <mergeCell ref="A1114:B1114"/>
    <mergeCell ref="C1114:D1114"/>
    <mergeCell ref="E1114:F1114"/>
    <mergeCell ref="G1114:H1114"/>
    <mergeCell ref="I1114:J1114"/>
    <mergeCell ref="K1114:L1114"/>
    <mergeCell ref="M1114:N1114"/>
    <mergeCell ref="O1114:P1114"/>
    <mergeCell ref="A1113:B1113"/>
    <mergeCell ref="C1113:D1113"/>
    <mergeCell ref="E1113:F1113"/>
    <mergeCell ref="G1113:H1113"/>
    <mergeCell ref="I1113:J1113"/>
    <mergeCell ref="K1113:L1113"/>
    <mergeCell ref="M1111:N1111"/>
    <mergeCell ref="O1111:P1111"/>
    <mergeCell ref="A1112:B1112"/>
    <mergeCell ref="C1112:D1112"/>
    <mergeCell ref="E1112:F1112"/>
    <mergeCell ref="G1112:H1112"/>
    <mergeCell ref="I1112:J1112"/>
    <mergeCell ref="K1112:L1112"/>
    <mergeCell ref="M1112:N1112"/>
    <mergeCell ref="O1112:P1112"/>
    <mergeCell ref="A1111:B1111"/>
    <mergeCell ref="C1111:D1111"/>
    <mergeCell ref="E1111:F1111"/>
    <mergeCell ref="G1111:H1111"/>
    <mergeCell ref="I1111:J1111"/>
    <mergeCell ref="K1111:L1111"/>
    <mergeCell ref="M1121:N1121"/>
    <mergeCell ref="O1121:P1121"/>
    <mergeCell ref="A1122:B1122"/>
    <mergeCell ref="C1122:D1122"/>
    <mergeCell ref="E1122:F1122"/>
    <mergeCell ref="G1122:H1122"/>
    <mergeCell ref="I1122:J1122"/>
    <mergeCell ref="K1122:L1122"/>
    <mergeCell ref="M1122:N1122"/>
    <mergeCell ref="O1122:P1122"/>
    <mergeCell ref="A1121:B1121"/>
    <mergeCell ref="C1121:D1121"/>
    <mergeCell ref="E1121:F1121"/>
    <mergeCell ref="G1121:H1121"/>
    <mergeCell ref="I1121:J1121"/>
    <mergeCell ref="K1121:L1121"/>
    <mergeCell ref="M1119:N1119"/>
    <mergeCell ref="O1119:P1119"/>
    <mergeCell ref="A1120:B1120"/>
    <mergeCell ref="C1120:D1120"/>
    <mergeCell ref="E1120:F1120"/>
    <mergeCell ref="G1120:H1120"/>
    <mergeCell ref="I1120:J1120"/>
    <mergeCell ref="K1120:L1120"/>
    <mergeCell ref="M1120:N1120"/>
    <mergeCell ref="O1120:P1120"/>
    <mergeCell ref="A1119:B1119"/>
    <mergeCell ref="C1119:D1119"/>
    <mergeCell ref="E1119:F1119"/>
    <mergeCell ref="G1119:H1119"/>
    <mergeCell ref="I1119:J1119"/>
    <mergeCell ref="K1119:L1119"/>
    <mergeCell ref="M1117:N1117"/>
    <mergeCell ref="O1117:P1117"/>
    <mergeCell ref="A1118:B1118"/>
    <mergeCell ref="C1118:D1118"/>
    <mergeCell ref="E1118:F1118"/>
    <mergeCell ref="G1118:H1118"/>
    <mergeCell ref="I1118:J1118"/>
    <mergeCell ref="K1118:L1118"/>
    <mergeCell ref="M1118:N1118"/>
    <mergeCell ref="O1118:P1118"/>
    <mergeCell ref="A1117:B1117"/>
    <mergeCell ref="C1117:D1117"/>
    <mergeCell ref="E1117:F1117"/>
    <mergeCell ref="G1117:H1117"/>
    <mergeCell ref="I1117:J1117"/>
    <mergeCell ref="K1117:L1117"/>
    <mergeCell ref="M1127:N1127"/>
    <mergeCell ref="O1127:P1127"/>
    <mergeCell ref="A1128:B1128"/>
    <mergeCell ref="C1128:D1128"/>
    <mergeCell ref="E1128:F1128"/>
    <mergeCell ref="G1128:H1128"/>
    <mergeCell ref="I1128:J1128"/>
    <mergeCell ref="K1128:L1128"/>
    <mergeCell ref="M1128:N1128"/>
    <mergeCell ref="O1128:P1128"/>
    <mergeCell ref="A1127:B1127"/>
    <mergeCell ref="C1127:D1127"/>
    <mergeCell ref="E1127:F1127"/>
    <mergeCell ref="G1127:H1127"/>
    <mergeCell ref="I1127:J1127"/>
    <mergeCell ref="K1127:L1127"/>
    <mergeCell ref="M1125:N1125"/>
    <mergeCell ref="O1125:P1125"/>
    <mergeCell ref="A1126:B1126"/>
    <mergeCell ref="C1126:D1126"/>
    <mergeCell ref="E1126:F1126"/>
    <mergeCell ref="G1126:H1126"/>
    <mergeCell ref="I1126:J1126"/>
    <mergeCell ref="K1126:L1126"/>
    <mergeCell ref="M1126:N1126"/>
    <mergeCell ref="O1126:P1126"/>
    <mergeCell ref="A1125:B1125"/>
    <mergeCell ref="C1125:D1125"/>
    <mergeCell ref="E1125:F1125"/>
    <mergeCell ref="G1125:H1125"/>
    <mergeCell ref="I1125:J1125"/>
    <mergeCell ref="K1125:L1125"/>
    <mergeCell ref="M1123:N1123"/>
    <mergeCell ref="O1123:P1123"/>
    <mergeCell ref="A1124:B1124"/>
    <mergeCell ref="C1124:D1124"/>
    <mergeCell ref="E1124:F1124"/>
    <mergeCell ref="G1124:H1124"/>
    <mergeCell ref="I1124:J1124"/>
    <mergeCell ref="K1124:L1124"/>
    <mergeCell ref="M1124:N1124"/>
    <mergeCell ref="O1124:P1124"/>
    <mergeCell ref="A1123:B1123"/>
    <mergeCell ref="C1123:D1123"/>
    <mergeCell ref="E1123:F1123"/>
    <mergeCell ref="G1123:H1123"/>
    <mergeCell ref="I1123:J1123"/>
    <mergeCell ref="K1123:L1123"/>
    <mergeCell ref="M1133:N1133"/>
    <mergeCell ref="O1133:P1133"/>
    <mergeCell ref="A1134:B1134"/>
    <mergeCell ref="C1134:D1134"/>
    <mergeCell ref="E1134:F1134"/>
    <mergeCell ref="G1134:H1134"/>
    <mergeCell ref="I1134:J1134"/>
    <mergeCell ref="K1134:L1134"/>
    <mergeCell ref="M1134:N1134"/>
    <mergeCell ref="O1134:P1134"/>
    <mergeCell ref="A1133:B1133"/>
    <mergeCell ref="C1133:D1133"/>
    <mergeCell ref="E1133:F1133"/>
    <mergeCell ref="G1133:H1133"/>
    <mergeCell ref="I1133:J1133"/>
    <mergeCell ref="K1133:L1133"/>
    <mergeCell ref="M1131:N1131"/>
    <mergeCell ref="O1131:P1131"/>
    <mergeCell ref="A1132:B1132"/>
    <mergeCell ref="C1132:D1132"/>
    <mergeCell ref="E1132:F1132"/>
    <mergeCell ref="G1132:H1132"/>
    <mergeCell ref="I1132:J1132"/>
    <mergeCell ref="K1132:L1132"/>
    <mergeCell ref="M1132:N1132"/>
    <mergeCell ref="O1132:P1132"/>
    <mergeCell ref="A1131:B1131"/>
    <mergeCell ref="C1131:D1131"/>
    <mergeCell ref="E1131:F1131"/>
    <mergeCell ref="G1131:H1131"/>
    <mergeCell ref="I1131:J1131"/>
    <mergeCell ref="K1131:L1131"/>
    <mergeCell ref="M1129:N1129"/>
    <mergeCell ref="O1129:P1129"/>
    <mergeCell ref="A1130:B1130"/>
    <mergeCell ref="C1130:D1130"/>
    <mergeCell ref="E1130:F1130"/>
    <mergeCell ref="G1130:H1130"/>
    <mergeCell ref="I1130:J1130"/>
    <mergeCell ref="K1130:L1130"/>
    <mergeCell ref="M1130:N1130"/>
    <mergeCell ref="O1130:P1130"/>
    <mergeCell ref="A1129:B1129"/>
    <mergeCell ref="C1129:D1129"/>
    <mergeCell ref="E1129:F1129"/>
    <mergeCell ref="G1129:H1129"/>
    <mergeCell ref="I1129:J1129"/>
    <mergeCell ref="K1129:L1129"/>
    <mergeCell ref="M1139:N1139"/>
    <mergeCell ref="O1139:P1139"/>
    <mergeCell ref="A1140:B1140"/>
    <mergeCell ref="C1140:D1140"/>
    <mergeCell ref="E1140:F1140"/>
    <mergeCell ref="G1140:H1140"/>
    <mergeCell ref="I1140:J1140"/>
    <mergeCell ref="K1140:L1140"/>
    <mergeCell ref="M1140:N1140"/>
    <mergeCell ref="O1140:P1140"/>
    <mergeCell ref="A1139:B1139"/>
    <mergeCell ref="C1139:D1139"/>
    <mergeCell ref="E1139:F1139"/>
    <mergeCell ref="G1139:H1139"/>
    <mergeCell ref="I1139:J1139"/>
    <mergeCell ref="K1139:L1139"/>
    <mergeCell ref="M1137:N1137"/>
    <mergeCell ref="O1137:P1137"/>
    <mergeCell ref="A1138:B1138"/>
    <mergeCell ref="C1138:D1138"/>
    <mergeCell ref="E1138:F1138"/>
    <mergeCell ref="G1138:H1138"/>
    <mergeCell ref="I1138:J1138"/>
    <mergeCell ref="K1138:L1138"/>
    <mergeCell ref="M1138:N1138"/>
    <mergeCell ref="O1138:P1138"/>
    <mergeCell ref="A1137:B1137"/>
    <mergeCell ref="C1137:D1137"/>
    <mergeCell ref="E1137:F1137"/>
    <mergeCell ref="G1137:H1137"/>
    <mergeCell ref="I1137:J1137"/>
    <mergeCell ref="K1137:L1137"/>
    <mergeCell ref="M1135:N1135"/>
    <mergeCell ref="O1135:P1135"/>
    <mergeCell ref="A1136:B1136"/>
    <mergeCell ref="C1136:D1136"/>
    <mergeCell ref="E1136:F1136"/>
    <mergeCell ref="G1136:H1136"/>
    <mergeCell ref="I1136:J1136"/>
    <mergeCell ref="K1136:L1136"/>
    <mergeCell ref="M1136:N1136"/>
    <mergeCell ref="O1136:P1136"/>
    <mergeCell ref="A1135:B1135"/>
    <mergeCell ref="C1135:D1135"/>
    <mergeCell ref="E1135:F1135"/>
    <mergeCell ref="G1135:H1135"/>
    <mergeCell ref="I1135:J1135"/>
    <mergeCell ref="K1135:L1135"/>
    <mergeCell ref="M1145:N1145"/>
    <mergeCell ref="O1145:P1145"/>
    <mergeCell ref="A1146:B1146"/>
    <mergeCell ref="C1146:D1146"/>
    <mergeCell ref="E1146:F1146"/>
    <mergeCell ref="G1146:H1146"/>
    <mergeCell ref="I1146:J1146"/>
    <mergeCell ref="K1146:L1146"/>
    <mergeCell ref="M1146:N1146"/>
    <mergeCell ref="O1146:P1146"/>
    <mergeCell ref="A1145:B1145"/>
    <mergeCell ref="C1145:D1145"/>
    <mergeCell ref="E1145:F1145"/>
    <mergeCell ref="G1145:H1145"/>
    <mergeCell ref="I1145:J1145"/>
    <mergeCell ref="K1145:L1145"/>
    <mergeCell ref="M1143:N1143"/>
    <mergeCell ref="O1143:P1143"/>
    <mergeCell ref="A1144:B1144"/>
    <mergeCell ref="C1144:D1144"/>
    <mergeCell ref="E1144:F1144"/>
    <mergeCell ref="G1144:H1144"/>
    <mergeCell ref="I1144:J1144"/>
    <mergeCell ref="K1144:L1144"/>
    <mergeCell ref="M1144:N1144"/>
    <mergeCell ref="O1144:P1144"/>
    <mergeCell ref="A1143:B1143"/>
    <mergeCell ref="C1143:D1143"/>
    <mergeCell ref="E1143:F1143"/>
    <mergeCell ref="G1143:H1143"/>
    <mergeCell ref="I1143:J1143"/>
    <mergeCell ref="K1143:L1143"/>
    <mergeCell ref="M1141:N1141"/>
    <mergeCell ref="O1141:P1141"/>
    <mergeCell ref="A1142:B1142"/>
    <mergeCell ref="C1142:D1142"/>
    <mergeCell ref="E1142:F1142"/>
    <mergeCell ref="G1142:H1142"/>
    <mergeCell ref="I1142:J1142"/>
    <mergeCell ref="K1142:L1142"/>
    <mergeCell ref="M1142:N1142"/>
    <mergeCell ref="O1142:P1142"/>
    <mergeCell ref="A1141:B1141"/>
    <mergeCell ref="C1141:D1141"/>
    <mergeCell ref="E1141:F1141"/>
    <mergeCell ref="G1141:H1141"/>
    <mergeCell ref="I1141:J1141"/>
    <mergeCell ref="K1141:L1141"/>
    <mergeCell ref="M1151:N1151"/>
    <mergeCell ref="O1151:P1151"/>
    <mergeCell ref="A1152:B1152"/>
    <mergeCell ref="C1152:D1152"/>
    <mergeCell ref="E1152:F1152"/>
    <mergeCell ref="G1152:H1152"/>
    <mergeCell ref="I1152:J1152"/>
    <mergeCell ref="K1152:L1152"/>
    <mergeCell ref="M1152:N1152"/>
    <mergeCell ref="O1152:P1152"/>
    <mergeCell ref="A1151:B1151"/>
    <mergeCell ref="C1151:D1151"/>
    <mergeCell ref="E1151:F1151"/>
    <mergeCell ref="G1151:H1151"/>
    <mergeCell ref="I1151:J1151"/>
    <mergeCell ref="K1151:L1151"/>
    <mergeCell ref="M1149:N1149"/>
    <mergeCell ref="O1149:P1149"/>
    <mergeCell ref="A1150:B1150"/>
    <mergeCell ref="C1150:D1150"/>
    <mergeCell ref="E1150:F1150"/>
    <mergeCell ref="G1150:H1150"/>
    <mergeCell ref="I1150:J1150"/>
    <mergeCell ref="K1150:L1150"/>
    <mergeCell ref="M1150:N1150"/>
    <mergeCell ref="O1150:P1150"/>
    <mergeCell ref="A1149:B1149"/>
    <mergeCell ref="C1149:D1149"/>
    <mergeCell ref="E1149:F1149"/>
    <mergeCell ref="G1149:H1149"/>
    <mergeCell ref="I1149:J1149"/>
    <mergeCell ref="K1149:L1149"/>
    <mergeCell ref="M1147:N1147"/>
    <mergeCell ref="O1147:P1147"/>
    <mergeCell ref="A1148:B1148"/>
    <mergeCell ref="C1148:D1148"/>
    <mergeCell ref="E1148:F1148"/>
    <mergeCell ref="G1148:H1148"/>
    <mergeCell ref="I1148:J1148"/>
    <mergeCell ref="K1148:L1148"/>
    <mergeCell ref="M1148:N1148"/>
    <mergeCell ref="O1148:P1148"/>
    <mergeCell ref="A1147:B1147"/>
    <mergeCell ref="C1147:D1147"/>
    <mergeCell ref="E1147:F1147"/>
    <mergeCell ref="G1147:H1147"/>
    <mergeCell ref="I1147:J1147"/>
    <mergeCell ref="K1147:L1147"/>
    <mergeCell ref="M1157:N1157"/>
    <mergeCell ref="O1157:P1157"/>
    <mergeCell ref="A1158:B1158"/>
    <mergeCell ref="C1158:D1158"/>
    <mergeCell ref="E1158:F1158"/>
    <mergeCell ref="G1158:H1158"/>
    <mergeCell ref="I1158:J1158"/>
    <mergeCell ref="K1158:L1158"/>
    <mergeCell ref="M1158:N1158"/>
    <mergeCell ref="O1158:P1158"/>
    <mergeCell ref="A1157:B1157"/>
    <mergeCell ref="C1157:D1157"/>
    <mergeCell ref="E1157:F1157"/>
    <mergeCell ref="G1157:H1157"/>
    <mergeCell ref="I1157:J1157"/>
    <mergeCell ref="K1157:L1157"/>
    <mergeCell ref="M1155:N1155"/>
    <mergeCell ref="O1155:P1155"/>
    <mergeCell ref="A1156:B1156"/>
    <mergeCell ref="C1156:D1156"/>
    <mergeCell ref="E1156:F1156"/>
    <mergeCell ref="G1156:H1156"/>
    <mergeCell ref="I1156:J1156"/>
    <mergeCell ref="K1156:L1156"/>
    <mergeCell ref="M1156:N1156"/>
    <mergeCell ref="O1156:P1156"/>
    <mergeCell ref="A1155:B1155"/>
    <mergeCell ref="C1155:D1155"/>
    <mergeCell ref="E1155:F1155"/>
    <mergeCell ref="G1155:H1155"/>
    <mergeCell ref="I1155:J1155"/>
    <mergeCell ref="K1155:L1155"/>
    <mergeCell ref="M1153:N1153"/>
    <mergeCell ref="O1153:P1153"/>
    <mergeCell ref="A1154:B1154"/>
    <mergeCell ref="C1154:D1154"/>
    <mergeCell ref="E1154:F1154"/>
    <mergeCell ref="G1154:H1154"/>
    <mergeCell ref="I1154:J1154"/>
    <mergeCell ref="K1154:L1154"/>
    <mergeCell ref="M1154:N1154"/>
    <mergeCell ref="O1154:P1154"/>
    <mergeCell ref="A1153:B1153"/>
    <mergeCell ref="C1153:D1153"/>
    <mergeCell ref="E1153:F1153"/>
    <mergeCell ref="G1153:H1153"/>
    <mergeCell ref="I1153:J1153"/>
    <mergeCell ref="K1153:L1153"/>
    <mergeCell ref="M1163:N1163"/>
    <mergeCell ref="O1163:P1163"/>
    <mergeCell ref="A1164:B1164"/>
    <mergeCell ref="C1164:D1164"/>
    <mergeCell ref="E1164:F1164"/>
    <mergeCell ref="G1164:H1164"/>
    <mergeCell ref="I1164:J1164"/>
    <mergeCell ref="K1164:L1164"/>
    <mergeCell ref="M1164:N1164"/>
    <mergeCell ref="O1164:P1164"/>
    <mergeCell ref="A1163:B1163"/>
    <mergeCell ref="C1163:D1163"/>
    <mergeCell ref="E1163:F1163"/>
    <mergeCell ref="G1163:H1163"/>
    <mergeCell ref="I1163:J1163"/>
    <mergeCell ref="K1163:L1163"/>
    <mergeCell ref="M1161:N1161"/>
    <mergeCell ref="O1161:P1161"/>
    <mergeCell ref="A1162:B1162"/>
    <mergeCell ref="C1162:D1162"/>
    <mergeCell ref="E1162:F1162"/>
    <mergeCell ref="G1162:H1162"/>
    <mergeCell ref="I1162:J1162"/>
    <mergeCell ref="K1162:L1162"/>
    <mergeCell ref="M1162:N1162"/>
    <mergeCell ref="O1162:P1162"/>
    <mergeCell ref="A1161:B1161"/>
    <mergeCell ref="C1161:D1161"/>
    <mergeCell ref="E1161:F1161"/>
    <mergeCell ref="G1161:H1161"/>
    <mergeCell ref="I1161:J1161"/>
    <mergeCell ref="K1161:L1161"/>
    <mergeCell ref="M1159:N1159"/>
    <mergeCell ref="O1159:P1159"/>
    <mergeCell ref="A1160:B1160"/>
    <mergeCell ref="C1160:D1160"/>
    <mergeCell ref="E1160:F1160"/>
    <mergeCell ref="G1160:H1160"/>
    <mergeCell ref="I1160:J1160"/>
    <mergeCell ref="K1160:L1160"/>
    <mergeCell ref="M1160:N1160"/>
    <mergeCell ref="O1160:P1160"/>
    <mergeCell ref="A1159:B1159"/>
    <mergeCell ref="C1159:D1159"/>
    <mergeCell ref="E1159:F1159"/>
    <mergeCell ref="G1159:H1159"/>
    <mergeCell ref="I1159:J1159"/>
    <mergeCell ref="K1159:L1159"/>
    <mergeCell ref="M1169:N1169"/>
    <mergeCell ref="O1169:P1169"/>
    <mergeCell ref="A1170:B1170"/>
    <mergeCell ref="C1170:D1170"/>
    <mergeCell ref="E1170:F1170"/>
    <mergeCell ref="G1170:H1170"/>
    <mergeCell ref="I1170:J1170"/>
    <mergeCell ref="K1170:L1170"/>
    <mergeCell ref="M1170:N1170"/>
    <mergeCell ref="O1170:P1170"/>
    <mergeCell ref="A1169:B1169"/>
    <mergeCell ref="C1169:D1169"/>
    <mergeCell ref="E1169:F1169"/>
    <mergeCell ref="G1169:H1169"/>
    <mergeCell ref="I1169:J1169"/>
    <mergeCell ref="K1169:L1169"/>
    <mergeCell ref="M1167:N1167"/>
    <mergeCell ref="O1167:P1167"/>
    <mergeCell ref="A1168:B1168"/>
    <mergeCell ref="C1168:D1168"/>
    <mergeCell ref="E1168:F1168"/>
    <mergeCell ref="G1168:H1168"/>
    <mergeCell ref="I1168:J1168"/>
    <mergeCell ref="K1168:L1168"/>
    <mergeCell ref="M1168:N1168"/>
    <mergeCell ref="O1168:P1168"/>
    <mergeCell ref="A1167:B1167"/>
    <mergeCell ref="C1167:D1167"/>
    <mergeCell ref="E1167:F1167"/>
    <mergeCell ref="G1167:H1167"/>
    <mergeCell ref="I1167:J1167"/>
    <mergeCell ref="K1167:L1167"/>
    <mergeCell ref="M1165:N1165"/>
    <mergeCell ref="O1165:P1165"/>
    <mergeCell ref="A1166:B1166"/>
    <mergeCell ref="C1166:D1166"/>
    <mergeCell ref="E1166:F1166"/>
    <mergeCell ref="G1166:H1166"/>
    <mergeCell ref="I1166:J1166"/>
    <mergeCell ref="K1166:L1166"/>
    <mergeCell ref="M1166:N1166"/>
    <mergeCell ref="O1166:P1166"/>
    <mergeCell ref="A1165:B1165"/>
    <mergeCell ref="C1165:D1165"/>
    <mergeCell ref="E1165:F1165"/>
    <mergeCell ref="G1165:H1165"/>
    <mergeCell ref="I1165:J1165"/>
    <mergeCell ref="K1165:L1165"/>
    <mergeCell ref="M1175:N1175"/>
    <mergeCell ref="O1175:P1175"/>
    <mergeCell ref="A1176:B1176"/>
    <mergeCell ref="C1176:D1176"/>
    <mergeCell ref="E1176:F1176"/>
    <mergeCell ref="G1176:H1176"/>
    <mergeCell ref="I1176:J1176"/>
    <mergeCell ref="K1176:L1176"/>
    <mergeCell ref="M1176:N1176"/>
    <mergeCell ref="O1176:P1176"/>
    <mergeCell ref="A1175:B1175"/>
    <mergeCell ref="C1175:D1175"/>
    <mergeCell ref="E1175:F1175"/>
    <mergeCell ref="G1175:H1175"/>
    <mergeCell ref="I1175:J1175"/>
    <mergeCell ref="K1175:L1175"/>
    <mergeCell ref="M1173:N1173"/>
    <mergeCell ref="O1173:P1173"/>
    <mergeCell ref="A1174:B1174"/>
    <mergeCell ref="C1174:D1174"/>
    <mergeCell ref="E1174:F1174"/>
    <mergeCell ref="G1174:H1174"/>
    <mergeCell ref="I1174:J1174"/>
    <mergeCell ref="K1174:L1174"/>
    <mergeCell ref="M1174:N1174"/>
    <mergeCell ref="O1174:P1174"/>
    <mergeCell ref="A1173:B1173"/>
    <mergeCell ref="C1173:D1173"/>
    <mergeCell ref="E1173:F1173"/>
    <mergeCell ref="G1173:H1173"/>
    <mergeCell ref="I1173:J1173"/>
    <mergeCell ref="K1173:L1173"/>
    <mergeCell ref="M1171:N1171"/>
    <mergeCell ref="O1171:P1171"/>
    <mergeCell ref="A1172:B1172"/>
    <mergeCell ref="C1172:D1172"/>
    <mergeCell ref="E1172:F1172"/>
    <mergeCell ref="G1172:H1172"/>
    <mergeCell ref="I1172:J1172"/>
    <mergeCell ref="K1172:L1172"/>
    <mergeCell ref="M1172:N1172"/>
    <mergeCell ref="O1172:P1172"/>
    <mergeCell ref="A1171:B1171"/>
    <mergeCell ref="C1171:D1171"/>
    <mergeCell ref="E1171:F1171"/>
    <mergeCell ref="G1171:H1171"/>
    <mergeCell ref="I1171:J1171"/>
    <mergeCell ref="K1171:L1171"/>
    <mergeCell ref="M1181:N1181"/>
    <mergeCell ref="O1181:P1181"/>
    <mergeCell ref="A1182:B1182"/>
    <mergeCell ref="C1182:D1182"/>
    <mergeCell ref="E1182:F1182"/>
    <mergeCell ref="G1182:H1182"/>
    <mergeCell ref="I1182:J1182"/>
    <mergeCell ref="K1182:L1182"/>
    <mergeCell ref="M1182:N1182"/>
    <mergeCell ref="O1182:P1182"/>
    <mergeCell ref="A1181:B1181"/>
    <mergeCell ref="C1181:D1181"/>
    <mergeCell ref="E1181:F1181"/>
    <mergeCell ref="G1181:H1181"/>
    <mergeCell ref="I1181:J1181"/>
    <mergeCell ref="K1181:L1181"/>
    <mergeCell ref="M1179:N1179"/>
    <mergeCell ref="O1179:P1179"/>
    <mergeCell ref="A1180:B1180"/>
    <mergeCell ref="C1180:D1180"/>
    <mergeCell ref="E1180:F1180"/>
    <mergeCell ref="G1180:H1180"/>
    <mergeCell ref="I1180:J1180"/>
    <mergeCell ref="K1180:L1180"/>
    <mergeCell ref="M1180:N1180"/>
    <mergeCell ref="O1180:P1180"/>
    <mergeCell ref="A1179:B1179"/>
    <mergeCell ref="C1179:D1179"/>
    <mergeCell ref="E1179:F1179"/>
    <mergeCell ref="G1179:H1179"/>
    <mergeCell ref="I1179:J1179"/>
    <mergeCell ref="K1179:L1179"/>
    <mergeCell ref="M1177:N1177"/>
    <mergeCell ref="O1177:P1177"/>
    <mergeCell ref="A1178:B1178"/>
    <mergeCell ref="C1178:D1178"/>
    <mergeCell ref="E1178:F1178"/>
    <mergeCell ref="G1178:H1178"/>
    <mergeCell ref="I1178:J1178"/>
    <mergeCell ref="K1178:L1178"/>
    <mergeCell ref="M1178:N1178"/>
    <mergeCell ref="O1178:P1178"/>
    <mergeCell ref="A1177:B1177"/>
    <mergeCell ref="C1177:D1177"/>
    <mergeCell ref="E1177:F1177"/>
    <mergeCell ref="G1177:H1177"/>
    <mergeCell ref="I1177:J1177"/>
    <mergeCell ref="K1177:L1177"/>
    <mergeCell ref="M1187:N1187"/>
    <mergeCell ref="O1187:P1187"/>
    <mergeCell ref="A1188:B1188"/>
    <mergeCell ref="C1188:D1188"/>
    <mergeCell ref="E1188:F1188"/>
    <mergeCell ref="G1188:H1188"/>
    <mergeCell ref="I1188:J1188"/>
    <mergeCell ref="K1188:L1188"/>
    <mergeCell ref="M1188:N1188"/>
    <mergeCell ref="O1188:P1188"/>
    <mergeCell ref="A1187:B1187"/>
    <mergeCell ref="C1187:D1187"/>
    <mergeCell ref="E1187:F1187"/>
    <mergeCell ref="G1187:H1187"/>
    <mergeCell ref="I1187:J1187"/>
    <mergeCell ref="K1187:L1187"/>
    <mergeCell ref="M1185:N1185"/>
    <mergeCell ref="O1185:P1185"/>
    <mergeCell ref="A1186:B1186"/>
    <mergeCell ref="C1186:D1186"/>
    <mergeCell ref="E1186:F1186"/>
    <mergeCell ref="G1186:H1186"/>
    <mergeCell ref="I1186:J1186"/>
    <mergeCell ref="K1186:L1186"/>
    <mergeCell ref="M1186:N1186"/>
    <mergeCell ref="O1186:P1186"/>
    <mergeCell ref="A1185:B1185"/>
    <mergeCell ref="C1185:D1185"/>
    <mergeCell ref="E1185:F1185"/>
    <mergeCell ref="G1185:H1185"/>
    <mergeCell ref="I1185:J1185"/>
    <mergeCell ref="K1185:L1185"/>
    <mergeCell ref="M1183:N1183"/>
    <mergeCell ref="O1183:P1183"/>
    <mergeCell ref="A1184:B1184"/>
    <mergeCell ref="C1184:D1184"/>
    <mergeCell ref="E1184:F1184"/>
    <mergeCell ref="G1184:H1184"/>
    <mergeCell ref="I1184:J1184"/>
    <mergeCell ref="K1184:L1184"/>
    <mergeCell ref="M1184:N1184"/>
    <mergeCell ref="O1184:P1184"/>
    <mergeCell ref="A1183:B1183"/>
    <mergeCell ref="C1183:D1183"/>
    <mergeCell ref="E1183:F1183"/>
    <mergeCell ref="G1183:H1183"/>
    <mergeCell ref="I1183:J1183"/>
    <mergeCell ref="K1183:L1183"/>
    <mergeCell ref="M1193:N1193"/>
    <mergeCell ref="O1193:P1193"/>
    <mergeCell ref="A1194:B1194"/>
    <mergeCell ref="C1194:D1194"/>
    <mergeCell ref="E1194:F1194"/>
    <mergeCell ref="G1194:H1194"/>
    <mergeCell ref="I1194:J1194"/>
    <mergeCell ref="K1194:L1194"/>
    <mergeCell ref="M1194:N1194"/>
    <mergeCell ref="O1194:P1194"/>
    <mergeCell ref="A1193:B1193"/>
    <mergeCell ref="C1193:D1193"/>
    <mergeCell ref="E1193:F1193"/>
    <mergeCell ref="G1193:H1193"/>
    <mergeCell ref="I1193:J1193"/>
    <mergeCell ref="K1193:L1193"/>
    <mergeCell ref="M1191:N1191"/>
    <mergeCell ref="O1191:P1191"/>
    <mergeCell ref="A1192:B1192"/>
    <mergeCell ref="C1192:D1192"/>
    <mergeCell ref="E1192:F1192"/>
    <mergeCell ref="G1192:H1192"/>
    <mergeCell ref="I1192:J1192"/>
    <mergeCell ref="K1192:L1192"/>
    <mergeCell ref="M1192:N1192"/>
    <mergeCell ref="O1192:P1192"/>
    <mergeCell ref="A1191:B1191"/>
    <mergeCell ref="C1191:D1191"/>
    <mergeCell ref="E1191:F1191"/>
    <mergeCell ref="G1191:H1191"/>
    <mergeCell ref="I1191:J1191"/>
    <mergeCell ref="K1191:L1191"/>
    <mergeCell ref="M1189:N1189"/>
    <mergeCell ref="O1189:P1189"/>
    <mergeCell ref="A1190:B1190"/>
    <mergeCell ref="C1190:D1190"/>
    <mergeCell ref="E1190:F1190"/>
    <mergeCell ref="G1190:H1190"/>
    <mergeCell ref="I1190:J1190"/>
    <mergeCell ref="K1190:L1190"/>
    <mergeCell ref="M1190:N1190"/>
    <mergeCell ref="O1190:P1190"/>
    <mergeCell ref="A1189:B1189"/>
    <mergeCell ref="C1189:D1189"/>
    <mergeCell ref="E1189:F1189"/>
    <mergeCell ref="G1189:H1189"/>
    <mergeCell ref="I1189:J1189"/>
    <mergeCell ref="K1189:L1189"/>
    <mergeCell ref="M1199:N1199"/>
    <mergeCell ref="O1199:P1199"/>
    <mergeCell ref="A1200:B1200"/>
    <mergeCell ref="C1200:D1200"/>
    <mergeCell ref="E1200:F1200"/>
    <mergeCell ref="G1200:H1200"/>
    <mergeCell ref="I1200:J1200"/>
    <mergeCell ref="K1200:L1200"/>
    <mergeCell ref="M1200:N1200"/>
    <mergeCell ref="O1200:P1200"/>
    <mergeCell ref="A1199:B1199"/>
    <mergeCell ref="C1199:D1199"/>
    <mergeCell ref="E1199:F1199"/>
    <mergeCell ref="G1199:H1199"/>
    <mergeCell ref="I1199:J1199"/>
    <mergeCell ref="K1199:L1199"/>
    <mergeCell ref="M1197:N1197"/>
    <mergeCell ref="O1197:P1197"/>
    <mergeCell ref="A1198:B1198"/>
    <mergeCell ref="C1198:D1198"/>
    <mergeCell ref="E1198:F1198"/>
    <mergeCell ref="G1198:H1198"/>
    <mergeCell ref="I1198:J1198"/>
    <mergeCell ref="K1198:L1198"/>
    <mergeCell ref="M1198:N1198"/>
    <mergeCell ref="O1198:P1198"/>
    <mergeCell ref="A1197:B1197"/>
    <mergeCell ref="C1197:D1197"/>
    <mergeCell ref="E1197:F1197"/>
    <mergeCell ref="G1197:H1197"/>
    <mergeCell ref="I1197:J1197"/>
    <mergeCell ref="K1197:L1197"/>
    <mergeCell ref="M1195:N1195"/>
    <mergeCell ref="O1195:P1195"/>
    <mergeCell ref="A1196:B1196"/>
    <mergeCell ref="C1196:D1196"/>
    <mergeCell ref="E1196:F1196"/>
    <mergeCell ref="G1196:H1196"/>
    <mergeCell ref="I1196:J1196"/>
    <mergeCell ref="K1196:L1196"/>
    <mergeCell ref="M1196:N1196"/>
    <mergeCell ref="O1196:P1196"/>
    <mergeCell ref="A1195:B1195"/>
    <mergeCell ref="C1195:D1195"/>
    <mergeCell ref="E1195:F1195"/>
    <mergeCell ref="G1195:H1195"/>
    <mergeCell ref="I1195:J1195"/>
    <mergeCell ref="K1195:L1195"/>
    <mergeCell ref="M1205:N1205"/>
    <mergeCell ref="O1205:P1205"/>
    <mergeCell ref="A1206:B1206"/>
    <mergeCell ref="C1206:D1206"/>
    <mergeCell ref="E1206:F1206"/>
    <mergeCell ref="G1206:H1206"/>
    <mergeCell ref="I1206:J1206"/>
    <mergeCell ref="K1206:L1206"/>
    <mergeCell ref="M1206:N1206"/>
    <mergeCell ref="O1206:P1206"/>
    <mergeCell ref="A1205:B1205"/>
    <mergeCell ref="C1205:D1205"/>
    <mergeCell ref="E1205:F1205"/>
    <mergeCell ref="G1205:H1205"/>
    <mergeCell ref="I1205:J1205"/>
    <mergeCell ref="K1205:L1205"/>
    <mergeCell ref="M1203:N1203"/>
    <mergeCell ref="O1203:P1203"/>
    <mergeCell ref="A1204:B1204"/>
    <mergeCell ref="C1204:D1204"/>
    <mergeCell ref="E1204:F1204"/>
    <mergeCell ref="G1204:H1204"/>
    <mergeCell ref="I1204:J1204"/>
    <mergeCell ref="K1204:L1204"/>
    <mergeCell ref="M1204:N1204"/>
    <mergeCell ref="O1204:P1204"/>
    <mergeCell ref="A1203:B1203"/>
    <mergeCell ref="C1203:D1203"/>
    <mergeCell ref="E1203:F1203"/>
    <mergeCell ref="G1203:H1203"/>
    <mergeCell ref="I1203:J1203"/>
    <mergeCell ref="K1203:L1203"/>
    <mergeCell ref="M1201:N1201"/>
    <mergeCell ref="O1201:P1201"/>
    <mergeCell ref="A1202:B1202"/>
    <mergeCell ref="C1202:D1202"/>
    <mergeCell ref="E1202:F1202"/>
    <mergeCell ref="G1202:H1202"/>
    <mergeCell ref="I1202:J1202"/>
    <mergeCell ref="K1202:L1202"/>
    <mergeCell ref="M1202:N1202"/>
    <mergeCell ref="O1202:P1202"/>
    <mergeCell ref="A1201:B1201"/>
    <mergeCell ref="C1201:D1201"/>
    <mergeCell ref="E1201:F1201"/>
    <mergeCell ref="G1201:H1201"/>
    <mergeCell ref="I1201:J1201"/>
    <mergeCell ref="K1201:L1201"/>
    <mergeCell ref="M1211:N1211"/>
    <mergeCell ref="O1211:P1211"/>
    <mergeCell ref="A1212:B1212"/>
    <mergeCell ref="C1212:D1212"/>
    <mergeCell ref="E1212:F1212"/>
    <mergeCell ref="G1212:H1212"/>
    <mergeCell ref="I1212:J1212"/>
    <mergeCell ref="K1212:L1212"/>
    <mergeCell ref="M1212:N1212"/>
    <mergeCell ref="O1212:P1212"/>
    <mergeCell ref="A1211:B1211"/>
    <mergeCell ref="C1211:D1211"/>
    <mergeCell ref="E1211:F1211"/>
    <mergeCell ref="G1211:H1211"/>
    <mergeCell ref="I1211:J1211"/>
    <mergeCell ref="K1211:L1211"/>
    <mergeCell ref="M1209:N1209"/>
    <mergeCell ref="O1209:P1209"/>
    <mergeCell ref="A1210:B1210"/>
    <mergeCell ref="C1210:D1210"/>
    <mergeCell ref="E1210:F1210"/>
    <mergeCell ref="G1210:H1210"/>
    <mergeCell ref="I1210:J1210"/>
    <mergeCell ref="K1210:L1210"/>
    <mergeCell ref="M1210:N1210"/>
    <mergeCell ref="O1210:P1210"/>
    <mergeCell ref="A1209:B1209"/>
    <mergeCell ref="C1209:D1209"/>
    <mergeCell ref="E1209:F1209"/>
    <mergeCell ref="G1209:H1209"/>
    <mergeCell ref="I1209:J1209"/>
    <mergeCell ref="K1209:L1209"/>
    <mergeCell ref="M1207:N1207"/>
    <mergeCell ref="O1207:P1207"/>
    <mergeCell ref="A1208:B1208"/>
    <mergeCell ref="C1208:D1208"/>
    <mergeCell ref="E1208:F1208"/>
    <mergeCell ref="G1208:H1208"/>
    <mergeCell ref="I1208:J1208"/>
    <mergeCell ref="K1208:L1208"/>
    <mergeCell ref="M1208:N1208"/>
    <mergeCell ref="O1208:P1208"/>
    <mergeCell ref="A1207:B1207"/>
    <mergeCell ref="C1207:D1207"/>
    <mergeCell ref="E1207:F1207"/>
    <mergeCell ref="G1207:H1207"/>
    <mergeCell ref="I1207:J1207"/>
    <mergeCell ref="K1207:L1207"/>
    <mergeCell ref="M1217:N1217"/>
    <mergeCell ref="O1217:P1217"/>
    <mergeCell ref="A1218:B1218"/>
    <mergeCell ref="C1218:D1218"/>
    <mergeCell ref="E1218:F1218"/>
    <mergeCell ref="G1218:H1218"/>
    <mergeCell ref="I1218:J1218"/>
    <mergeCell ref="K1218:L1218"/>
    <mergeCell ref="M1218:N1218"/>
    <mergeCell ref="O1218:P1218"/>
    <mergeCell ref="A1217:B1217"/>
    <mergeCell ref="C1217:D1217"/>
    <mergeCell ref="E1217:F1217"/>
    <mergeCell ref="G1217:H1217"/>
    <mergeCell ref="I1217:J1217"/>
    <mergeCell ref="K1217:L1217"/>
    <mergeCell ref="M1215:N1215"/>
    <mergeCell ref="O1215:P1215"/>
    <mergeCell ref="A1216:B1216"/>
    <mergeCell ref="C1216:D1216"/>
    <mergeCell ref="E1216:F1216"/>
    <mergeCell ref="G1216:H1216"/>
    <mergeCell ref="I1216:J1216"/>
    <mergeCell ref="K1216:L1216"/>
    <mergeCell ref="M1216:N1216"/>
    <mergeCell ref="O1216:P1216"/>
    <mergeCell ref="A1215:B1215"/>
    <mergeCell ref="C1215:D1215"/>
    <mergeCell ref="E1215:F1215"/>
    <mergeCell ref="G1215:H1215"/>
    <mergeCell ref="I1215:J1215"/>
    <mergeCell ref="K1215:L1215"/>
    <mergeCell ref="M1213:N1213"/>
    <mergeCell ref="O1213:P1213"/>
    <mergeCell ref="A1214:B1214"/>
    <mergeCell ref="C1214:D1214"/>
    <mergeCell ref="E1214:F1214"/>
    <mergeCell ref="G1214:H1214"/>
    <mergeCell ref="I1214:J1214"/>
    <mergeCell ref="K1214:L1214"/>
    <mergeCell ref="M1214:N1214"/>
    <mergeCell ref="O1214:P1214"/>
    <mergeCell ref="A1213:B1213"/>
    <mergeCell ref="C1213:D1213"/>
    <mergeCell ref="E1213:F1213"/>
    <mergeCell ref="G1213:H1213"/>
    <mergeCell ref="I1213:J1213"/>
    <mergeCell ref="K1213:L1213"/>
    <mergeCell ref="M1223:N1223"/>
    <mergeCell ref="O1223:P1223"/>
    <mergeCell ref="A1224:B1224"/>
    <mergeCell ref="C1224:D1224"/>
    <mergeCell ref="E1224:F1224"/>
    <mergeCell ref="G1224:H1224"/>
    <mergeCell ref="I1224:J1224"/>
    <mergeCell ref="K1224:L1224"/>
    <mergeCell ref="M1224:N1224"/>
    <mergeCell ref="O1224:P1224"/>
    <mergeCell ref="A1223:B1223"/>
    <mergeCell ref="C1223:D1223"/>
    <mergeCell ref="E1223:F1223"/>
    <mergeCell ref="G1223:H1223"/>
    <mergeCell ref="I1223:J1223"/>
    <mergeCell ref="K1223:L1223"/>
    <mergeCell ref="M1221:N1221"/>
    <mergeCell ref="O1221:P1221"/>
    <mergeCell ref="A1222:B1222"/>
    <mergeCell ref="C1222:D1222"/>
    <mergeCell ref="E1222:F1222"/>
    <mergeCell ref="G1222:H1222"/>
    <mergeCell ref="I1222:J1222"/>
    <mergeCell ref="K1222:L1222"/>
    <mergeCell ref="M1222:N1222"/>
    <mergeCell ref="O1222:P1222"/>
    <mergeCell ref="A1221:B1221"/>
    <mergeCell ref="C1221:D1221"/>
    <mergeCell ref="E1221:F1221"/>
    <mergeCell ref="G1221:H1221"/>
    <mergeCell ref="I1221:J1221"/>
    <mergeCell ref="K1221:L1221"/>
    <mergeCell ref="M1219:N1219"/>
    <mergeCell ref="O1219:P1219"/>
    <mergeCell ref="A1220:B1220"/>
    <mergeCell ref="C1220:D1220"/>
    <mergeCell ref="E1220:F1220"/>
    <mergeCell ref="G1220:H1220"/>
    <mergeCell ref="I1220:J1220"/>
    <mergeCell ref="K1220:L1220"/>
    <mergeCell ref="M1220:N1220"/>
    <mergeCell ref="O1220:P1220"/>
    <mergeCell ref="A1219:B1219"/>
    <mergeCell ref="C1219:D1219"/>
    <mergeCell ref="E1219:F1219"/>
    <mergeCell ref="G1219:H1219"/>
    <mergeCell ref="I1219:J1219"/>
    <mergeCell ref="K1219:L1219"/>
    <mergeCell ref="M1229:N1229"/>
    <mergeCell ref="O1229:P1229"/>
    <mergeCell ref="A1230:B1230"/>
    <mergeCell ref="C1230:D1230"/>
    <mergeCell ref="E1230:F1230"/>
    <mergeCell ref="G1230:H1230"/>
    <mergeCell ref="I1230:J1230"/>
    <mergeCell ref="K1230:L1230"/>
    <mergeCell ref="M1230:N1230"/>
    <mergeCell ref="O1230:P1230"/>
    <mergeCell ref="A1229:B1229"/>
    <mergeCell ref="C1229:D1229"/>
    <mergeCell ref="E1229:F1229"/>
    <mergeCell ref="G1229:H1229"/>
    <mergeCell ref="I1229:J1229"/>
    <mergeCell ref="K1229:L1229"/>
    <mergeCell ref="M1227:N1227"/>
    <mergeCell ref="O1227:P1227"/>
    <mergeCell ref="A1228:B1228"/>
    <mergeCell ref="C1228:D1228"/>
    <mergeCell ref="E1228:F1228"/>
    <mergeCell ref="G1228:H1228"/>
    <mergeCell ref="I1228:J1228"/>
    <mergeCell ref="K1228:L1228"/>
    <mergeCell ref="M1228:N1228"/>
    <mergeCell ref="O1228:P1228"/>
    <mergeCell ref="A1227:B1227"/>
    <mergeCell ref="C1227:D1227"/>
    <mergeCell ref="E1227:F1227"/>
    <mergeCell ref="G1227:H1227"/>
    <mergeCell ref="I1227:J1227"/>
    <mergeCell ref="K1227:L1227"/>
    <mergeCell ref="M1225:N1225"/>
    <mergeCell ref="O1225:P1225"/>
    <mergeCell ref="A1226:B1226"/>
    <mergeCell ref="C1226:D1226"/>
    <mergeCell ref="E1226:F1226"/>
    <mergeCell ref="G1226:H1226"/>
    <mergeCell ref="I1226:J1226"/>
    <mergeCell ref="K1226:L1226"/>
    <mergeCell ref="M1226:N1226"/>
    <mergeCell ref="O1226:P1226"/>
    <mergeCell ref="A1225:B1225"/>
    <mergeCell ref="C1225:D1225"/>
    <mergeCell ref="E1225:F1225"/>
    <mergeCell ref="G1225:H1225"/>
    <mergeCell ref="I1225:J1225"/>
    <mergeCell ref="K1225:L1225"/>
    <mergeCell ref="M1235:N1235"/>
    <mergeCell ref="O1235:P1235"/>
    <mergeCell ref="A1236:B1236"/>
    <mergeCell ref="C1236:D1236"/>
    <mergeCell ref="E1236:F1236"/>
    <mergeCell ref="G1236:H1236"/>
    <mergeCell ref="I1236:J1236"/>
    <mergeCell ref="K1236:L1236"/>
    <mergeCell ref="M1236:N1236"/>
    <mergeCell ref="O1236:P1236"/>
    <mergeCell ref="A1235:B1235"/>
    <mergeCell ref="C1235:D1235"/>
    <mergeCell ref="E1235:F1235"/>
    <mergeCell ref="G1235:H1235"/>
    <mergeCell ref="I1235:J1235"/>
    <mergeCell ref="K1235:L1235"/>
    <mergeCell ref="M1233:N1233"/>
    <mergeCell ref="O1233:P1233"/>
    <mergeCell ref="A1234:B1234"/>
    <mergeCell ref="C1234:D1234"/>
    <mergeCell ref="E1234:F1234"/>
    <mergeCell ref="G1234:H1234"/>
    <mergeCell ref="I1234:J1234"/>
    <mergeCell ref="K1234:L1234"/>
    <mergeCell ref="M1234:N1234"/>
    <mergeCell ref="O1234:P1234"/>
    <mergeCell ref="A1233:B1233"/>
    <mergeCell ref="C1233:D1233"/>
    <mergeCell ref="E1233:F1233"/>
    <mergeCell ref="G1233:H1233"/>
    <mergeCell ref="I1233:J1233"/>
    <mergeCell ref="K1233:L1233"/>
    <mergeCell ref="M1231:N1231"/>
    <mergeCell ref="O1231:P1231"/>
    <mergeCell ref="A1232:B1232"/>
    <mergeCell ref="C1232:D1232"/>
    <mergeCell ref="E1232:F1232"/>
    <mergeCell ref="G1232:H1232"/>
    <mergeCell ref="I1232:J1232"/>
    <mergeCell ref="K1232:L1232"/>
    <mergeCell ref="M1232:N1232"/>
    <mergeCell ref="O1232:P1232"/>
    <mergeCell ref="A1231:B1231"/>
    <mergeCell ref="C1231:D1231"/>
    <mergeCell ref="E1231:F1231"/>
    <mergeCell ref="G1231:H1231"/>
    <mergeCell ref="I1231:J1231"/>
    <mergeCell ref="K1231:L1231"/>
    <mergeCell ref="M1241:N1241"/>
    <mergeCell ref="O1241:P1241"/>
    <mergeCell ref="A1242:B1242"/>
    <mergeCell ref="C1242:D1242"/>
    <mergeCell ref="E1242:F1242"/>
    <mergeCell ref="G1242:H1242"/>
    <mergeCell ref="I1242:J1242"/>
    <mergeCell ref="K1242:L1242"/>
    <mergeCell ref="M1242:N1242"/>
    <mergeCell ref="O1242:P1242"/>
    <mergeCell ref="A1241:B1241"/>
    <mergeCell ref="C1241:D1241"/>
    <mergeCell ref="E1241:F1241"/>
    <mergeCell ref="G1241:H1241"/>
    <mergeCell ref="I1241:J1241"/>
    <mergeCell ref="K1241:L1241"/>
    <mergeCell ref="M1239:N1239"/>
    <mergeCell ref="O1239:P1239"/>
    <mergeCell ref="A1240:B1240"/>
    <mergeCell ref="C1240:D1240"/>
    <mergeCell ref="E1240:F1240"/>
    <mergeCell ref="G1240:H1240"/>
    <mergeCell ref="I1240:J1240"/>
    <mergeCell ref="K1240:L1240"/>
    <mergeCell ref="M1240:N1240"/>
    <mergeCell ref="O1240:P1240"/>
    <mergeCell ref="A1239:B1239"/>
    <mergeCell ref="C1239:D1239"/>
    <mergeCell ref="E1239:F1239"/>
    <mergeCell ref="G1239:H1239"/>
    <mergeCell ref="I1239:J1239"/>
    <mergeCell ref="K1239:L1239"/>
    <mergeCell ref="M1237:N1237"/>
    <mergeCell ref="O1237:P1237"/>
    <mergeCell ref="A1238:B1238"/>
    <mergeCell ref="C1238:D1238"/>
    <mergeCell ref="E1238:F1238"/>
    <mergeCell ref="G1238:H1238"/>
    <mergeCell ref="I1238:J1238"/>
    <mergeCell ref="K1238:L1238"/>
    <mergeCell ref="M1238:N1238"/>
    <mergeCell ref="O1238:P1238"/>
    <mergeCell ref="A1237:B1237"/>
    <mergeCell ref="C1237:D1237"/>
    <mergeCell ref="E1237:F1237"/>
    <mergeCell ref="G1237:H1237"/>
    <mergeCell ref="I1237:J1237"/>
    <mergeCell ref="K1237:L1237"/>
    <mergeCell ref="M1247:N1247"/>
    <mergeCell ref="O1247:P1247"/>
    <mergeCell ref="A1248:B1248"/>
    <mergeCell ref="C1248:D1248"/>
    <mergeCell ref="E1248:F1248"/>
    <mergeCell ref="G1248:H1248"/>
    <mergeCell ref="I1248:J1248"/>
    <mergeCell ref="K1248:L1248"/>
    <mergeCell ref="M1248:N1248"/>
    <mergeCell ref="O1248:P1248"/>
    <mergeCell ref="A1247:B1247"/>
    <mergeCell ref="C1247:D1247"/>
    <mergeCell ref="E1247:F1247"/>
    <mergeCell ref="G1247:H1247"/>
    <mergeCell ref="I1247:J1247"/>
    <mergeCell ref="K1247:L1247"/>
    <mergeCell ref="M1245:N1245"/>
    <mergeCell ref="O1245:P1245"/>
    <mergeCell ref="A1246:B1246"/>
    <mergeCell ref="C1246:D1246"/>
    <mergeCell ref="E1246:F1246"/>
    <mergeCell ref="G1246:H1246"/>
    <mergeCell ref="I1246:J1246"/>
    <mergeCell ref="K1246:L1246"/>
    <mergeCell ref="M1246:N1246"/>
    <mergeCell ref="O1246:P1246"/>
    <mergeCell ref="A1245:B1245"/>
    <mergeCell ref="C1245:D1245"/>
    <mergeCell ref="E1245:F1245"/>
    <mergeCell ref="G1245:H1245"/>
    <mergeCell ref="I1245:J1245"/>
    <mergeCell ref="K1245:L1245"/>
    <mergeCell ref="M1243:N1243"/>
    <mergeCell ref="O1243:P1243"/>
    <mergeCell ref="A1244:B1244"/>
    <mergeCell ref="C1244:D1244"/>
    <mergeCell ref="E1244:F1244"/>
    <mergeCell ref="G1244:H1244"/>
    <mergeCell ref="I1244:J1244"/>
    <mergeCell ref="K1244:L1244"/>
    <mergeCell ref="M1244:N1244"/>
    <mergeCell ref="O1244:P1244"/>
    <mergeCell ref="A1243:B1243"/>
    <mergeCell ref="C1243:D1243"/>
    <mergeCell ref="E1243:F1243"/>
    <mergeCell ref="G1243:H1243"/>
    <mergeCell ref="I1243:J1243"/>
    <mergeCell ref="K1243:L1243"/>
    <mergeCell ref="M1253:N1253"/>
    <mergeCell ref="O1253:P1253"/>
    <mergeCell ref="A1254:B1254"/>
    <mergeCell ref="C1254:D1254"/>
    <mergeCell ref="E1254:F1254"/>
    <mergeCell ref="G1254:H1254"/>
    <mergeCell ref="I1254:J1254"/>
    <mergeCell ref="K1254:L1254"/>
    <mergeCell ref="M1254:N1254"/>
    <mergeCell ref="O1254:P1254"/>
    <mergeCell ref="A1253:B1253"/>
    <mergeCell ref="C1253:D1253"/>
    <mergeCell ref="E1253:F1253"/>
    <mergeCell ref="G1253:H1253"/>
    <mergeCell ref="I1253:J1253"/>
    <mergeCell ref="K1253:L1253"/>
    <mergeCell ref="M1251:N1251"/>
    <mergeCell ref="O1251:P1251"/>
    <mergeCell ref="A1252:B1252"/>
    <mergeCell ref="C1252:D1252"/>
    <mergeCell ref="E1252:F1252"/>
    <mergeCell ref="G1252:H1252"/>
    <mergeCell ref="I1252:J1252"/>
    <mergeCell ref="K1252:L1252"/>
    <mergeCell ref="M1252:N1252"/>
    <mergeCell ref="O1252:P1252"/>
    <mergeCell ref="A1251:B1251"/>
    <mergeCell ref="C1251:D1251"/>
    <mergeCell ref="E1251:F1251"/>
    <mergeCell ref="G1251:H1251"/>
    <mergeCell ref="I1251:J1251"/>
    <mergeCell ref="K1251:L1251"/>
    <mergeCell ref="M1249:N1249"/>
    <mergeCell ref="O1249:P1249"/>
    <mergeCell ref="A1250:B1250"/>
    <mergeCell ref="C1250:D1250"/>
    <mergeCell ref="E1250:F1250"/>
    <mergeCell ref="G1250:H1250"/>
    <mergeCell ref="I1250:J1250"/>
    <mergeCell ref="K1250:L1250"/>
    <mergeCell ref="M1250:N1250"/>
    <mergeCell ref="O1250:P1250"/>
    <mergeCell ref="A1249:B1249"/>
    <mergeCell ref="C1249:D1249"/>
    <mergeCell ref="E1249:F1249"/>
    <mergeCell ref="G1249:H1249"/>
    <mergeCell ref="I1249:J1249"/>
    <mergeCell ref="K1249:L1249"/>
    <mergeCell ref="M1259:N1259"/>
    <mergeCell ref="O1259:P1259"/>
    <mergeCell ref="A1260:B1260"/>
    <mergeCell ref="C1260:D1260"/>
    <mergeCell ref="E1260:F1260"/>
    <mergeCell ref="G1260:H1260"/>
    <mergeCell ref="I1260:J1260"/>
    <mergeCell ref="K1260:L1260"/>
    <mergeCell ref="M1260:N1260"/>
    <mergeCell ref="O1260:P1260"/>
    <mergeCell ref="A1259:B1259"/>
    <mergeCell ref="C1259:D1259"/>
    <mergeCell ref="E1259:F1259"/>
    <mergeCell ref="G1259:H1259"/>
    <mergeCell ref="I1259:J1259"/>
    <mergeCell ref="K1259:L1259"/>
    <mergeCell ref="M1257:N1257"/>
    <mergeCell ref="O1257:P1257"/>
    <mergeCell ref="A1258:B1258"/>
    <mergeCell ref="C1258:D1258"/>
    <mergeCell ref="E1258:F1258"/>
    <mergeCell ref="G1258:H1258"/>
    <mergeCell ref="I1258:J1258"/>
    <mergeCell ref="K1258:L1258"/>
    <mergeCell ref="M1258:N1258"/>
    <mergeCell ref="O1258:P1258"/>
    <mergeCell ref="A1257:B1257"/>
    <mergeCell ref="C1257:D1257"/>
    <mergeCell ref="E1257:F1257"/>
    <mergeCell ref="G1257:H1257"/>
    <mergeCell ref="I1257:J1257"/>
    <mergeCell ref="K1257:L1257"/>
    <mergeCell ref="M1255:N1255"/>
    <mergeCell ref="O1255:P1255"/>
    <mergeCell ref="A1256:B1256"/>
    <mergeCell ref="C1256:D1256"/>
    <mergeCell ref="E1256:F1256"/>
    <mergeCell ref="G1256:H1256"/>
    <mergeCell ref="I1256:J1256"/>
    <mergeCell ref="K1256:L1256"/>
    <mergeCell ref="M1256:N1256"/>
    <mergeCell ref="O1256:P1256"/>
    <mergeCell ref="A1255:B1255"/>
    <mergeCell ref="C1255:D1255"/>
    <mergeCell ref="E1255:F1255"/>
    <mergeCell ref="G1255:H1255"/>
    <mergeCell ref="I1255:J1255"/>
    <mergeCell ref="K1255:L1255"/>
    <mergeCell ref="M1265:N1265"/>
    <mergeCell ref="O1265:P1265"/>
    <mergeCell ref="A1266:B1266"/>
    <mergeCell ref="C1266:D1266"/>
    <mergeCell ref="E1266:F1266"/>
    <mergeCell ref="G1266:H1266"/>
    <mergeCell ref="I1266:J1266"/>
    <mergeCell ref="K1266:L1266"/>
    <mergeCell ref="M1266:N1266"/>
    <mergeCell ref="O1266:P1266"/>
    <mergeCell ref="A1265:B1265"/>
    <mergeCell ref="C1265:D1265"/>
    <mergeCell ref="E1265:F1265"/>
    <mergeCell ref="G1265:H1265"/>
    <mergeCell ref="I1265:J1265"/>
    <mergeCell ref="K1265:L1265"/>
    <mergeCell ref="M1263:N1263"/>
    <mergeCell ref="O1263:P1263"/>
    <mergeCell ref="A1264:B1264"/>
    <mergeCell ref="C1264:D1264"/>
    <mergeCell ref="E1264:F1264"/>
    <mergeCell ref="G1264:H1264"/>
    <mergeCell ref="I1264:J1264"/>
    <mergeCell ref="K1264:L1264"/>
    <mergeCell ref="M1264:N1264"/>
    <mergeCell ref="O1264:P1264"/>
    <mergeCell ref="A1263:B1263"/>
    <mergeCell ref="C1263:D1263"/>
    <mergeCell ref="E1263:F1263"/>
    <mergeCell ref="G1263:H1263"/>
    <mergeCell ref="I1263:J1263"/>
    <mergeCell ref="K1263:L1263"/>
    <mergeCell ref="M1261:N1261"/>
    <mergeCell ref="O1261:P1261"/>
    <mergeCell ref="A1262:B1262"/>
    <mergeCell ref="C1262:D1262"/>
    <mergeCell ref="E1262:F1262"/>
    <mergeCell ref="G1262:H1262"/>
    <mergeCell ref="I1262:J1262"/>
    <mergeCell ref="K1262:L1262"/>
    <mergeCell ref="M1262:N1262"/>
    <mergeCell ref="O1262:P1262"/>
    <mergeCell ref="A1261:B1261"/>
    <mergeCell ref="C1261:D1261"/>
    <mergeCell ref="E1261:F1261"/>
    <mergeCell ref="G1261:H1261"/>
    <mergeCell ref="I1261:J1261"/>
    <mergeCell ref="K1261:L1261"/>
    <mergeCell ref="M1271:N1271"/>
    <mergeCell ref="O1271:P1271"/>
    <mergeCell ref="A1272:B1272"/>
    <mergeCell ref="C1272:D1272"/>
    <mergeCell ref="E1272:F1272"/>
    <mergeCell ref="G1272:H1272"/>
    <mergeCell ref="I1272:J1272"/>
    <mergeCell ref="K1272:L1272"/>
    <mergeCell ref="M1272:N1272"/>
    <mergeCell ref="O1272:P1272"/>
    <mergeCell ref="A1271:B1271"/>
    <mergeCell ref="C1271:D1271"/>
    <mergeCell ref="E1271:F1271"/>
    <mergeCell ref="G1271:H1271"/>
    <mergeCell ref="I1271:J1271"/>
    <mergeCell ref="K1271:L1271"/>
    <mergeCell ref="M1269:N1269"/>
    <mergeCell ref="O1269:P1269"/>
    <mergeCell ref="A1270:B1270"/>
    <mergeCell ref="C1270:D1270"/>
    <mergeCell ref="E1270:F1270"/>
    <mergeCell ref="G1270:H1270"/>
    <mergeCell ref="I1270:J1270"/>
    <mergeCell ref="K1270:L1270"/>
    <mergeCell ref="M1270:N1270"/>
    <mergeCell ref="O1270:P1270"/>
    <mergeCell ref="A1269:B1269"/>
    <mergeCell ref="C1269:D1269"/>
    <mergeCell ref="E1269:F1269"/>
    <mergeCell ref="G1269:H1269"/>
    <mergeCell ref="I1269:J1269"/>
    <mergeCell ref="K1269:L1269"/>
    <mergeCell ref="M1267:N1267"/>
    <mergeCell ref="O1267:P1267"/>
    <mergeCell ref="A1268:B1268"/>
    <mergeCell ref="C1268:D1268"/>
    <mergeCell ref="E1268:F1268"/>
    <mergeCell ref="G1268:H1268"/>
    <mergeCell ref="I1268:J1268"/>
    <mergeCell ref="K1268:L1268"/>
    <mergeCell ref="M1268:N1268"/>
    <mergeCell ref="O1268:P1268"/>
    <mergeCell ref="A1267:B1267"/>
    <mergeCell ref="C1267:D1267"/>
    <mergeCell ref="E1267:F1267"/>
    <mergeCell ref="G1267:H1267"/>
    <mergeCell ref="I1267:J1267"/>
    <mergeCell ref="K1267:L1267"/>
    <mergeCell ref="M1277:N1277"/>
    <mergeCell ref="O1277:P1277"/>
    <mergeCell ref="A1278:B1278"/>
    <mergeCell ref="C1278:D1278"/>
    <mergeCell ref="E1278:F1278"/>
    <mergeCell ref="G1278:H1278"/>
    <mergeCell ref="I1278:J1278"/>
    <mergeCell ref="K1278:L1278"/>
    <mergeCell ref="M1278:N1278"/>
    <mergeCell ref="O1278:P1278"/>
    <mergeCell ref="A1277:B1277"/>
    <mergeCell ref="C1277:D1277"/>
    <mergeCell ref="E1277:F1277"/>
    <mergeCell ref="G1277:H1277"/>
    <mergeCell ref="I1277:J1277"/>
    <mergeCell ref="K1277:L1277"/>
    <mergeCell ref="M1275:N1275"/>
    <mergeCell ref="O1275:P1275"/>
    <mergeCell ref="A1276:B1276"/>
    <mergeCell ref="C1276:D1276"/>
    <mergeCell ref="E1276:F1276"/>
    <mergeCell ref="G1276:H1276"/>
    <mergeCell ref="I1276:J1276"/>
    <mergeCell ref="K1276:L1276"/>
    <mergeCell ref="M1276:N1276"/>
    <mergeCell ref="O1276:P1276"/>
    <mergeCell ref="A1275:B1275"/>
    <mergeCell ref="C1275:D1275"/>
    <mergeCell ref="E1275:F1275"/>
    <mergeCell ref="G1275:H1275"/>
    <mergeCell ref="I1275:J1275"/>
    <mergeCell ref="K1275:L1275"/>
    <mergeCell ref="M1273:N1273"/>
    <mergeCell ref="O1273:P1273"/>
    <mergeCell ref="A1274:B1274"/>
    <mergeCell ref="C1274:D1274"/>
    <mergeCell ref="E1274:F1274"/>
    <mergeCell ref="G1274:H1274"/>
    <mergeCell ref="I1274:J1274"/>
    <mergeCell ref="K1274:L1274"/>
    <mergeCell ref="M1274:N1274"/>
    <mergeCell ref="O1274:P1274"/>
    <mergeCell ref="A1273:B1273"/>
    <mergeCell ref="C1273:D1273"/>
    <mergeCell ref="E1273:F1273"/>
    <mergeCell ref="G1273:H1273"/>
    <mergeCell ref="I1273:J1273"/>
    <mergeCell ref="K1273:L1273"/>
    <mergeCell ref="M1283:N1283"/>
    <mergeCell ref="O1283:P1283"/>
    <mergeCell ref="A1284:B1284"/>
    <mergeCell ref="C1284:D1284"/>
    <mergeCell ref="E1284:F1284"/>
    <mergeCell ref="G1284:H1284"/>
    <mergeCell ref="I1284:J1284"/>
    <mergeCell ref="K1284:L1284"/>
    <mergeCell ref="M1284:N1284"/>
    <mergeCell ref="O1284:P1284"/>
    <mergeCell ref="A1283:B1283"/>
    <mergeCell ref="C1283:D1283"/>
    <mergeCell ref="E1283:F1283"/>
    <mergeCell ref="G1283:H1283"/>
    <mergeCell ref="I1283:J1283"/>
    <mergeCell ref="K1283:L1283"/>
    <mergeCell ref="M1281:N1281"/>
    <mergeCell ref="O1281:P1281"/>
    <mergeCell ref="A1282:B1282"/>
    <mergeCell ref="C1282:D1282"/>
    <mergeCell ref="E1282:F1282"/>
    <mergeCell ref="G1282:H1282"/>
    <mergeCell ref="I1282:J1282"/>
    <mergeCell ref="K1282:L1282"/>
    <mergeCell ref="M1282:N1282"/>
    <mergeCell ref="O1282:P1282"/>
    <mergeCell ref="A1281:B1281"/>
    <mergeCell ref="C1281:D1281"/>
    <mergeCell ref="E1281:F1281"/>
    <mergeCell ref="G1281:H1281"/>
    <mergeCell ref="I1281:J1281"/>
    <mergeCell ref="K1281:L1281"/>
    <mergeCell ref="M1279:N1279"/>
    <mergeCell ref="O1279:P1279"/>
    <mergeCell ref="A1280:B1280"/>
    <mergeCell ref="C1280:D1280"/>
    <mergeCell ref="E1280:F1280"/>
    <mergeCell ref="G1280:H1280"/>
    <mergeCell ref="I1280:J1280"/>
    <mergeCell ref="K1280:L1280"/>
    <mergeCell ref="M1280:N1280"/>
    <mergeCell ref="O1280:P1280"/>
    <mergeCell ref="A1279:B1279"/>
    <mergeCell ref="C1279:D1279"/>
    <mergeCell ref="E1279:F1279"/>
    <mergeCell ref="G1279:H1279"/>
    <mergeCell ref="I1279:J1279"/>
    <mergeCell ref="K1279:L1279"/>
    <mergeCell ref="M1289:N1289"/>
    <mergeCell ref="O1289:P1289"/>
    <mergeCell ref="A1290:B1290"/>
    <mergeCell ref="C1290:D1290"/>
    <mergeCell ref="E1290:F1290"/>
    <mergeCell ref="G1290:H1290"/>
    <mergeCell ref="I1290:J1290"/>
    <mergeCell ref="K1290:L1290"/>
    <mergeCell ref="M1290:N1290"/>
    <mergeCell ref="O1290:P1290"/>
    <mergeCell ref="A1289:B1289"/>
    <mergeCell ref="C1289:D1289"/>
    <mergeCell ref="E1289:F1289"/>
    <mergeCell ref="G1289:H1289"/>
    <mergeCell ref="I1289:J1289"/>
    <mergeCell ref="K1289:L1289"/>
    <mergeCell ref="M1287:N1287"/>
    <mergeCell ref="O1287:P1287"/>
    <mergeCell ref="A1288:B1288"/>
    <mergeCell ref="C1288:D1288"/>
    <mergeCell ref="E1288:F1288"/>
    <mergeCell ref="G1288:H1288"/>
    <mergeCell ref="I1288:J1288"/>
    <mergeCell ref="K1288:L1288"/>
    <mergeCell ref="M1288:N1288"/>
    <mergeCell ref="O1288:P1288"/>
    <mergeCell ref="A1287:B1287"/>
    <mergeCell ref="C1287:D1287"/>
    <mergeCell ref="E1287:F1287"/>
    <mergeCell ref="G1287:H1287"/>
    <mergeCell ref="I1287:J1287"/>
    <mergeCell ref="K1287:L1287"/>
    <mergeCell ref="M1285:N1285"/>
    <mergeCell ref="O1285:P1285"/>
    <mergeCell ref="A1286:B1286"/>
    <mergeCell ref="C1286:D1286"/>
    <mergeCell ref="E1286:F1286"/>
    <mergeCell ref="G1286:H1286"/>
    <mergeCell ref="I1286:J1286"/>
    <mergeCell ref="K1286:L1286"/>
    <mergeCell ref="M1286:N1286"/>
    <mergeCell ref="O1286:P1286"/>
    <mergeCell ref="A1285:B1285"/>
    <mergeCell ref="C1285:D1285"/>
    <mergeCell ref="E1285:F1285"/>
    <mergeCell ref="G1285:H1285"/>
    <mergeCell ref="I1285:J1285"/>
    <mergeCell ref="K1285:L1285"/>
    <mergeCell ref="M1295:N1295"/>
    <mergeCell ref="O1295:P1295"/>
    <mergeCell ref="A1296:B1296"/>
    <mergeCell ref="C1296:D1296"/>
    <mergeCell ref="E1296:F1296"/>
    <mergeCell ref="G1296:H1296"/>
    <mergeCell ref="I1296:J1296"/>
    <mergeCell ref="K1296:L1296"/>
    <mergeCell ref="M1296:N1296"/>
    <mergeCell ref="O1296:P1296"/>
    <mergeCell ref="A1295:B1295"/>
    <mergeCell ref="C1295:D1295"/>
    <mergeCell ref="E1295:F1295"/>
    <mergeCell ref="G1295:H1295"/>
    <mergeCell ref="I1295:J1295"/>
    <mergeCell ref="K1295:L1295"/>
    <mergeCell ref="M1293:N1293"/>
    <mergeCell ref="O1293:P1293"/>
    <mergeCell ref="A1294:B1294"/>
    <mergeCell ref="C1294:D1294"/>
    <mergeCell ref="E1294:F1294"/>
    <mergeCell ref="G1294:H1294"/>
    <mergeCell ref="I1294:J1294"/>
    <mergeCell ref="K1294:L1294"/>
    <mergeCell ref="M1294:N1294"/>
    <mergeCell ref="O1294:P1294"/>
    <mergeCell ref="A1293:B1293"/>
    <mergeCell ref="C1293:D1293"/>
    <mergeCell ref="E1293:F1293"/>
    <mergeCell ref="G1293:H1293"/>
    <mergeCell ref="I1293:J1293"/>
    <mergeCell ref="K1293:L1293"/>
    <mergeCell ref="M1291:N1291"/>
    <mergeCell ref="O1291:P1291"/>
    <mergeCell ref="A1292:B1292"/>
    <mergeCell ref="C1292:D1292"/>
    <mergeCell ref="E1292:F1292"/>
    <mergeCell ref="G1292:H1292"/>
    <mergeCell ref="I1292:J1292"/>
    <mergeCell ref="K1292:L1292"/>
    <mergeCell ref="M1292:N1292"/>
    <mergeCell ref="O1292:P1292"/>
    <mergeCell ref="A1291:B1291"/>
    <mergeCell ref="C1291:D1291"/>
    <mergeCell ref="E1291:F1291"/>
    <mergeCell ref="G1291:H1291"/>
    <mergeCell ref="I1291:J1291"/>
    <mergeCell ref="K1291:L1291"/>
    <mergeCell ref="M1301:N1301"/>
    <mergeCell ref="O1301:P1301"/>
    <mergeCell ref="A1302:B1302"/>
    <mergeCell ref="C1302:D1302"/>
    <mergeCell ref="E1302:F1302"/>
    <mergeCell ref="G1302:H1302"/>
    <mergeCell ref="I1302:J1302"/>
    <mergeCell ref="K1302:L1302"/>
    <mergeCell ref="M1302:N1302"/>
    <mergeCell ref="O1302:P1302"/>
    <mergeCell ref="A1301:B1301"/>
    <mergeCell ref="C1301:D1301"/>
    <mergeCell ref="E1301:F1301"/>
    <mergeCell ref="G1301:H1301"/>
    <mergeCell ref="I1301:J1301"/>
    <mergeCell ref="K1301:L1301"/>
    <mergeCell ref="M1299:N1299"/>
    <mergeCell ref="O1299:P1299"/>
    <mergeCell ref="A1300:B1300"/>
    <mergeCell ref="C1300:D1300"/>
    <mergeCell ref="E1300:F1300"/>
    <mergeCell ref="G1300:H1300"/>
    <mergeCell ref="I1300:J1300"/>
    <mergeCell ref="K1300:L1300"/>
    <mergeCell ref="M1300:N1300"/>
    <mergeCell ref="O1300:P1300"/>
    <mergeCell ref="A1299:B1299"/>
    <mergeCell ref="C1299:D1299"/>
    <mergeCell ref="E1299:F1299"/>
    <mergeCell ref="G1299:H1299"/>
    <mergeCell ref="I1299:J1299"/>
    <mergeCell ref="K1299:L1299"/>
    <mergeCell ref="M1297:N1297"/>
    <mergeCell ref="O1297:P1297"/>
    <mergeCell ref="A1298:B1298"/>
    <mergeCell ref="C1298:D1298"/>
    <mergeCell ref="E1298:F1298"/>
    <mergeCell ref="G1298:H1298"/>
    <mergeCell ref="I1298:J1298"/>
    <mergeCell ref="K1298:L1298"/>
    <mergeCell ref="M1298:N1298"/>
    <mergeCell ref="O1298:P1298"/>
    <mergeCell ref="A1297:B1297"/>
    <mergeCell ref="C1297:D1297"/>
    <mergeCell ref="E1297:F1297"/>
    <mergeCell ref="G1297:H1297"/>
    <mergeCell ref="I1297:J1297"/>
    <mergeCell ref="K1297:L1297"/>
    <mergeCell ref="M1307:N1307"/>
    <mergeCell ref="O1307:P1307"/>
    <mergeCell ref="A1308:B1308"/>
    <mergeCell ref="C1308:D1308"/>
    <mergeCell ref="E1308:F1308"/>
    <mergeCell ref="G1308:H1308"/>
    <mergeCell ref="I1308:J1308"/>
    <mergeCell ref="K1308:L1308"/>
    <mergeCell ref="M1308:N1308"/>
    <mergeCell ref="O1308:P1308"/>
    <mergeCell ref="A1307:B1307"/>
    <mergeCell ref="C1307:D1307"/>
    <mergeCell ref="E1307:F1307"/>
    <mergeCell ref="G1307:H1307"/>
    <mergeCell ref="I1307:J1307"/>
    <mergeCell ref="K1307:L1307"/>
    <mergeCell ref="M1305:N1305"/>
    <mergeCell ref="O1305:P1305"/>
    <mergeCell ref="A1306:B1306"/>
    <mergeCell ref="C1306:D1306"/>
    <mergeCell ref="E1306:F1306"/>
    <mergeCell ref="G1306:H1306"/>
    <mergeCell ref="I1306:J1306"/>
    <mergeCell ref="K1306:L1306"/>
    <mergeCell ref="M1306:N1306"/>
    <mergeCell ref="O1306:P1306"/>
    <mergeCell ref="A1305:B1305"/>
    <mergeCell ref="C1305:D1305"/>
    <mergeCell ref="E1305:F1305"/>
    <mergeCell ref="G1305:H1305"/>
    <mergeCell ref="I1305:J1305"/>
    <mergeCell ref="K1305:L1305"/>
    <mergeCell ref="M1303:N1303"/>
    <mergeCell ref="O1303:P1303"/>
    <mergeCell ref="A1304:B1304"/>
    <mergeCell ref="C1304:D1304"/>
    <mergeCell ref="E1304:F1304"/>
    <mergeCell ref="G1304:H1304"/>
    <mergeCell ref="I1304:J1304"/>
    <mergeCell ref="K1304:L1304"/>
    <mergeCell ref="M1304:N1304"/>
    <mergeCell ref="O1304:P1304"/>
    <mergeCell ref="A1303:B1303"/>
    <mergeCell ref="C1303:D1303"/>
    <mergeCell ref="E1303:F1303"/>
    <mergeCell ref="G1303:H1303"/>
    <mergeCell ref="I1303:J1303"/>
    <mergeCell ref="K1303:L1303"/>
    <mergeCell ref="M1313:N1313"/>
    <mergeCell ref="O1313:P1313"/>
    <mergeCell ref="A1314:B1314"/>
    <mergeCell ref="C1314:D1314"/>
    <mergeCell ref="E1314:F1314"/>
    <mergeCell ref="G1314:H1314"/>
    <mergeCell ref="I1314:J1314"/>
    <mergeCell ref="K1314:L1314"/>
    <mergeCell ref="M1314:N1314"/>
    <mergeCell ref="O1314:P1314"/>
    <mergeCell ref="A1313:B1313"/>
    <mergeCell ref="C1313:D1313"/>
    <mergeCell ref="E1313:F1313"/>
    <mergeCell ref="G1313:H1313"/>
    <mergeCell ref="I1313:J1313"/>
    <mergeCell ref="K1313:L1313"/>
    <mergeCell ref="M1311:N1311"/>
    <mergeCell ref="O1311:P1311"/>
    <mergeCell ref="A1312:B1312"/>
    <mergeCell ref="C1312:D1312"/>
    <mergeCell ref="E1312:F1312"/>
    <mergeCell ref="G1312:H1312"/>
    <mergeCell ref="I1312:J1312"/>
    <mergeCell ref="K1312:L1312"/>
    <mergeCell ref="M1312:N1312"/>
    <mergeCell ref="O1312:P1312"/>
    <mergeCell ref="A1311:B1311"/>
    <mergeCell ref="C1311:D1311"/>
    <mergeCell ref="E1311:F1311"/>
    <mergeCell ref="G1311:H1311"/>
    <mergeCell ref="I1311:J1311"/>
    <mergeCell ref="K1311:L1311"/>
    <mergeCell ref="M1309:N1309"/>
    <mergeCell ref="O1309:P1309"/>
    <mergeCell ref="A1310:B1310"/>
    <mergeCell ref="C1310:D1310"/>
    <mergeCell ref="E1310:F1310"/>
    <mergeCell ref="G1310:H1310"/>
    <mergeCell ref="I1310:J1310"/>
    <mergeCell ref="K1310:L1310"/>
    <mergeCell ref="M1310:N1310"/>
    <mergeCell ref="O1310:P1310"/>
    <mergeCell ref="A1309:B1309"/>
    <mergeCell ref="C1309:D1309"/>
    <mergeCell ref="E1309:F1309"/>
    <mergeCell ref="G1309:H1309"/>
    <mergeCell ref="I1309:J1309"/>
    <mergeCell ref="K1309:L1309"/>
    <mergeCell ref="M1319:N1319"/>
    <mergeCell ref="O1319:P1319"/>
    <mergeCell ref="A1320:B1320"/>
    <mergeCell ref="C1320:D1320"/>
    <mergeCell ref="E1320:F1320"/>
    <mergeCell ref="G1320:H1320"/>
    <mergeCell ref="I1320:J1320"/>
    <mergeCell ref="K1320:L1320"/>
    <mergeCell ref="M1320:N1320"/>
    <mergeCell ref="O1320:P1320"/>
    <mergeCell ref="A1319:B1319"/>
    <mergeCell ref="C1319:D1319"/>
    <mergeCell ref="E1319:F1319"/>
    <mergeCell ref="G1319:H1319"/>
    <mergeCell ref="I1319:J1319"/>
    <mergeCell ref="K1319:L1319"/>
    <mergeCell ref="M1317:N1317"/>
    <mergeCell ref="O1317:P1317"/>
    <mergeCell ref="A1318:B1318"/>
    <mergeCell ref="C1318:D1318"/>
    <mergeCell ref="E1318:F1318"/>
    <mergeCell ref="G1318:H1318"/>
    <mergeCell ref="I1318:J1318"/>
    <mergeCell ref="K1318:L1318"/>
    <mergeCell ref="M1318:N1318"/>
    <mergeCell ref="O1318:P1318"/>
    <mergeCell ref="A1317:B1317"/>
    <mergeCell ref="C1317:D1317"/>
    <mergeCell ref="E1317:F1317"/>
    <mergeCell ref="G1317:H1317"/>
    <mergeCell ref="I1317:J1317"/>
    <mergeCell ref="K1317:L1317"/>
    <mergeCell ref="M1315:N1315"/>
    <mergeCell ref="O1315:P1315"/>
    <mergeCell ref="A1316:B1316"/>
    <mergeCell ref="C1316:D1316"/>
    <mergeCell ref="E1316:F1316"/>
    <mergeCell ref="G1316:H1316"/>
    <mergeCell ref="I1316:J1316"/>
    <mergeCell ref="K1316:L1316"/>
    <mergeCell ref="M1316:N1316"/>
    <mergeCell ref="O1316:P1316"/>
    <mergeCell ref="A1315:B1315"/>
    <mergeCell ref="C1315:D1315"/>
    <mergeCell ref="E1315:F1315"/>
    <mergeCell ref="G1315:H1315"/>
    <mergeCell ref="I1315:J1315"/>
    <mergeCell ref="K1315:L1315"/>
    <mergeCell ref="M1325:N1325"/>
    <mergeCell ref="O1325:P1325"/>
    <mergeCell ref="A1326:B1326"/>
    <mergeCell ref="C1326:D1326"/>
    <mergeCell ref="E1326:F1326"/>
    <mergeCell ref="G1326:H1326"/>
    <mergeCell ref="I1326:J1326"/>
    <mergeCell ref="K1326:L1326"/>
    <mergeCell ref="M1326:N1326"/>
    <mergeCell ref="O1326:P1326"/>
    <mergeCell ref="A1325:B1325"/>
    <mergeCell ref="C1325:D1325"/>
    <mergeCell ref="E1325:F1325"/>
    <mergeCell ref="G1325:H1325"/>
    <mergeCell ref="I1325:J1325"/>
    <mergeCell ref="K1325:L1325"/>
    <mergeCell ref="M1323:N1323"/>
    <mergeCell ref="O1323:P1323"/>
    <mergeCell ref="A1324:B1324"/>
    <mergeCell ref="C1324:D1324"/>
    <mergeCell ref="E1324:F1324"/>
    <mergeCell ref="G1324:H1324"/>
    <mergeCell ref="I1324:J1324"/>
    <mergeCell ref="K1324:L1324"/>
    <mergeCell ref="M1324:N1324"/>
    <mergeCell ref="O1324:P1324"/>
    <mergeCell ref="A1323:B1323"/>
    <mergeCell ref="C1323:D1323"/>
    <mergeCell ref="E1323:F1323"/>
    <mergeCell ref="G1323:H1323"/>
    <mergeCell ref="I1323:J1323"/>
    <mergeCell ref="K1323:L1323"/>
    <mergeCell ref="M1321:N1321"/>
    <mergeCell ref="O1321:P1321"/>
    <mergeCell ref="A1322:B1322"/>
    <mergeCell ref="C1322:D1322"/>
    <mergeCell ref="E1322:F1322"/>
    <mergeCell ref="G1322:H1322"/>
    <mergeCell ref="I1322:J1322"/>
    <mergeCell ref="K1322:L1322"/>
    <mergeCell ref="M1322:N1322"/>
    <mergeCell ref="O1322:P1322"/>
    <mergeCell ref="A1321:B1321"/>
    <mergeCell ref="C1321:D1321"/>
    <mergeCell ref="E1321:F1321"/>
    <mergeCell ref="G1321:H1321"/>
    <mergeCell ref="I1321:J1321"/>
    <mergeCell ref="K1321:L1321"/>
    <mergeCell ref="M1331:N1331"/>
    <mergeCell ref="O1331:P1331"/>
    <mergeCell ref="A1332:B1332"/>
    <mergeCell ref="C1332:D1332"/>
    <mergeCell ref="E1332:F1332"/>
    <mergeCell ref="G1332:H1332"/>
    <mergeCell ref="I1332:J1332"/>
    <mergeCell ref="K1332:L1332"/>
    <mergeCell ref="M1332:N1332"/>
    <mergeCell ref="O1332:P1332"/>
    <mergeCell ref="A1331:B1331"/>
    <mergeCell ref="C1331:D1331"/>
    <mergeCell ref="E1331:F1331"/>
    <mergeCell ref="G1331:H1331"/>
    <mergeCell ref="I1331:J1331"/>
    <mergeCell ref="K1331:L1331"/>
    <mergeCell ref="M1329:N1329"/>
    <mergeCell ref="O1329:P1329"/>
    <mergeCell ref="A1330:B1330"/>
    <mergeCell ref="C1330:D1330"/>
    <mergeCell ref="E1330:F1330"/>
    <mergeCell ref="G1330:H1330"/>
    <mergeCell ref="I1330:J1330"/>
    <mergeCell ref="K1330:L1330"/>
    <mergeCell ref="M1330:N1330"/>
    <mergeCell ref="O1330:P1330"/>
    <mergeCell ref="A1329:B1329"/>
    <mergeCell ref="C1329:D1329"/>
    <mergeCell ref="E1329:F1329"/>
    <mergeCell ref="G1329:H1329"/>
    <mergeCell ref="I1329:J1329"/>
    <mergeCell ref="K1329:L1329"/>
    <mergeCell ref="M1327:N1327"/>
    <mergeCell ref="O1327:P1327"/>
    <mergeCell ref="A1328:B1328"/>
    <mergeCell ref="C1328:D1328"/>
    <mergeCell ref="E1328:F1328"/>
    <mergeCell ref="G1328:H1328"/>
    <mergeCell ref="I1328:J1328"/>
    <mergeCell ref="K1328:L1328"/>
    <mergeCell ref="M1328:N1328"/>
    <mergeCell ref="O1328:P1328"/>
    <mergeCell ref="A1327:B1327"/>
    <mergeCell ref="C1327:D1327"/>
    <mergeCell ref="E1327:F1327"/>
    <mergeCell ref="G1327:H1327"/>
    <mergeCell ref="I1327:J1327"/>
    <mergeCell ref="K1327:L1327"/>
    <mergeCell ref="M1337:N1337"/>
    <mergeCell ref="O1337:P1337"/>
    <mergeCell ref="A1338:B1338"/>
    <mergeCell ref="C1338:D1338"/>
    <mergeCell ref="E1338:F1338"/>
    <mergeCell ref="G1338:H1338"/>
    <mergeCell ref="I1338:J1338"/>
    <mergeCell ref="K1338:L1338"/>
    <mergeCell ref="M1338:N1338"/>
    <mergeCell ref="O1338:P1338"/>
    <mergeCell ref="A1337:B1337"/>
    <mergeCell ref="C1337:D1337"/>
    <mergeCell ref="E1337:F1337"/>
    <mergeCell ref="G1337:H1337"/>
    <mergeCell ref="I1337:J1337"/>
    <mergeCell ref="K1337:L1337"/>
    <mergeCell ref="M1335:N1335"/>
    <mergeCell ref="O1335:P1335"/>
    <mergeCell ref="A1336:B1336"/>
    <mergeCell ref="C1336:D1336"/>
    <mergeCell ref="E1336:F1336"/>
    <mergeCell ref="G1336:H1336"/>
    <mergeCell ref="I1336:J1336"/>
    <mergeCell ref="K1336:L1336"/>
    <mergeCell ref="M1336:N1336"/>
    <mergeCell ref="O1336:P1336"/>
    <mergeCell ref="A1335:B1335"/>
    <mergeCell ref="C1335:D1335"/>
    <mergeCell ref="E1335:F1335"/>
    <mergeCell ref="G1335:H1335"/>
    <mergeCell ref="I1335:J1335"/>
    <mergeCell ref="K1335:L1335"/>
    <mergeCell ref="M1333:N1333"/>
    <mergeCell ref="O1333:P1333"/>
    <mergeCell ref="A1334:B1334"/>
    <mergeCell ref="C1334:D1334"/>
    <mergeCell ref="E1334:F1334"/>
    <mergeCell ref="G1334:H1334"/>
    <mergeCell ref="I1334:J1334"/>
    <mergeCell ref="K1334:L1334"/>
    <mergeCell ref="M1334:N1334"/>
    <mergeCell ref="O1334:P1334"/>
    <mergeCell ref="A1333:B1333"/>
    <mergeCell ref="C1333:D1333"/>
    <mergeCell ref="E1333:F1333"/>
    <mergeCell ref="G1333:H1333"/>
    <mergeCell ref="I1333:J1333"/>
    <mergeCell ref="K1333:L1333"/>
    <mergeCell ref="M1343:N1343"/>
    <mergeCell ref="O1343:P1343"/>
    <mergeCell ref="A1344:B1344"/>
    <mergeCell ref="C1344:D1344"/>
    <mergeCell ref="E1344:F1344"/>
    <mergeCell ref="G1344:H1344"/>
    <mergeCell ref="I1344:J1344"/>
    <mergeCell ref="K1344:L1344"/>
    <mergeCell ref="M1344:N1344"/>
    <mergeCell ref="O1344:P1344"/>
    <mergeCell ref="A1343:B1343"/>
    <mergeCell ref="C1343:D1343"/>
    <mergeCell ref="E1343:F1343"/>
    <mergeCell ref="G1343:H1343"/>
    <mergeCell ref="I1343:J1343"/>
    <mergeCell ref="K1343:L1343"/>
    <mergeCell ref="M1341:N1341"/>
    <mergeCell ref="O1341:P1341"/>
    <mergeCell ref="A1342:B1342"/>
    <mergeCell ref="C1342:D1342"/>
    <mergeCell ref="E1342:F1342"/>
    <mergeCell ref="G1342:H1342"/>
    <mergeCell ref="I1342:J1342"/>
    <mergeCell ref="K1342:L1342"/>
    <mergeCell ref="M1342:N1342"/>
    <mergeCell ref="O1342:P1342"/>
    <mergeCell ref="A1341:B1341"/>
    <mergeCell ref="C1341:D1341"/>
    <mergeCell ref="E1341:F1341"/>
    <mergeCell ref="G1341:H1341"/>
    <mergeCell ref="I1341:J1341"/>
    <mergeCell ref="K1341:L1341"/>
    <mergeCell ref="M1339:N1339"/>
    <mergeCell ref="O1339:P1339"/>
    <mergeCell ref="A1340:B1340"/>
    <mergeCell ref="C1340:D1340"/>
    <mergeCell ref="E1340:F1340"/>
    <mergeCell ref="G1340:H1340"/>
    <mergeCell ref="I1340:J1340"/>
    <mergeCell ref="K1340:L1340"/>
    <mergeCell ref="M1340:N1340"/>
    <mergeCell ref="O1340:P1340"/>
    <mergeCell ref="A1339:B1339"/>
    <mergeCell ref="C1339:D1339"/>
    <mergeCell ref="E1339:F1339"/>
    <mergeCell ref="G1339:H1339"/>
    <mergeCell ref="I1339:J1339"/>
    <mergeCell ref="K1339:L1339"/>
    <mergeCell ref="M1349:N1349"/>
    <mergeCell ref="O1349:P1349"/>
    <mergeCell ref="A1350:B1350"/>
    <mergeCell ref="C1350:D1350"/>
    <mergeCell ref="E1350:F1350"/>
    <mergeCell ref="G1350:H1350"/>
    <mergeCell ref="I1350:J1350"/>
    <mergeCell ref="K1350:L1350"/>
    <mergeCell ref="M1350:N1350"/>
    <mergeCell ref="O1350:P1350"/>
    <mergeCell ref="A1349:B1349"/>
    <mergeCell ref="C1349:D1349"/>
    <mergeCell ref="E1349:F1349"/>
    <mergeCell ref="G1349:H1349"/>
    <mergeCell ref="I1349:J1349"/>
    <mergeCell ref="K1349:L1349"/>
    <mergeCell ref="M1347:N1347"/>
    <mergeCell ref="O1347:P1347"/>
    <mergeCell ref="A1348:B1348"/>
    <mergeCell ref="C1348:D1348"/>
    <mergeCell ref="E1348:F1348"/>
    <mergeCell ref="G1348:H1348"/>
    <mergeCell ref="I1348:J1348"/>
    <mergeCell ref="K1348:L1348"/>
    <mergeCell ref="M1348:N1348"/>
    <mergeCell ref="O1348:P1348"/>
    <mergeCell ref="A1347:B1347"/>
    <mergeCell ref="C1347:D1347"/>
    <mergeCell ref="E1347:F1347"/>
    <mergeCell ref="G1347:H1347"/>
    <mergeCell ref="I1347:J1347"/>
    <mergeCell ref="K1347:L1347"/>
    <mergeCell ref="M1345:N1345"/>
    <mergeCell ref="O1345:P1345"/>
    <mergeCell ref="A1346:B1346"/>
    <mergeCell ref="C1346:D1346"/>
    <mergeCell ref="E1346:F1346"/>
    <mergeCell ref="G1346:H1346"/>
    <mergeCell ref="I1346:J1346"/>
    <mergeCell ref="K1346:L1346"/>
    <mergeCell ref="M1346:N1346"/>
    <mergeCell ref="O1346:P1346"/>
    <mergeCell ref="A1345:B1345"/>
    <mergeCell ref="C1345:D1345"/>
    <mergeCell ref="E1345:F1345"/>
    <mergeCell ref="G1345:H1345"/>
    <mergeCell ref="I1345:J1345"/>
    <mergeCell ref="K1345:L1345"/>
    <mergeCell ref="M1355:N1355"/>
    <mergeCell ref="O1355:P1355"/>
    <mergeCell ref="A1356:B1356"/>
    <mergeCell ref="C1356:D1356"/>
    <mergeCell ref="E1356:F1356"/>
    <mergeCell ref="G1356:H1356"/>
    <mergeCell ref="I1356:J1356"/>
    <mergeCell ref="K1356:L1356"/>
    <mergeCell ref="M1356:N1356"/>
    <mergeCell ref="O1356:P1356"/>
    <mergeCell ref="A1355:B1355"/>
    <mergeCell ref="C1355:D1355"/>
    <mergeCell ref="E1355:F1355"/>
    <mergeCell ref="G1355:H1355"/>
    <mergeCell ref="I1355:J1355"/>
    <mergeCell ref="K1355:L1355"/>
    <mergeCell ref="M1353:N1353"/>
    <mergeCell ref="O1353:P1353"/>
    <mergeCell ref="A1354:B1354"/>
    <mergeCell ref="C1354:D1354"/>
    <mergeCell ref="E1354:F1354"/>
    <mergeCell ref="G1354:H1354"/>
    <mergeCell ref="I1354:J1354"/>
    <mergeCell ref="K1354:L1354"/>
    <mergeCell ref="M1354:N1354"/>
    <mergeCell ref="O1354:P1354"/>
    <mergeCell ref="A1353:B1353"/>
    <mergeCell ref="C1353:D1353"/>
    <mergeCell ref="E1353:F1353"/>
    <mergeCell ref="G1353:H1353"/>
    <mergeCell ref="I1353:J1353"/>
    <mergeCell ref="K1353:L1353"/>
    <mergeCell ref="M1351:N1351"/>
    <mergeCell ref="O1351:P1351"/>
    <mergeCell ref="A1352:B1352"/>
    <mergeCell ref="C1352:D1352"/>
    <mergeCell ref="E1352:F1352"/>
    <mergeCell ref="G1352:H1352"/>
    <mergeCell ref="I1352:J1352"/>
    <mergeCell ref="K1352:L1352"/>
    <mergeCell ref="M1352:N1352"/>
    <mergeCell ref="O1352:P1352"/>
    <mergeCell ref="A1351:B1351"/>
    <mergeCell ref="C1351:D1351"/>
    <mergeCell ref="E1351:F1351"/>
    <mergeCell ref="G1351:H1351"/>
    <mergeCell ref="I1351:J1351"/>
    <mergeCell ref="K1351:L1351"/>
    <mergeCell ref="M1361:N1361"/>
    <mergeCell ref="O1361:P1361"/>
    <mergeCell ref="A1362:B1362"/>
    <mergeCell ref="C1362:D1362"/>
    <mergeCell ref="E1362:F1362"/>
    <mergeCell ref="G1362:H1362"/>
    <mergeCell ref="I1362:J1362"/>
    <mergeCell ref="K1362:L1362"/>
    <mergeCell ref="M1362:N1362"/>
    <mergeCell ref="O1362:P1362"/>
    <mergeCell ref="A1361:B1361"/>
    <mergeCell ref="C1361:D1361"/>
    <mergeCell ref="E1361:F1361"/>
    <mergeCell ref="G1361:H1361"/>
    <mergeCell ref="I1361:J1361"/>
    <mergeCell ref="K1361:L1361"/>
    <mergeCell ref="M1359:N1359"/>
    <mergeCell ref="O1359:P1359"/>
    <mergeCell ref="A1360:B1360"/>
    <mergeCell ref="C1360:D1360"/>
    <mergeCell ref="E1360:F1360"/>
    <mergeCell ref="G1360:H1360"/>
    <mergeCell ref="I1360:J1360"/>
    <mergeCell ref="K1360:L1360"/>
    <mergeCell ref="M1360:N1360"/>
    <mergeCell ref="O1360:P1360"/>
    <mergeCell ref="A1359:B1359"/>
    <mergeCell ref="C1359:D1359"/>
    <mergeCell ref="E1359:F1359"/>
    <mergeCell ref="G1359:H1359"/>
    <mergeCell ref="I1359:J1359"/>
    <mergeCell ref="K1359:L1359"/>
    <mergeCell ref="M1357:N1357"/>
    <mergeCell ref="O1357:P1357"/>
    <mergeCell ref="A1358:B1358"/>
    <mergeCell ref="C1358:D1358"/>
    <mergeCell ref="E1358:F1358"/>
    <mergeCell ref="G1358:H1358"/>
    <mergeCell ref="I1358:J1358"/>
    <mergeCell ref="K1358:L1358"/>
    <mergeCell ref="M1358:N1358"/>
    <mergeCell ref="O1358:P1358"/>
    <mergeCell ref="A1357:B1357"/>
    <mergeCell ref="C1357:D1357"/>
    <mergeCell ref="E1357:F1357"/>
    <mergeCell ref="G1357:H1357"/>
    <mergeCell ref="I1357:J1357"/>
    <mergeCell ref="K1357:L1357"/>
    <mergeCell ref="M1367:N1367"/>
    <mergeCell ref="O1367:P1367"/>
    <mergeCell ref="A1368:B1368"/>
    <mergeCell ref="C1368:D1368"/>
    <mergeCell ref="E1368:F1368"/>
    <mergeCell ref="G1368:H1368"/>
    <mergeCell ref="I1368:J1368"/>
    <mergeCell ref="K1368:L1368"/>
    <mergeCell ref="M1368:N1368"/>
    <mergeCell ref="O1368:P1368"/>
    <mergeCell ref="A1367:B1367"/>
    <mergeCell ref="C1367:D1367"/>
    <mergeCell ref="E1367:F1367"/>
    <mergeCell ref="G1367:H1367"/>
    <mergeCell ref="I1367:J1367"/>
    <mergeCell ref="K1367:L1367"/>
    <mergeCell ref="M1365:N1365"/>
    <mergeCell ref="O1365:P1365"/>
    <mergeCell ref="A1366:B1366"/>
    <mergeCell ref="C1366:D1366"/>
    <mergeCell ref="E1366:F1366"/>
    <mergeCell ref="G1366:H1366"/>
    <mergeCell ref="I1366:J1366"/>
    <mergeCell ref="K1366:L1366"/>
    <mergeCell ref="M1366:N1366"/>
    <mergeCell ref="O1366:P1366"/>
    <mergeCell ref="A1365:B1365"/>
    <mergeCell ref="C1365:D1365"/>
    <mergeCell ref="E1365:F1365"/>
    <mergeCell ref="G1365:H1365"/>
    <mergeCell ref="I1365:J1365"/>
    <mergeCell ref="K1365:L1365"/>
    <mergeCell ref="M1363:N1363"/>
    <mergeCell ref="O1363:P1363"/>
    <mergeCell ref="A1364:B1364"/>
    <mergeCell ref="C1364:D1364"/>
    <mergeCell ref="E1364:F1364"/>
    <mergeCell ref="G1364:H1364"/>
    <mergeCell ref="I1364:J1364"/>
    <mergeCell ref="K1364:L1364"/>
    <mergeCell ref="M1364:N1364"/>
    <mergeCell ref="O1364:P1364"/>
    <mergeCell ref="A1363:B1363"/>
    <mergeCell ref="C1363:D1363"/>
    <mergeCell ref="E1363:F1363"/>
    <mergeCell ref="G1363:H1363"/>
    <mergeCell ref="I1363:J1363"/>
    <mergeCell ref="K1363:L1363"/>
    <mergeCell ref="M1373:N1373"/>
    <mergeCell ref="O1373:P1373"/>
    <mergeCell ref="A1374:B1374"/>
    <mergeCell ref="C1374:D1374"/>
    <mergeCell ref="E1374:F1374"/>
    <mergeCell ref="G1374:H1374"/>
    <mergeCell ref="I1374:J1374"/>
    <mergeCell ref="K1374:L1374"/>
    <mergeCell ref="M1374:N1374"/>
    <mergeCell ref="O1374:P1374"/>
    <mergeCell ref="A1373:B1373"/>
    <mergeCell ref="C1373:D1373"/>
    <mergeCell ref="E1373:F1373"/>
    <mergeCell ref="G1373:H1373"/>
    <mergeCell ref="I1373:J1373"/>
    <mergeCell ref="K1373:L1373"/>
    <mergeCell ref="M1371:N1371"/>
    <mergeCell ref="O1371:P1371"/>
    <mergeCell ref="A1372:B1372"/>
    <mergeCell ref="C1372:D1372"/>
    <mergeCell ref="E1372:F1372"/>
    <mergeCell ref="G1372:H1372"/>
    <mergeCell ref="I1372:J1372"/>
    <mergeCell ref="K1372:L1372"/>
    <mergeCell ref="M1372:N1372"/>
    <mergeCell ref="O1372:P1372"/>
    <mergeCell ref="A1371:B1371"/>
    <mergeCell ref="C1371:D1371"/>
    <mergeCell ref="E1371:F1371"/>
    <mergeCell ref="G1371:H1371"/>
    <mergeCell ref="I1371:J1371"/>
    <mergeCell ref="K1371:L1371"/>
    <mergeCell ref="M1369:N1369"/>
    <mergeCell ref="O1369:P1369"/>
    <mergeCell ref="A1370:B1370"/>
    <mergeCell ref="C1370:D1370"/>
    <mergeCell ref="E1370:F1370"/>
    <mergeCell ref="G1370:H1370"/>
    <mergeCell ref="I1370:J1370"/>
    <mergeCell ref="K1370:L1370"/>
    <mergeCell ref="M1370:N1370"/>
    <mergeCell ref="O1370:P1370"/>
    <mergeCell ref="A1369:B1369"/>
    <mergeCell ref="C1369:D1369"/>
    <mergeCell ref="E1369:F1369"/>
    <mergeCell ref="G1369:H1369"/>
    <mergeCell ref="I1369:J1369"/>
    <mergeCell ref="K1369:L1369"/>
    <mergeCell ref="M1379:N1379"/>
    <mergeCell ref="O1379:P1379"/>
    <mergeCell ref="A1380:B1380"/>
    <mergeCell ref="C1380:D1380"/>
    <mergeCell ref="E1380:F1380"/>
    <mergeCell ref="G1380:H1380"/>
    <mergeCell ref="I1380:J1380"/>
    <mergeCell ref="K1380:L1380"/>
    <mergeCell ref="M1380:N1380"/>
    <mergeCell ref="O1380:P1380"/>
    <mergeCell ref="A1379:B1379"/>
    <mergeCell ref="C1379:D1379"/>
    <mergeCell ref="E1379:F1379"/>
    <mergeCell ref="G1379:H1379"/>
    <mergeCell ref="I1379:J1379"/>
    <mergeCell ref="K1379:L1379"/>
    <mergeCell ref="M1377:N1377"/>
    <mergeCell ref="O1377:P1377"/>
    <mergeCell ref="A1378:B1378"/>
    <mergeCell ref="C1378:D1378"/>
    <mergeCell ref="E1378:F1378"/>
    <mergeCell ref="G1378:H1378"/>
    <mergeCell ref="I1378:J1378"/>
    <mergeCell ref="K1378:L1378"/>
    <mergeCell ref="M1378:N1378"/>
    <mergeCell ref="O1378:P1378"/>
    <mergeCell ref="A1377:B1377"/>
    <mergeCell ref="C1377:D1377"/>
    <mergeCell ref="E1377:F1377"/>
    <mergeCell ref="G1377:H1377"/>
    <mergeCell ref="I1377:J1377"/>
    <mergeCell ref="K1377:L1377"/>
    <mergeCell ref="M1375:N1375"/>
    <mergeCell ref="O1375:P1375"/>
    <mergeCell ref="A1376:B1376"/>
    <mergeCell ref="C1376:D1376"/>
    <mergeCell ref="E1376:F1376"/>
    <mergeCell ref="G1376:H1376"/>
    <mergeCell ref="I1376:J1376"/>
    <mergeCell ref="K1376:L1376"/>
    <mergeCell ref="M1376:N1376"/>
    <mergeCell ref="O1376:P1376"/>
    <mergeCell ref="A1375:B1375"/>
    <mergeCell ref="C1375:D1375"/>
    <mergeCell ref="E1375:F1375"/>
    <mergeCell ref="G1375:H1375"/>
    <mergeCell ref="I1375:J1375"/>
    <mergeCell ref="K1375:L1375"/>
    <mergeCell ref="M1385:N1385"/>
    <mergeCell ref="O1385:P1385"/>
    <mergeCell ref="A1386:B1386"/>
    <mergeCell ref="C1386:D1386"/>
    <mergeCell ref="E1386:F1386"/>
    <mergeCell ref="G1386:H1386"/>
    <mergeCell ref="I1386:J1386"/>
    <mergeCell ref="K1386:L1386"/>
    <mergeCell ref="M1386:N1386"/>
    <mergeCell ref="O1386:P1386"/>
    <mergeCell ref="A1385:B1385"/>
    <mergeCell ref="C1385:D1385"/>
    <mergeCell ref="E1385:F1385"/>
    <mergeCell ref="G1385:H1385"/>
    <mergeCell ref="I1385:J1385"/>
    <mergeCell ref="K1385:L1385"/>
    <mergeCell ref="M1383:N1383"/>
    <mergeCell ref="O1383:P1383"/>
    <mergeCell ref="A1384:B1384"/>
    <mergeCell ref="C1384:D1384"/>
    <mergeCell ref="E1384:F1384"/>
    <mergeCell ref="G1384:H1384"/>
    <mergeCell ref="I1384:J1384"/>
    <mergeCell ref="K1384:L1384"/>
    <mergeCell ref="M1384:N1384"/>
    <mergeCell ref="O1384:P1384"/>
    <mergeCell ref="A1383:B1383"/>
    <mergeCell ref="C1383:D1383"/>
    <mergeCell ref="E1383:F1383"/>
    <mergeCell ref="G1383:H1383"/>
    <mergeCell ref="I1383:J1383"/>
    <mergeCell ref="K1383:L1383"/>
    <mergeCell ref="M1381:N1381"/>
    <mergeCell ref="O1381:P1381"/>
    <mergeCell ref="A1382:B1382"/>
    <mergeCell ref="C1382:D1382"/>
    <mergeCell ref="E1382:F1382"/>
    <mergeCell ref="G1382:H1382"/>
    <mergeCell ref="I1382:J1382"/>
    <mergeCell ref="K1382:L1382"/>
    <mergeCell ref="M1382:N1382"/>
    <mergeCell ref="O1382:P1382"/>
    <mergeCell ref="A1381:B1381"/>
    <mergeCell ref="C1381:D1381"/>
    <mergeCell ref="E1381:F1381"/>
    <mergeCell ref="G1381:H1381"/>
    <mergeCell ref="I1381:J1381"/>
    <mergeCell ref="K1381:L1381"/>
    <mergeCell ref="M1391:N1391"/>
    <mergeCell ref="O1391:P1391"/>
    <mergeCell ref="A1392:B1392"/>
    <mergeCell ref="C1392:D1392"/>
    <mergeCell ref="E1392:F1392"/>
    <mergeCell ref="G1392:H1392"/>
    <mergeCell ref="I1392:J1392"/>
    <mergeCell ref="K1392:L1392"/>
    <mergeCell ref="M1392:N1392"/>
    <mergeCell ref="O1392:P1392"/>
    <mergeCell ref="A1391:B1391"/>
    <mergeCell ref="C1391:D1391"/>
    <mergeCell ref="E1391:F1391"/>
    <mergeCell ref="G1391:H1391"/>
    <mergeCell ref="I1391:J1391"/>
    <mergeCell ref="K1391:L1391"/>
    <mergeCell ref="M1389:N1389"/>
    <mergeCell ref="O1389:P1389"/>
    <mergeCell ref="A1390:B1390"/>
    <mergeCell ref="C1390:D1390"/>
    <mergeCell ref="E1390:F1390"/>
    <mergeCell ref="G1390:H1390"/>
    <mergeCell ref="I1390:J1390"/>
    <mergeCell ref="K1390:L1390"/>
    <mergeCell ref="M1390:N1390"/>
    <mergeCell ref="O1390:P1390"/>
    <mergeCell ref="A1389:B1389"/>
    <mergeCell ref="C1389:D1389"/>
    <mergeCell ref="E1389:F1389"/>
    <mergeCell ref="G1389:H1389"/>
    <mergeCell ref="I1389:J1389"/>
    <mergeCell ref="K1389:L1389"/>
    <mergeCell ref="M1387:N1387"/>
    <mergeCell ref="O1387:P1387"/>
    <mergeCell ref="A1388:B1388"/>
    <mergeCell ref="C1388:D1388"/>
    <mergeCell ref="E1388:F1388"/>
    <mergeCell ref="G1388:H1388"/>
    <mergeCell ref="I1388:J1388"/>
    <mergeCell ref="K1388:L1388"/>
    <mergeCell ref="M1388:N1388"/>
    <mergeCell ref="O1388:P1388"/>
    <mergeCell ref="A1387:B1387"/>
    <mergeCell ref="C1387:D1387"/>
    <mergeCell ref="E1387:F1387"/>
    <mergeCell ref="G1387:H1387"/>
    <mergeCell ref="I1387:J1387"/>
    <mergeCell ref="K1387:L1387"/>
    <mergeCell ref="M1397:N1397"/>
    <mergeCell ref="O1397:P1397"/>
    <mergeCell ref="A1398:B1398"/>
    <mergeCell ref="C1398:D1398"/>
    <mergeCell ref="E1398:F1398"/>
    <mergeCell ref="G1398:H1398"/>
    <mergeCell ref="I1398:J1398"/>
    <mergeCell ref="K1398:L1398"/>
    <mergeCell ref="M1398:N1398"/>
    <mergeCell ref="O1398:P1398"/>
    <mergeCell ref="A1397:B1397"/>
    <mergeCell ref="C1397:D1397"/>
    <mergeCell ref="E1397:F1397"/>
    <mergeCell ref="G1397:H1397"/>
    <mergeCell ref="I1397:J1397"/>
    <mergeCell ref="K1397:L1397"/>
    <mergeCell ref="M1395:N1395"/>
    <mergeCell ref="O1395:P1395"/>
    <mergeCell ref="A1396:B1396"/>
    <mergeCell ref="C1396:D1396"/>
    <mergeCell ref="E1396:F1396"/>
    <mergeCell ref="G1396:H1396"/>
    <mergeCell ref="I1396:J1396"/>
    <mergeCell ref="K1396:L1396"/>
    <mergeCell ref="M1396:N1396"/>
    <mergeCell ref="O1396:P1396"/>
    <mergeCell ref="A1395:B1395"/>
    <mergeCell ref="C1395:D1395"/>
    <mergeCell ref="E1395:F1395"/>
    <mergeCell ref="G1395:H1395"/>
    <mergeCell ref="I1395:J1395"/>
    <mergeCell ref="K1395:L1395"/>
    <mergeCell ref="M1393:N1393"/>
    <mergeCell ref="O1393:P1393"/>
    <mergeCell ref="A1394:B1394"/>
    <mergeCell ref="C1394:D1394"/>
    <mergeCell ref="E1394:F1394"/>
    <mergeCell ref="G1394:H1394"/>
    <mergeCell ref="I1394:J1394"/>
    <mergeCell ref="K1394:L1394"/>
    <mergeCell ref="M1394:N1394"/>
    <mergeCell ref="O1394:P1394"/>
    <mergeCell ref="A1393:B1393"/>
    <mergeCell ref="C1393:D1393"/>
    <mergeCell ref="E1393:F1393"/>
    <mergeCell ref="G1393:H1393"/>
    <mergeCell ref="I1393:J1393"/>
    <mergeCell ref="K1393:L1393"/>
    <mergeCell ref="M1403:N1403"/>
    <mergeCell ref="O1403:P1403"/>
    <mergeCell ref="A1404:B1404"/>
    <mergeCell ref="C1404:D1404"/>
    <mergeCell ref="E1404:F1404"/>
    <mergeCell ref="G1404:H1404"/>
    <mergeCell ref="I1404:J1404"/>
    <mergeCell ref="K1404:L1404"/>
    <mergeCell ref="M1404:N1404"/>
    <mergeCell ref="O1404:P1404"/>
    <mergeCell ref="A1403:B1403"/>
    <mergeCell ref="C1403:D1403"/>
    <mergeCell ref="E1403:F1403"/>
    <mergeCell ref="G1403:H1403"/>
    <mergeCell ref="I1403:J1403"/>
    <mergeCell ref="K1403:L1403"/>
    <mergeCell ref="M1401:N1401"/>
    <mergeCell ref="O1401:P1401"/>
    <mergeCell ref="A1402:B1402"/>
    <mergeCell ref="C1402:D1402"/>
    <mergeCell ref="E1402:F1402"/>
    <mergeCell ref="G1402:H1402"/>
    <mergeCell ref="I1402:J1402"/>
    <mergeCell ref="K1402:L1402"/>
    <mergeCell ref="M1402:N1402"/>
    <mergeCell ref="O1402:P1402"/>
    <mergeCell ref="A1401:B1401"/>
    <mergeCell ref="C1401:D1401"/>
    <mergeCell ref="E1401:F1401"/>
    <mergeCell ref="G1401:H1401"/>
    <mergeCell ref="I1401:J1401"/>
    <mergeCell ref="K1401:L1401"/>
    <mergeCell ref="M1399:N1399"/>
    <mergeCell ref="O1399:P1399"/>
    <mergeCell ref="A1400:B1400"/>
    <mergeCell ref="C1400:D1400"/>
    <mergeCell ref="E1400:F1400"/>
    <mergeCell ref="G1400:H1400"/>
    <mergeCell ref="I1400:J1400"/>
    <mergeCell ref="K1400:L1400"/>
    <mergeCell ref="M1400:N1400"/>
    <mergeCell ref="O1400:P1400"/>
    <mergeCell ref="A1399:B1399"/>
    <mergeCell ref="C1399:D1399"/>
    <mergeCell ref="E1399:F1399"/>
    <mergeCell ref="G1399:H1399"/>
    <mergeCell ref="I1399:J1399"/>
    <mergeCell ref="K1399:L1399"/>
    <mergeCell ref="M1409:N1409"/>
    <mergeCell ref="O1409:P1409"/>
    <mergeCell ref="A1410:B1410"/>
    <mergeCell ref="C1410:D1410"/>
    <mergeCell ref="E1410:F1410"/>
    <mergeCell ref="G1410:H1410"/>
    <mergeCell ref="I1410:J1410"/>
    <mergeCell ref="K1410:L1410"/>
    <mergeCell ref="M1410:N1410"/>
    <mergeCell ref="O1410:P1410"/>
    <mergeCell ref="A1409:B1409"/>
    <mergeCell ref="C1409:D1409"/>
    <mergeCell ref="E1409:F1409"/>
    <mergeCell ref="G1409:H1409"/>
    <mergeCell ref="I1409:J1409"/>
    <mergeCell ref="K1409:L1409"/>
    <mergeCell ref="M1407:N1407"/>
    <mergeCell ref="O1407:P1407"/>
    <mergeCell ref="A1408:B1408"/>
    <mergeCell ref="C1408:D1408"/>
    <mergeCell ref="E1408:F1408"/>
    <mergeCell ref="G1408:H1408"/>
    <mergeCell ref="I1408:J1408"/>
    <mergeCell ref="K1408:L1408"/>
    <mergeCell ref="M1408:N1408"/>
    <mergeCell ref="O1408:P1408"/>
    <mergeCell ref="A1407:B1407"/>
    <mergeCell ref="C1407:D1407"/>
    <mergeCell ref="E1407:F1407"/>
    <mergeCell ref="G1407:H1407"/>
    <mergeCell ref="I1407:J1407"/>
    <mergeCell ref="K1407:L1407"/>
    <mergeCell ref="M1405:N1405"/>
    <mergeCell ref="O1405:P1405"/>
    <mergeCell ref="A1406:B1406"/>
    <mergeCell ref="C1406:D1406"/>
    <mergeCell ref="E1406:F1406"/>
    <mergeCell ref="G1406:H1406"/>
    <mergeCell ref="I1406:J1406"/>
    <mergeCell ref="K1406:L1406"/>
    <mergeCell ref="M1406:N1406"/>
    <mergeCell ref="O1406:P1406"/>
    <mergeCell ref="A1405:B1405"/>
    <mergeCell ref="C1405:D1405"/>
    <mergeCell ref="E1405:F1405"/>
    <mergeCell ref="G1405:H1405"/>
    <mergeCell ref="I1405:J1405"/>
    <mergeCell ref="K1405:L1405"/>
    <mergeCell ref="M1415:N1415"/>
    <mergeCell ref="O1415:P1415"/>
    <mergeCell ref="A1416:B1416"/>
    <mergeCell ref="C1416:D1416"/>
    <mergeCell ref="E1416:F1416"/>
    <mergeCell ref="G1416:H1416"/>
    <mergeCell ref="I1416:J1416"/>
    <mergeCell ref="K1416:L1416"/>
    <mergeCell ref="M1416:N1416"/>
    <mergeCell ref="O1416:P1416"/>
    <mergeCell ref="A1415:B1415"/>
    <mergeCell ref="C1415:D1415"/>
    <mergeCell ref="E1415:F1415"/>
    <mergeCell ref="G1415:H1415"/>
    <mergeCell ref="I1415:J1415"/>
    <mergeCell ref="K1415:L1415"/>
    <mergeCell ref="M1413:N1413"/>
    <mergeCell ref="O1413:P1413"/>
    <mergeCell ref="A1414:B1414"/>
    <mergeCell ref="C1414:D1414"/>
    <mergeCell ref="E1414:F1414"/>
    <mergeCell ref="G1414:H1414"/>
    <mergeCell ref="I1414:J1414"/>
    <mergeCell ref="K1414:L1414"/>
    <mergeCell ref="M1414:N1414"/>
    <mergeCell ref="O1414:P1414"/>
    <mergeCell ref="A1413:B1413"/>
    <mergeCell ref="C1413:D1413"/>
    <mergeCell ref="E1413:F1413"/>
    <mergeCell ref="G1413:H1413"/>
    <mergeCell ref="I1413:J1413"/>
    <mergeCell ref="K1413:L1413"/>
    <mergeCell ref="M1411:N1411"/>
    <mergeCell ref="O1411:P1411"/>
    <mergeCell ref="A1412:B1412"/>
    <mergeCell ref="C1412:D1412"/>
    <mergeCell ref="E1412:F1412"/>
    <mergeCell ref="G1412:H1412"/>
    <mergeCell ref="I1412:J1412"/>
    <mergeCell ref="K1412:L1412"/>
    <mergeCell ref="M1412:N1412"/>
    <mergeCell ref="O1412:P1412"/>
    <mergeCell ref="A1411:B1411"/>
    <mergeCell ref="C1411:D1411"/>
    <mergeCell ref="E1411:F1411"/>
    <mergeCell ref="G1411:H1411"/>
    <mergeCell ref="I1411:J1411"/>
    <mergeCell ref="K1411:L1411"/>
    <mergeCell ref="M1421:N1421"/>
    <mergeCell ref="O1421:P1421"/>
    <mergeCell ref="A1422:B1422"/>
    <mergeCell ref="C1422:D1422"/>
    <mergeCell ref="E1422:F1422"/>
    <mergeCell ref="G1422:H1422"/>
    <mergeCell ref="I1422:J1422"/>
    <mergeCell ref="K1422:L1422"/>
    <mergeCell ref="M1422:N1422"/>
    <mergeCell ref="O1422:P1422"/>
    <mergeCell ref="A1421:B1421"/>
    <mergeCell ref="C1421:D1421"/>
    <mergeCell ref="E1421:F1421"/>
    <mergeCell ref="G1421:H1421"/>
    <mergeCell ref="I1421:J1421"/>
    <mergeCell ref="K1421:L1421"/>
    <mergeCell ref="M1419:N1419"/>
    <mergeCell ref="O1419:P1419"/>
    <mergeCell ref="A1420:B1420"/>
    <mergeCell ref="C1420:D1420"/>
    <mergeCell ref="E1420:F1420"/>
    <mergeCell ref="G1420:H1420"/>
    <mergeCell ref="I1420:J1420"/>
    <mergeCell ref="K1420:L1420"/>
    <mergeCell ref="M1420:N1420"/>
    <mergeCell ref="O1420:P1420"/>
    <mergeCell ref="A1419:B1419"/>
    <mergeCell ref="C1419:D1419"/>
    <mergeCell ref="E1419:F1419"/>
    <mergeCell ref="G1419:H1419"/>
    <mergeCell ref="I1419:J1419"/>
    <mergeCell ref="K1419:L1419"/>
    <mergeCell ref="M1417:N1417"/>
    <mergeCell ref="O1417:P1417"/>
    <mergeCell ref="A1418:B1418"/>
    <mergeCell ref="C1418:D1418"/>
    <mergeCell ref="E1418:F1418"/>
    <mergeCell ref="G1418:H1418"/>
    <mergeCell ref="I1418:J1418"/>
    <mergeCell ref="K1418:L1418"/>
    <mergeCell ref="M1418:N1418"/>
    <mergeCell ref="O1418:P1418"/>
    <mergeCell ref="A1417:B1417"/>
    <mergeCell ref="C1417:D1417"/>
    <mergeCell ref="E1417:F1417"/>
    <mergeCell ref="G1417:H1417"/>
    <mergeCell ref="I1417:J1417"/>
    <mergeCell ref="K1417:L1417"/>
    <mergeCell ref="M1427:N1427"/>
    <mergeCell ref="O1427:P1427"/>
    <mergeCell ref="A1428:B1428"/>
    <mergeCell ref="C1428:D1428"/>
    <mergeCell ref="E1428:F1428"/>
    <mergeCell ref="G1428:H1428"/>
    <mergeCell ref="I1428:J1428"/>
    <mergeCell ref="K1428:L1428"/>
    <mergeCell ref="M1428:N1428"/>
    <mergeCell ref="O1428:P1428"/>
    <mergeCell ref="A1427:B1427"/>
    <mergeCell ref="C1427:D1427"/>
    <mergeCell ref="E1427:F1427"/>
    <mergeCell ref="G1427:H1427"/>
    <mergeCell ref="I1427:J1427"/>
    <mergeCell ref="K1427:L1427"/>
    <mergeCell ref="M1425:N1425"/>
    <mergeCell ref="O1425:P1425"/>
    <mergeCell ref="A1426:B1426"/>
    <mergeCell ref="C1426:D1426"/>
    <mergeCell ref="E1426:F1426"/>
    <mergeCell ref="G1426:H1426"/>
    <mergeCell ref="I1426:J1426"/>
    <mergeCell ref="K1426:L1426"/>
    <mergeCell ref="M1426:N1426"/>
    <mergeCell ref="O1426:P1426"/>
    <mergeCell ref="A1425:B1425"/>
    <mergeCell ref="C1425:D1425"/>
    <mergeCell ref="E1425:F1425"/>
    <mergeCell ref="G1425:H1425"/>
    <mergeCell ref="I1425:J1425"/>
    <mergeCell ref="K1425:L1425"/>
    <mergeCell ref="M1423:N1423"/>
    <mergeCell ref="O1423:P1423"/>
    <mergeCell ref="A1424:B1424"/>
    <mergeCell ref="C1424:D1424"/>
    <mergeCell ref="E1424:F1424"/>
    <mergeCell ref="G1424:H1424"/>
    <mergeCell ref="I1424:J1424"/>
    <mergeCell ref="K1424:L1424"/>
    <mergeCell ref="M1424:N1424"/>
    <mergeCell ref="O1424:P1424"/>
    <mergeCell ref="A1423:B1423"/>
    <mergeCell ref="C1423:D1423"/>
    <mergeCell ref="E1423:F1423"/>
    <mergeCell ref="G1423:H1423"/>
    <mergeCell ref="I1423:J1423"/>
    <mergeCell ref="K1423:L1423"/>
    <mergeCell ref="M1433:N1433"/>
    <mergeCell ref="O1433:P1433"/>
    <mergeCell ref="A1434:B1434"/>
    <mergeCell ref="C1434:D1434"/>
    <mergeCell ref="E1434:F1434"/>
    <mergeCell ref="G1434:H1434"/>
    <mergeCell ref="I1434:J1434"/>
    <mergeCell ref="K1434:L1434"/>
    <mergeCell ref="M1434:N1434"/>
    <mergeCell ref="O1434:P1434"/>
    <mergeCell ref="A1433:B1433"/>
    <mergeCell ref="C1433:D1433"/>
    <mergeCell ref="E1433:F1433"/>
    <mergeCell ref="G1433:H1433"/>
    <mergeCell ref="I1433:J1433"/>
    <mergeCell ref="K1433:L1433"/>
    <mergeCell ref="M1431:N1431"/>
    <mergeCell ref="O1431:P1431"/>
    <mergeCell ref="A1432:B1432"/>
    <mergeCell ref="C1432:D1432"/>
    <mergeCell ref="E1432:F1432"/>
    <mergeCell ref="G1432:H1432"/>
    <mergeCell ref="I1432:J1432"/>
    <mergeCell ref="K1432:L1432"/>
    <mergeCell ref="M1432:N1432"/>
    <mergeCell ref="O1432:P1432"/>
    <mergeCell ref="A1431:B1431"/>
    <mergeCell ref="C1431:D1431"/>
    <mergeCell ref="E1431:F1431"/>
    <mergeCell ref="G1431:H1431"/>
    <mergeCell ref="I1431:J1431"/>
    <mergeCell ref="K1431:L1431"/>
    <mergeCell ref="M1429:N1429"/>
    <mergeCell ref="O1429:P1429"/>
    <mergeCell ref="A1430:B1430"/>
    <mergeCell ref="C1430:D1430"/>
    <mergeCell ref="E1430:F1430"/>
    <mergeCell ref="G1430:H1430"/>
    <mergeCell ref="I1430:J1430"/>
    <mergeCell ref="K1430:L1430"/>
    <mergeCell ref="M1430:N1430"/>
    <mergeCell ref="O1430:P1430"/>
    <mergeCell ref="A1429:B1429"/>
    <mergeCell ref="C1429:D1429"/>
    <mergeCell ref="E1429:F1429"/>
    <mergeCell ref="G1429:H1429"/>
    <mergeCell ref="I1429:J1429"/>
    <mergeCell ref="K1429:L1429"/>
    <mergeCell ref="M1439:N1439"/>
    <mergeCell ref="O1439:P1439"/>
    <mergeCell ref="A1440:B1440"/>
    <mergeCell ref="C1440:D1440"/>
    <mergeCell ref="E1440:F1440"/>
    <mergeCell ref="G1440:H1440"/>
    <mergeCell ref="I1440:J1440"/>
    <mergeCell ref="K1440:L1440"/>
    <mergeCell ref="M1440:N1440"/>
    <mergeCell ref="O1440:P1440"/>
    <mergeCell ref="A1439:B1439"/>
    <mergeCell ref="C1439:D1439"/>
    <mergeCell ref="E1439:F1439"/>
    <mergeCell ref="G1439:H1439"/>
    <mergeCell ref="I1439:J1439"/>
    <mergeCell ref="K1439:L1439"/>
    <mergeCell ref="M1437:N1437"/>
    <mergeCell ref="O1437:P1437"/>
    <mergeCell ref="A1438:B1438"/>
    <mergeCell ref="C1438:D1438"/>
    <mergeCell ref="E1438:F1438"/>
    <mergeCell ref="G1438:H1438"/>
    <mergeCell ref="I1438:J1438"/>
    <mergeCell ref="K1438:L1438"/>
    <mergeCell ref="M1438:N1438"/>
    <mergeCell ref="O1438:P1438"/>
    <mergeCell ref="A1437:B1437"/>
    <mergeCell ref="C1437:D1437"/>
    <mergeCell ref="E1437:F1437"/>
    <mergeCell ref="G1437:H1437"/>
    <mergeCell ref="I1437:J1437"/>
    <mergeCell ref="K1437:L1437"/>
    <mergeCell ref="M1435:N1435"/>
    <mergeCell ref="O1435:P1435"/>
    <mergeCell ref="A1436:B1436"/>
    <mergeCell ref="C1436:D1436"/>
    <mergeCell ref="E1436:F1436"/>
    <mergeCell ref="G1436:H1436"/>
    <mergeCell ref="I1436:J1436"/>
    <mergeCell ref="K1436:L1436"/>
    <mergeCell ref="M1436:N1436"/>
    <mergeCell ref="O1436:P1436"/>
    <mergeCell ref="A1435:B1435"/>
    <mergeCell ref="C1435:D1435"/>
    <mergeCell ref="E1435:F1435"/>
    <mergeCell ref="G1435:H1435"/>
    <mergeCell ref="I1435:J1435"/>
    <mergeCell ref="K1435:L1435"/>
    <mergeCell ref="M1445:N1445"/>
    <mergeCell ref="O1445:P1445"/>
    <mergeCell ref="A1446:B1446"/>
    <mergeCell ref="C1446:D1446"/>
    <mergeCell ref="E1446:F1446"/>
    <mergeCell ref="G1446:H1446"/>
    <mergeCell ref="I1446:J1446"/>
    <mergeCell ref="K1446:L1446"/>
    <mergeCell ref="M1446:N1446"/>
    <mergeCell ref="O1446:P1446"/>
    <mergeCell ref="A1445:B1445"/>
    <mergeCell ref="C1445:D1445"/>
    <mergeCell ref="E1445:F1445"/>
    <mergeCell ref="G1445:H1445"/>
    <mergeCell ref="I1445:J1445"/>
    <mergeCell ref="K1445:L1445"/>
    <mergeCell ref="M1443:N1443"/>
    <mergeCell ref="O1443:P1443"/>
    <mergeCell ref="A1444:B1444"/>
    <mergeCell ref="C1444:D1444"/>
    <mergeCell ref="E1444:F1444"/>
    <mergeCell ref="G1444:H1444"/>
    <mergeCell ref="I1444:J1444"/>
    <mergeCell ref="K1444:L1444"/>
    <mergeCell ref="M1444:N1444"/>
    <mergeCell ref="O1444:P1444"/>
    <mergeCell ref="A1443:B1443"/>
    <mergeCell ref="C1443:D1443"/>
    <mergeCell ref="E1443:F1443"/>
    <mergeCell ref="G1443:H1443"/>
    <mergeCell ref="I1443:J1443"/>
    <mergeCell ref="K1443:L1443"/>
    <mergeCell ref="M1441:N1441"/>
    <mergeCell ref="O1441:P1441"/>
    <mergeCell ref="A1442:B1442"/>
    <mergeCell ref="C1442:D1442"/>
    <mergeCell ref="E1442:F1442"/>
    <mergeCell ref="G1442:H1442"/>
    <mergeCell ref="I1442:J1442"/>
    <mergeCell ref="K1442:L1442"/>
    <mergeCell ref="M1442:N1442"/>
    <mergeCell ref="O1442:P1442"/>
    <mergeCell ref="A1441:B1441"/>
    <mergeCell ref="C1441:D1441"/>
    <mergeCell ref="E1441:F1441"/>
    <mergeCell ref="G1441:H1441"/>
    <mergeCell ref="I1441:J1441"/>
    <mergeCell ref="K1441:L1441"/>
    <mergeCell ref="M1451:N1451"/>
    <mergeCell ref="O1451:P1451"/>
    <mergeCell ref="A1452:B1452"/>
    <mergeCell ref="C1452:D1452"/>
    <mergeCell ref="E1452:F1452"/>
    <mergeCell ref="G1452:H1452"/>
    <mergeCell ref="I1452:J1452"/>
    <mergeCell ref="K1452:L1452"/>
    <mergeCell ref="M1452:N1452"/>
    <mergeCell ref="O1452:P1452"/>
    <mergeCell ref="A1451:B1451"/>
    <mergeCell ref="C1451:D1451"/>
    <mergeCell ref="E1451:F1451"/>
    <mergeCell ref="G1451:H1451"/>
    <mergeCell ref="I1451:J1451"/>
    <mergeCell ref="K1451:L1451"/>
    <mergeCell ref="M1449:N1449"/>
    <mergeCell ref="O1449:P1449"/>
    <mergeCell ref="A1450:B1450"/>
    <mergeCell ref="C1450:D1450"/>
    <mergeCell ref="E1450:F1450"/>
    <mergeCell ref="G1450:H1450"/>
    <mergeCell ref="I1450:J1450"/>
    <mergeCell ref="K1450:L1450"/>
    <mergeCell ref="M1450:N1450"/>
    <mergeCell ref="O1450:P1450"/>
    <mergeCell ref="A1449:B1449"/>
    <mergeCell ref="C1449:D1449"/>
    <mergeCell ref="E1449:F1449"/>
    <mergeCell ref="G1449:H1449"/>
    <mergeCell ref="I1449:J1449"/>
    <mergeCell ref="K1449:L1449"/>
    <mergeCell ref="M1447:N1447"/>
    <mergeCell ref="O1447:P1447"/>
    <mergeCell ref="A1448:B1448"/>
    <mergeCell ref="C1448:D1448"/>
    <mergeCell ref="E1448:F1448"/>
    <mergeCell ref="G1448:H1448"/>
    <mergeCell ref="I1448:J1448"/>
    <mergeCell ref="K1448:L1448"/>
    <mergeCell ref="M1448:N1448"/>
    <mergeCell ref="O1448:P1448"/>
    <mergeCell ref="A1447:B1447"/>
    <mergeCell ref="C1447:D1447"/>
    <mergeCell ref="E1447:F1447"/>
    <mergeCell ref="G1447:H1447"/>
    <mergeCell ref="I1447:J1447"/>
    <mergeCell ref="K1447:L1447"/>
    <mergeCell ref="M1457:N1457"/>
    <mergeCell ref="O1457:P1457"/>
    <mergeCell ref="A1458:B1458"/>
    <mergeCell ref="C1458:D1458"/>
    <mergeCell ref="E1458:F1458"/>
    <mergeCell ref="G1458:H1458"/>
    <mergeCell ref="I1458:J1458"/>
    <mergeCell ref="K1458:L1458"/>
    <mergeCell ref="M1458:N1458"/>
    <mergeCell ref="O1458:P1458"/>
    <mergeCell ref="A1457:B1457"/>
    <mergeCell ref="C1457:D1457"/>
    <mergeCell ref="E1457:F1457"/>
    <mergeCell ref="G1457:H1457"/>
    <mergeCell ref="I1457:J1457"/>
    <mergeCell ref="K1457:L1457"/>
    <mergeCell ref="M1455:N1455"/>
    <mergeCell ref="O1455:P1455"/>
    <mergeCell ref="A1456:B1456"/>
    <mergeCell ref="C1456:D1456"/>
    <mergeCell ref="E1456:F1456"/>
    <mergeCell ref="G1456:H1456"/>
    <mergeCell ref="I1456:J1456"/>
    <mergeCell ref="K1456:L1456"/>
    <mergeCell ref="M1456:N1456"/>
    <mergeCell ref="O1456:P1456"/>
    <mergeCell ref="A1455:B1455"/>
    <mergeCell ref="C1455:D1455"/>
    <mergeCell ref="E1455:F1455"/>
    <mergeCell ref="G1455:H1455"/>
    <mergeCell ref="I1455:J1455"/>
    <mergeCell ref="K1455:L1455"/>
    <mergeCell ref="M1453:N1453"/>
    <mergeCell ref="O1453:P1453"/>
    <mergeCell ref="A1454:B1454"/>
    <mergeCell ref="C1454:D1454"/>
    <mergeCell ref="E1454:F1454"/>
    <mergeCell ref="G1454:H1454"/>
    <mergeCell ref="I1454:J1454"/>
    <mergeCell ref="K1454:L1454"/>
    <mergeCell ref="M1454:N1454"/>
    <mergeCell ref="O1454:P1454"/>
    <mergeCell ref="A1453:B1453"/>
    <mergeCell ref="C1453:D1453"/>
    <mergeCell ref="E1453:F1453"/>
    <mergeCell ref="G1453:H1453"/>
    <mergeCell ref="I1453:J1453"/>
    <mergeCell ref="K1453:L1453"/>
    <mergeCell ref="M1463:N1463"/>
    <mergeCell ref="O1463:P1463"/>
    <mergeCell ref="A1464:B1464"/>
    <mergeCell ref="C1464:D1464"/>
    <mergeCell ref="E1464:F1464"/>
    <mergeCell ref="G1464:H1464"/>
    <mergeCell ref="I1464:J1464"/>
    <mergeCell ref="K1464:L1464"/>
    <mergeCell ref="M1464:N1464"/>
    <mergeCell ref="O1464:P1464"/>
    <mergeCell ref="A1463:B1463"/>
    <mergeCell ref="C1463:D1463"/>
    <mergeCell ref="E1463:F1463"/>
    <mergeCell ref="G1463:H1463"/>
    <mergeCell ref="I1463:J1463"/>
    <mergeCell ref="K1463:L1463"/>
    <mergeCell ref="M1461:N1461"/>
    <mergeCell ref="O1461:P1461"/>
    <mergeCell ref="A1462:B1462"/>
    <mergeCell ref="C1462:D1462"/>
    <mergeCell ref="E1462:F1462"/>
    <mergeCell ref="G1462:H1462"/>
    <mergeCell ref="I1462:J1462"/>
    <mergeCell ref="K1462:L1462"/>
    <mergeCell ref="M1462:N1462"/>
    <mergeCell ref="O1462:P1462"/>
    <mergeCell ref="A1461:B1461"/>
    <mergeCell ref="C1461:D1461"/>
    <mergeCell ref="E1461:F1461"/>
    <mergeCell ref="G1461:H1461"/>
    <mergeCell ref="I1461:J1461"/>
    <mergeCell ref="K1461:L1461"/>
    <mergeCell ref="M1459:N1459"/>
    <mergeCell ref="O1459:P1459"/>
    <mergeCell ref="A1460:B1460"/>
    <mergeCell ref="C1460:D1460"/>
    <mergeCell ref="E1460:F1460"/>
    <mergeCell ref="G1460:H1460"/>
    <mergeCell ref="I1460:J1460"/>
    <mergeCell ref="K1460:L1460"/>
    <mergeCell ref="M1460:N1460"/>
    <mergeCell ref="O1460:P1460"/>
    <mergeCell ref="A1459:B1459"/>
    <mergeCell ref="C1459:D1459"/>
    <mergeCell ref="E1459:F1459"/>
    <mergeCell ref="G1459:H1459"/>
    <mergeCell ref="I1459:J1459"/>
    <mergeCell ref="K1459:L1459"/>
    <mergeCell ref="M1469:N1469"/>
    <mergeCell ref="O1469:P1469"/>
    <mergeCell ref="A1470:B1470"/>
    <mergeCell ref="C1470:D1470"/>
    <mergeCell ref="E1470:F1470"/>
    <mergeCell ref="G1470:H1470"/>
    <mergeCell ref="I1470:J1470"/>
    <mergeCell ref="K1470:L1470"/>
    <mergeCell ref="M1470:N1470"/>
    <mergeCell ref="O1470:P1470"/>
    <mergeCell ref="A1469:B1469"/>
    <mergeCell ref="C1469:D1469"/>
    <mergeCell ref="E1469:F1469"/>
    <mergeCell ref="G1469:H1469"/>
    <mergeCell ref="I1469:J1469"/>
    <mergeCell ref="K1469:L1469"/>
    <mergeCell ref="M1467:N1467"/>
    <mergeCell ref="O1467:P1467"/>
    <mergeCell ref="A1468:B1468"/>
    <mergeCell ref="C1468:D1468"/>
    <mergeCell ref="E1468:F1468"/>
    <mergeCell ref="G1468:H1468"/>
    <mergeCell ref="I1468:J1468"/>
    <mergeCell ref="K1468:L1468"/>
    <mergeCell ref="M1468:N1468"/>
    <mergeCell ref="O1468:P1468"/>
    <mergeCell ref="A1467:B1467"/>
    <mergeCell ref="C1467:D1467"/>
    <mergeCell ref="E1467:F1467"/>
    <mergeCell ref="G1467:H1467"/>
    <mergeCell ref="I1467:J1467"/>
    <mergeCell ref="K1467:L1467"/>
    <mergeCell ref="M1465:N1465"/>
    <mergeCell ref="O1465:P1465"/>
    <mergeCell ref="A1466:B1466"/>
    <mergeCell ref="C1466:D1466"/>
    <mergeCell ref="E1466:F1466"/>
    <mergeCell ref="G1466:H1466"/>
    <mergeCell ref="I1466:J1466"/>
    <mergeCell ref="K1466:L1466"/>
    <mergeCell ref="M1466:N1466"/>
    <mergeCell ref="O1466:P1466"/>
    <mergeCell ref="A1465:B1465"/>
    <mergeCell ref="C1465:D1465"/>
    <mergeCell ref="E1465:F1465"/>
    <mergeCell ref="G1465:H1465"/>
    <mergeCell ref="I1465:J1465"/>
    <mergeCell ref="K1465:L1465"/>
    <mergeCell ref="M1475:N1475"/>
    <mergeCell ref="O1475:P1475"/>
    <mergeCell ref="A1476:B1476"/>
    <mergeCell ref="C1476:D1476"/>
    <mergeCell ref="E1476:F1476"/>
    <mergeCell ref="G1476:H1476"/>
    <mergeCell ref="I1476:J1476"/>
    <mergeCell ref="K1476:L1476"/>
    <mergeCell ref="M1476:N1476"/>
    <mergeCell ref="O1476:P1476"/>
    <mergeCell ref="A1475:B1475"/>
    <mergeCell ref="C1475:D1475"/>
    <mergeCell ref="E1475:F1475"/>
    <mergeCell ref="G1475:H1475"/>
    <mergeCell ref="I1475:J1475"/>
    <mergeCell ref="K1475:L1475"/>
    <mergeCell ref="M1473:N1473"/>
    <mergeCell ref="O1473:P1473"/>
    <mergeCell ref="A1474:B1474"/>
    <mergeCell ref="C1474:D1474"/>
    <mergeCell ref="E1474:F1474"/>
    <mergeCell ref="G1474:H1474"/>
    <mergeCell ref="I1474:J1474"/>
    <mergeCell ref="K1474:L1474"/>
    <mergeCell ref="M1474:N1474"/>
    <mergeCell ref="O1474:P1474"/>
    <mergeCell ref="A1473:B1473"/>
    <mergeCell ref="C1473:D1473"/>
    <mergeCell ref="E1473:F1473"/>
    <mergeCell ref="G1473:H1473"/>
    <mergeCell ref="I1473:J1473"/>
    <mergeCell ref="K1473:L1473"/>
    <mergeCell ref="M1471:N1471"/>
    <mergeCell ref="O1471:P1471"/>
    <mergeCell ref="A1472:B1472"/>
    <mergeCell ref="C1472:D1472"/>
    <mergeCell ref="E1472:F1472"/>
    <mergeCell ref="G1472:H1472"/>
    <mergeCell ref="I1472:J1472"/>
    <mergeCell ref="K1472:L1472"/>
    <mergeCell ref="M1472:N1472"/>
    <mergeCell ref="O1472:P1472"/>
    <mergeCell ref="A1471:B1471"/>
    <mergeCell ref="C1471:D1471"/>
    <mergeCell ref="E1471:F1471"/>
    <mergeCell ref="G1471:H1471"/>
    <mergeCell ref="I1471:J1471"/>
    <mergeCell ref="K1471:L1471"/>
    <mergeCell ref="M1481:N1481"/>
    <mergeCell ref="O1481:P1481"/>
    <mergeCell ref="A1482:B1482"/>
    <mergeCell ref="C1482:D1482"/>
    <mergeCell ref="E1482:F1482"/>
    <mergeCell ref="G1482:H1482"/>
    <mergeCell ref="I1482:J1482"/>
    <mergeCell ref="K1482:L1482"/>
    <mergeCell ref="M1482:N1482"/>
    <mergeCell ref="O1482:P1482"/>
    <mergeCell ref="A1481:B1481"/>
    <mergeCell ref="C1481:D1481"/>
    <mergeCell ref="E1481:F1481"/>
    <mergeCell ref="G1481:H1481"/>
    <mergeCell ref="I1481:J1481"/>
    <mergeCell ref="K1481:L1481"/>
    <mergeCell ref="M1479:N1479"/>
    <mergeCell ref="O1479:P1479"/>
    <mergeCell ref="A1480:B1480"/>
    <mergeCell ref="C1480:D1480"/>
    <mergeCell ref="E1480:F1480"/>
    <mergeCell ref="G1480:H1480"/>
    <mergeCell ref="I1480:J1480"/>
    <mergeCell ref="K1480:L1480"/>
    <mergeCell ref="M1480:N1480"/>
    <mergeCell ref="O1480:P1480"/>
    <mergeCell ref="A1479:B1479"/>
    <mergeCell ref="C1479:D1479"/>
    <mergeCell ref="E1479:F1479"/>
    <mergeCell ref="G1479:H1479"/>
    <mergeCell ref="I1479:J1479"/>
    <mergeCell ref="K1479:L1479"/>
    <mergeCell ref="M1477:N1477"/>
    <mergeCell ref="O1477:P1477"/>
    <mergeCell ref="A1478:B1478"/>
    <mergeCell ref="C1478:D1478"/>
    <mergeCell ref="E1478:F1478"/>
    <mergeCell ref="G1478:H1478"/>
    <mergeCell ref="I1478:J1478"/>
    <mergeCell ref="K1478:L1478"/>
    <mergeCell ref="M1478:N1478"/>
    <mergeCell ref="O1478:P1478"/>
    <mergeCell ref="A1477:B1477"/>
    <mergeCell ref="C1477:D1477"/>
    <mergeCell ref="E1477:F1477"/>
    <mergeCell ref="G1477:H1477"/>
    <mergeCell ref="I1477:J1477"/>
    <mergeCell ref="K1477:L1477"/>
    <mergeCell ref="M1487:N1487"/>
    <mergeCell ref="O1487:P1487"/>
    <mergeCell ref="A1488:B1488"/>
    <mergeCell ref="C1488:D1488"/>
    <mergeCell ref="E1488:F1488"/>
    <mergeCell ref="G1488:H1488"/>
    <mergeCell ref="I1488:J1488"/>
    <mergeCell ref="K1488:L1488"/>
    <mergeCell ref="M1488:N1488"/>
    <mergeCell ref="O1488:P1488"/>
    <mergeCell ref="A1487:B1487"/>
    <mergeCell ref="C1487:D1487"/>
    <mergeCell ref="E1487:F1487"/>
    <mergeCell ref="G1487:H1487"/>
    <mergeCell ref="I1487:J1487"/>
    <mergeCell ref="K1487:L1487"/>
    <mergeCell ref="M1485:N1485"/>
    <mergeCell ref="O1485:P1485"/>
    <mergeCell ref="A1486:B1486"/>
    <mergeCell ref="C1486:D1486"/>
    <mergeCell ref="E1486:F1486"/>
    <mergeCell ref="G1486:H1486"/>
    <mergeCell ref="I1486:J1486"/>
    <mergeCell ref="K1486:L1486"/>
    <mergeCell ref="M1486:N1486"/>
    <mergeCell ref="O1486:P1486"/>
    <mergeCell ref="A1485:B1485"/>
    <mergeCell ref="C1485:D1485"/>
    <mergeCell ref="E1485:F1485"/>
    <mergeCell ref="G1485:H1485"/>
    <mergeCell ref="I1485:J1485"/>
    <mergeCell ref="K1485:L1485"/>
    <mergeCell ref="M1483:N1483"/>
    <mergeCell ref="O1483:P1483"/>
    <mergeCell ref="A1484:B1484"/>
    <mergeCell ref="C1484:D1484"/>
    <mergeCell ref="E1484:F1484"/>
    <mergeCell ref="G1484:H1484"/>
    <mergeCell ref="I1484:J1484"/>
    <mergeCell ref="K1484:L1484"/>
    <mergeCell ref="M1484:N1484"/>
    <mergeCell ref="O1484:P1484"/>
    <mergeCell ref="A1483:B1483"/>
    <mergeCell ref="C1483:D1483"/>
    <mergeCell ref="E1483:F1483"/>
    <mergeCell ref="G1483:H1483"/>
    <mergeCell ref="I1483:J1483"/>
    <mergeCell ref="K1483:L1483"/>
    <mergeCell ref="M1493:N1493"/>
    <mergeCell ref="O1493:P1493"/>
    <mergeCell ref="A1494:B1494"/>
    <mergeCell ref="C1494:D1494"/>
    <mergeCell ref="E1494:F1494"/>
    <mergeCell ref="G1494:H1494"/>
    <mergeCell ref="I1494:J1494"/>
    <mergeCell ref="K1494:L1494"/>
    <mergeCell ref="M1494:N1494"/>
    <mergeCell ref="O1494:P1494"/>
    <mergeCell ref="A1493:B1493"/>
    <mergeCell ref="C1493:D1493"/>
    <mergeCell ref="E1493:F1493"/>
    <mergeCell ref="G1493:H1493"/>
    <mergeCell ref="I1493:J1493"/>
    <mergeCell ref="K1493:L1493"/>
    <mergeCell ref="M1491:N1491"/>
    <mergeCell ref="O1491:P1491"/>
    <mergeCell ref="A1492:B1492"/>
    <mergeCell ref="C1492:D1492"/>
    <mergeCell ref="E1492:F1492"/>
    <mergeCell ref="G1492:H1492"/>
    <mergeCell ref="I1492:J1492"/>
    <mergeCell ref="K1492:L1492"/>
    <mergeCell ref="M1492:N1492"/>
    <mergeCell ref="O1492:P1492"/>
    <mergeCell ref="A1491:B1491"/>
    <mergeCell ref="C1491:D1491"/>
    <mergeCell ref="E1491:F1491"/>
    <mergeCell ref="G1491:H1491"/>
    <mergeCell ref="I1491:J1491"/>
    <mergeCell ref="K1491:L1491"/>
    <mergeCell ref="M1489:N1489"/>
    <mergeCell ref="O1489:P1489"/>
    <mergeCell ref="A1490:B1490"/>
    <mergeCell ref="C1490:D1490"/>
    <mergeCell ref="E1490:F1490"/>
    <mergeCell ref="G1490:H1490"/>
    <mergeCell ref="I1490:J1490"/>
    <mergeCell ref="K1490:L1490"/>
    <mergeCell ref="M1490:N1490"/>
    <mergeCell ref="O1490:P1490"/>
    <mergeCell ref="A1489:B1489"/>
    <mergeCell ref="C1489:D1489"/>
    <mergeCell ref="E1489:F1489"/>
    <mergeCell ref="G1489:H1489"/>
    <mergeCell ref="I1489:J1489"/>
    <mergeCell ref="K1489:L1489"/>
    <mergeCell ref="M1499:N1499"/>
    <mergeCell ref="O1499:P1499"/>
    <mergeCell ref="A1500:B1500"/>
    <mergeCell ref="C1500:D1500"/>
    <mergeCell ref="E1500:F1500"/>
    <mergeCell ref="G1500:H1500"/>
    <mergeCell ref="I1500:J1500"/>
    <mergeCell ref="K1500:L1500"/>
    <mergeCell ref="M1500:N1500"/>
    <mergeCell ref="O1500:P1500"/>
    <mergeCell ref="A1499:B1499"/>
    <mergeCell ref="C1499:D1499"/>
    <mergeCell ref="E1499:F1499"/>
    <mergeCell ref="G1499:H1499"/>
    <mergeCell ref="I1499:J1499"/>
    <mergeCell ref="K1499:L1499"/>
    <mergeCell ref="M1497:N1497"/>
    <mergeCell ref="O1497:P1497"/>
    <mergeCell ref="A1498:B1498"/>
    <mergeCell ref="C1498:D1498"/>
    <mergeCell ref="E1498:F1498"/>
    <mergeCell ref="G1498:H1498"/>
    <mergeCell ref="I1498:J1498"/>
    <mergeCell ref="K1498:L1498"/>
    <mergeCell ref="M1498:N1498"/>
    <mergeCell ref="O1498:P1498"/>
    <mergeCell ref="A1497:B1497"/>
    <mergeCell ref="C1497:D1497"/>
    <mergeCell ref="E1497:F1497"/>
    <mergeCell ref="G1497:H1497"/>
    <mergeCell ref="I1497:J1497"/>
    <mergeCell ref="K1497:L1497"/>
    <mergeCell ref="M1495:N1495"/>
    <mergeCell ref="O1495:P1495"/>
    <mergeCell ref="A1496:B1496"/>
    <mergeCell ref="C1496:D1496"/>
    <mergeCell ref="E1496:F1496"/>
    <mergeCell ref="G1496:H1496"/>
    <mergeCell ref="I1496:J1496"/>
    <mergeCell ref="K1496:L1496"/>
    <mergeCell ref="M1496:N1496"/>
    <mergeCell ref="O1496:P1496"/>
    <mergeCell ref="A1495:B1495"/>
    <mergeCell ref="C1495:D1495"/>
    <mergeCell ref="E1495:F1495"/>
    <mergeCell ref="G1495:H1495"/>
    <mergeCell ref="I1495:J1495"/>
    <mergeCell ref="K1495:L1495"/>
    <mergeCell ref="M1505:N1505"/>
    <mergeCell ref="O1505:P1505"/>
    <mergeCell ref="A1506:B1506"/>
    <mergeCell ref="C1506:D1506"/>
    <mergeCell ref="E1506:F1506"/>
    <mergeCell ref="G1506:H1506"/>
    <mergeCell ref="I1506:J1506"/>
    <mergeCell ref="K1506:L1506"/>
    <mergeCell ref="M1506:N1506"/>
    <mergeCell ref="O1506:P1506"/>
    <mergeCell ref="A1505:B1505"/>
    <mergeCell ref="C1505:D1505"/>
    <mergeCell ref="E1505:F1505"/>
    <mergeCell ref="G1505:H1505"/>
    <mergeCell ref="I1505:J1505"/>
    <mergeCell ref="K1505:L1505"/>
    <mergeCell ref="M1503:N1503"/>
    <mergeCell ref="O1503:P1503"/>
    <mergeCell ref="A1504:B1504"/>
    <mergeCell ref="C1504:D1504"/>
    <mergeCell ref="E1504:F1504"/>
    <mergeCell ref="G1504:H1504"/>
    <mergeCell ref="I1504:J1504"/>
    <mergeCell ref="K1504:L1504"/>
    <mergeCell ref="M1504:N1504"/>
    <mergeCell ref="O1504:P1504"/>
    <mergeCell ref="A1503:B1503"/>
    <mergeCell ref="C1503:D1503"/>
    <mergeCell ref="E1503:F1503"/>
    <mergeCell ref="G1503:H1503"/>
    <mergeCell ref="I1503:J1503"/>
    <mergeCell ref="K1503:L1503"/>
    <mergeCell ref="M1501:N1501"/>
    <mergeCell ref="O1501:P1501"/>
    <mergeCell ref="A1502:B1502"/>
    <mergeCell ref="C1502:D1502"/>
    <mergeCell ref="E1502:F1502"/>
    <mergeCell ref="G1502:H1502"/>
    <mergeCell ref="I1502:J1502"/>
    <mergeCell ref="K1502:L1502"/>
    <mergeCell ref="M1502:N1502"/>
    <mergeCell ref="O1502:P1502"/>
    <mergeCell ref="A1501:B1501"/>
    <mergeCell ref="C1501:D1501"/>
    <mergeCell ref="E1501:F1501"/>
    <mergeCell ref="G1501:H1501"/>
    <mergeCell ref="I1501:J1501"/>
    <mergeCell ref="K1501:L1501"/>
    <mergeCell ref="M1511:N1511"/>
    <mergeCell ref="O1511:P1511"/>
    <mergeCell ref="A1512:B1512"/>
    <mergeCell ref="C1512:D1512"/>
    <mergeCell ref="E1512:F1512"/>
    <mergeCell ref="G1512:H1512"/>
    <mergeCell ref="I1512:J1512"/>
    <mergeCell ref="K1512:L1512"/>
    <mergeCell ref="M1512:N1512"/>
    <mergeCell ref="O1512:P1512"/>
    <mergeCell ref="A1511:B1511"/>
    <mergeCell ref="C1511:D1511"/>
    <mergeCell ref="E1511:F1511"/>
    <mergeCell ref="G1511:H1511"/>
    <mergeCell ref="I1511:J1511"/>
    <mergeCell ref="K1511:L1511"/>
    <mergeCell ref="M1509:N1509"/>
    <mergeCell ref="O1509:P1509"/>
    <mergeCell ref="A1510:B1510"/>
    <mergeCell ref="C1510:D1510"/>
    <mergeCell ref="E1510:F1510"/>
    <mergeCell ref="G1510:H1510"/>
    <mergeCell ref="I1510:J1510"/>
    <mergeCell ref="K1510:L1510"/>
    <mergeCell ref="M1510:N1510"/>
    <mergeCell ref="O1510:P1510"/>
    <mergeCell ref="A1509:B1509"/>
    <mergeCell ref="C1509:D1509"/>
    <mergeCell ref="E1509:F1509"/>
    <mergeCell ref="G1509:H1509"/>
    <mergeCell ref="I1509:J1509"/>
    <mergeCell ref="K1509:L1509"/>
    <mergeCell ref="M1507:N1507"/>
    <mergeCell ref="O1507:P1507"/>
    <mergeCell ref="A1508:B1508"/>
    <mergeCell ref="C1508:D1508"/>
    <mergeCell ref="E1508:F1508"/>
    <mergeCell ref="G1508:H1508"/>
    <mergeCell ref="I1508:J1508"/>
    <mergeCell ref="K1508:L1508"/>
    <mergeCell ref="M1508:N1508"/>
    <mergeCell ref="O1508:P1508"/>
    <mergeCell ref="A1507:B1507"/>
    <mergeCell ref="C1507:D1507"/>
    <mergeCell ref="E1507:F1507"/>
    <mergeCell ref="G1507:H1507"/>
    <mergeCell ref="I1507:J1507"/>
    <mergeCell ref="K1507:L1507"/>
    <mergeCell ref="M1517:N1517"/>
    <mergeCell ref="O1517:P1517"/>
    <mergeCell ref="A1518:B1518"/>
    <mergeCell ref="C1518:D1518"/>
    <mergeCell ref="E1518:F1518"/>
    <mergeCell ref="G1518:H1518"/>
    <mergeCell ref="I1518:J1518"/>
    <mergeCell ref="K1518:L1518"/>
    <mergeCell ref="M1518:N1518"/>
    <mergeCell ref="O1518:P1518"/>
    <mergeCell ref="A1517:B1517"/>
    <mergeCell ref="C1517:D1517"/>
    <mergeCell ref="E1517:F1517"/>
    <mergeCell ref="G1517:H1517"/>
    <mergeCell ref="I1517:J1517"/>
    <mergeCell ref="K1517:L1517"/>
    <mergeCell ref="M1515:N1515"/>
    <mergeCell ref="O1515:P1515"/>
    <mergeCell ref="A1516:B1516"/>
    <mergeCell ref="C1516:D1516"/>
    <mergeCell ref="E1516:F1516"/>
    <mergeCell ref="G1516:H1516"/>
    <mergeCell ref="I1516:J1516"/>
    <mergeCell ref="K1516:L1516"/>
    <mergeCell ref="M1516:N1516"/>
    <mergeCell ref="O1516:P1516"/>
    <mergeCell ref="A1515:B1515"/>
    <mergeCell ref="C1515:D1515"/>
    <mergeCell ref="E1515:F1515"/>
    <mergeCell ref="G1515:H1515"/>
    <mergeCell ref="I1515:J1515"/>
    <mergeCell ref="K1515:L1515"/>
    <mergeCell ref="M1513:N1513"/>
    <mergeCell ref="O1513:P1513"/>
    <mergeCell ref="A1514:B1514"/>
    <mergeCell ref="C1514:D1514"/>
    <mergeCell ref="E1514:F1514"/>
    <mergeCell ref="G1514:H1514"/>
    <mergeCell ref="I1514:J1514"/>
    <mergeCell ref="K1514:L1514"/>
    <mergeCell ref="M1514:N1514"/>
    <mergeCell ref="O1514:P1514"/>
    <mergeCell ref="A1513:B1513"/>
    <mergeCell ref="C1513:D1513"/>
    <mergeCell ref="E1513:F1513"/>
    <mergeCell ref="G1513:H1513"/>
    <mergeCell ref="I1513:J1513"/>
    <mergeCell ref="K1513:L1513"/>
    <mergeCell ref="M1523:N1523"/>
    <mergeCell ref="O1523:P1523"/>
    <mergeCell ref="A1524:B1524"/>
    <mergeCell ref="C1524:D1524"/>
    <mergeCell ref="E1524:F1524"/>
    <mergeCell ref="G1524:H1524"/>
    <mergeCell ref="I1524:J1524"/>
    <mergeCell ref="K1524:L1524"/>
    <mergeCell ref="M1524:N1524"/>
    <mergeCell ref="O1524:P1524"/>
    <mergeCell ref="A1523:B1523"/>
    <mergeCell ref="C1523:D1523"/>
    <mergeCell ref="E1523:F1523"/>
    <mergeCell ref="G1523:H1523"/>
    <mergeCell ref="I1523:J1523"/>
    <mergeCell ref="K1523:L1523"/>
    <mergeCell ref="M1521:N1521"/>
    <mergeCell ref="O1521:P1521"/>
    <mergeCell ref="A1522:B1522"/>
    <mergeCell ref="C1522:D1522"/>
    <mergeCell ref="E1522:F1522"/>
    <mergeCell ref="G1522:H1522"/>
    <mergeCell ref="I1522:J1522"/>
    <mergeCell ref="K1522:L1522"/>
    <mergeCell ref="M1522:N1522"/>
    <mergeCell ref="O1522:P1522"/>
    <mergeCell ref="A1521:B1521"/>
    <mergeCell ref="C1521:D1521"/>
    <mergeCell ref="E1521:F1521"/>
    <mergeCell ref="G1521:H1521"/>
    <mergeCell ref="I1521:J1521"/>
    <mergeCell ref="K1521:L1521"/>
    <mergeCell ref="M1519:N1519"/>
    <mergeCell ref="O1519:P1519"/>
    <mergeCell ref="A1520:B1520"/>
    <mergeCell ref="C1520:D1520"/>
    <mergeCell ref="E1520:F1520"/>
    <mergeCell ref="G1520:H1520"/>
    <mergeCell ref="I1520:J1520"/>
    <mergeCell ref="K1520:L1520"/>
    <mergeCell ref="M1520:N1520"/>
    <mergeCell ref="O1520:P1520"/>
    <mergeCell ref="A1519:B1519"/>
    <mergeCell ref="C1519:D1519"/>
    <mergeCell ref="E1519:F1519"/>
    <mergeCell ref="G1519:H1519"/>
    <mergeCell ref="I1519:J1519"/>
    <mergeCell ref="K1519:L1519"/>
    <mergeCell ref="M1529:N1529"/>
    <mergeCell ref="O1529:P1529"/>
    <mergeCell ref="A1530:B1530"/>
    <mergeCell ref="C1530:D1530"/>
    <mergeCell ref="E1530:F1530"/>
    <mergeCell ref="G1530:H1530"/>
    <mergeCell ref="I1530:J1530"/>
    <mergeCell ref="K1530:L1530"/>
    <mergeCell ref="M1530:N1530"/>
    <mergeCell ref="O1530:P1530"/>
    <mergeCell ref="A1529:B1529"/>
    <mergeCell ref="C1529:D1529"/>
    <mergeCell ref="E1529:F1529"/>
    <mergeCell ref="G1529:H1529"/>
    <mergeCell ref="I1529:J1529"/>
    <mergeCell ref="K1529:L1529"/>
    <mergeCell ref="M1527:N1527"/>
    <mergeCell ref="O1527:P1527"/>
    <mergeCell ref="A1528:B1528"/>
    <mergeCell ref="C1528:D1528"/>
    <mergeCell ref="E1528:F1528"/>
    <mergeCell ref="G1528:H1528"/>
    <mergeCell ref="I1528:J1528"/>
    <mergeCell ref="K1528:L1528"/>
    <mergeCell ref="M1528:N1528"/>
    <mergeCell ref="O1528:P1528"/>
    <mergeCell ref="A1527:B1527"/>
    <mergeCell ref="C1527:D1527"/>
    <mergeCell ref="E1527:F1527"/>
    <mergeCell ref="G1527:H1527"/>
    <mergeCell ref="I1527:J1527"/>
    <mergeCell ref="K1527:L1527"/>
    <mergeCell ref="M1525:N1525"/>
    <mergeCell ref="O1525:P1525"/>
    <mergeCell ref="A1526:B1526"/>
    <mergeCell ref="C1526:D1526"/>
    <mergeCell ref="E1526:F1526"/>
    <mergeCell ref="G1526:H1526"/>
    <mergeCell ref="I1526:J1526"/>
    <mergeCell ref="K1526:L1526"/>
    <mergeCell ref="M1526:N1526"/>
    <mergeCell ref="O1526:P1526"/>
    <mergeCell ref="A1525:B1525"/>
    <mergeCell ref="C1525:D1525"/>
    <mergeCell ref="E1525:F1525"/>
    <mergeCell ref="G1525:H1525"/>
    <mergeCell ref="I1525:J1525"/>
    <mergeCell ref="K1525:L1525"/>
    <mergeCell ref="M1535:N1535"/>
    <mergeCell ref="O1535:P1535"/>
    <mergeCell ref="A1536:B1536"/>
    <mergeCell ref="C1536:D1536"/>
    <mergeCell ref="E1536:F1536"/>
    <mergeCell ref="G1536:H1536"/>
    <mergeCell ref="I1536:J1536"/>
    <mergeCell ref="K1536:L1536"/>
    <mergeCell ref="M1536:N1536"/>
    <mergeCell ref="O1536:P1536"/>
    <mergeCell ref="A1535:B1535"/>
    <mergeCell ref="C1535:D1535"/>
    <mergeCell ref="E1535:F1535"/>
    <mergeCell ref="G1535:H1535"/>
    <mergeCell ref="I1535:J1535"/>
    <mergeCell ref="K1535:L1535"/>
    <mergeCell ref="M1533:N1533"/>
    <mergeCell ref="O1533:P1533"/>
    <mergeCell ref="A1534:B1534"/>
    <mergeCell ref="C1534:D1534"/>
    <mergeCell ref="E1534:F1534"/>
    <mergeCell ref="G1534:H1534"/>
    <mergeCell ref="I1534:J1534"/>
    <mergeCell ref="K1534:L1534"/>
    <mergeCell ref="M1534:N1534"/>
    <mergeCell ref="O1534:P1534"/>
    <mergeCell ref="A1533:B1533"/>
    <mergeCell ref="C1533:D1533"/>
    <mergeCell ref="E1533:F1533"/>
    <mergeCell ref="G1533:H1533"/>
    <mergeCell ref="I1533:J1533"/>
    <mergeCell ref="K1533:L1533"/>
    <mergeCell ref="M1531:N1531"/>
    <mergeCell ref="O1531:P1531"/>
    <mergeCell ref="A1532:B1532"/>
    <mergeCell ref="C1532:D1532"/>
    <mergeCell ref="E1532:F1532"/>
    <mergeCell ref="G1532:H1532"/>
    <mergeCell ref="I1532:J1532"/>
    <mergeCell ref="K1532:L1532"/>
    <mergeCell ref="M1532:N1532"/>
    <mergeCell ref="O1532:P1532"/>
    <mergeCell ref="A1531:B1531"/>
    <mergeCell ref="C1531:D1531"/>
    <mergeCell ref="E1531:F1531"/>
    <mergeCell ref="G1531:H1531"/>
    <mergeCell ref="I1531:J1531"/>
    <mergeCell ref="K1531:L1531"/>
    <mergeCell ref="M1541:N1541"/>
    <mergeCell ref="O1541:P1541"/>
    <mergeCell ref="A1542:B1542"/>
    <mergeCell ref="C1542:D1542"/>
    <mergeCell ref="E1542:F1542"/>
    <mergeCell ref="G1542:H1542"/>
    <mergeCell ref="I1542:J1542"/>
    <mergeCell ref="K1542:L1542"/>
    <mergeCell ref="M1542:N1542"/>
    <mergeCell ref="O1542:P1542"/>
    <mergeCell ref="A1541:B1541"/>
    <mergeCell ref="C1541:D1541"/>
    <mergeCell ref="E1541:F1541"/>
    <mergeCell ref="G1541:H1541"/>
    <mergeCell ref="I1541:J1541"/>
    <mergeCell ref="K1541:L1541"/>
    <mergeCell ref="M1539:N1539"/>
    <mergeCell ref="O1539:P1539"/>
    <mergeCell ref="A1540:B1540"/>
    <mergeCell ref="C1540:D1540"/>
    <mergeCell ref="E1540:F1540"/>
    <mergeCell ref="G1540:H1540"/>
    <mergeCell ref="I1540:J1540"/>
    <mergeCell ref="K1540:L1540"/>
    <mergeCell ref="M1540:N1540"/>
    <mergeCell ref="O1540:P1540"/>
    <mergeCell ref="A1539:B1539"/>
    <mergeCell ref="C1539:D1539"/>
    <mergeCell ref="E1539:F1539"/>
    <mergeCell ref="G1539:H1539"/>
    <mergeCell ref="I1539:J1539"/>
    <mergeCell ref="K1539:L1539"/>
    <mergeCell ref="M1537:N1537"/>
    <mergeCell ref="O1537:P1537"/>
    <mergeCell ref="A1538:B1538"/>
    <mergeCell ref="C1538:D1538"/>
    <mergeCell ref="E1538:F1538"/>
    <mergeCell ref="G1538:H1538"/>
    <mergeCell ref="I1538:J1538"/>
    <mergeCell ref="K1538:L1538"/>
    <mergeCell ref="M1538:N1538"/>
    <mergeCell ref="O1538:P1538"/>
    <mergeCell ref="A1537:B1537"/>
    <mergeCell ref="C1537:D1537"/>
    <mergeCell ref="E1537:F1537"/>
    <mergeCell ref="G1537:H1537"/>
    <mergeCell ref="I1537:J1537"/>
    <mergeCell ref="K1537:L1537"/>
    <mergeCell ref="M1547:N1547"/>
    <mergeCell ref="O1547:P1547"/>
    <mergeCell ref="A1548:B1548"/>
    <mergeCell ref="C1548:D1548"/>
    <mergeCell ref="E1548:F1548"/>
    <mergeCell ref="G1548:H1548"/>
    <mergeCell ref="I1548:J1548"/>
    <mergeCell ref="K1548:L1548"/>
    <mergeCell ref="M1548:N1548"/>
    <mergeCell ref="O1548:P1548"/>
    <mergeCell ref="A1547:B1547"/>
    <mergeCell ref="C1547:D1547"/>
    <mergeCell ref="E1547:F1547"/>
    <mergeCell ref="G1547:H1547"/>
    <mergeCell ref="I1547:J1547"/>
    <mergeCell ref="K1547:L1547"/>
    <mergeCell ref="M1545:N1545"/>
    <mergeCell ref="O1545:P1545"/>
    <mergeCell ref="A1546:B1546"/>
    <mergeCell ref="C1546:D1546"/>
    <mergeCell ref="E1546:F1546"/>
    <mergeCell ref="G1546:H1546"/>
    <mergeCell ref="I1546:J1546"/>
    <mergeCell ref="K1546:L1546"/>
    <mergeCell ref="M1546:N1546"/>
    <mergeCell ref="O1546:P1546"/>
    <mergeCell ref="A1545:B1545"/>
    <mergeCell ref="C1545:D1545"/>
    <mergeCell ref="E1545:F1545"/>
    <mergeCell ref="G1545:H1545"/>
    <mergeCell ref="I1545:J1545"/>
    <mergeCell ref="K1545:L1545"/>
    <mergeCell ref="M1543:N1543"/>
    <mergeCell ref="O1543:P1543"/>
    <mergeCell ref="A1544:B1544"/>
    <mergeCell ref="C1544:D1544"/>
    <mergeCell ref="E1544:F1544"/>
    <mergeCell ref="G1544:H1544"/>
    <mergeCell ref="I1544:J1544"/>
    <mergeCell ref="K1544:L1544"/>
    <mergeCell ref="M1544:N1544"/>
    <mergeCell ref="O1544:P1544"/>
    <mergeCell ref="A1543:B1543"/>
    <mergeCell ref="C1543:D1543"/>
    <mergeCell ref="E1543:F1543"/>
    <mergeCell ref="G1543:H1543"/>
    <mergeCell ref="I1543:J1543"/>
    <mergeCell ref="K1543:L1543"/>
    <mergeCell ref="M1553:N1553"/>
    <mergeCell ref="O1553:P1553"/>
    <mergeCell ref="A1554:B1554"/>
    <mergeCell ref="C1554:D1554"/>
    <mergeCell ref="E1554:F1554"/>
    <mergeCell ref="G1554:H1554"/>
    <mergeCell ref="I1554:J1554"/>
    <mergeCell ref="K1554:L1554"/>
    <mergeCell ref="M1554:N1554"/>
    <mergeCell ref="O1554:P1554"/>
    <mergeCell ref="A1553:B1553"/>
    <mergeCell ref="C1553:D1553"/>
    <mergeCell ref="E1553:F1553"/>
    <mergeCell ref="G1553:H1553"/>
    <mergeCell ref="I1553:J1553"/>
    <mergeCell ref="K1553:L1553"/>
    <mergeCell ref="M1551:N1551"/>
    <mergeCell ref="O1551:P1551"/>
    <mergeCell ref="A1552:B1552"/>
    <mergeCell ref="C1552:D1552"/>
    <mergeCell ref="E1552:F1552"/>
    <mergeCell ref="G1552:H1552"/>
    <mergeCell ref="I1552:J1552"/>
    <mergeCell ref="K1552:L1552"/>
    <mergeCell ref="M1552:N1552"/>
    <mergeCell ref="O1552:P1552"/>
    <mergeCell ref="A1551:B1551"/>
    <mergeCell ref="C1551:D1551"/>
    <mergeCell ref="E1551:F1551"/>
    <mergeCell ref="G1551:H1551"/>
    <mergeCell ref="I1551:J1551"/>
    <mergeCell ref="K1551:L1551"/>
    <mergeCell ref="M1549:N1549"/>
    <mergeCell ref="O1549:P1549"/>
    <mergeCell ref="A1550:B1550"/>
    <mergeCell ref="C1550:D1550"/>
    <mergeCell ref="E1550:F1550"/>
    <mergeCell ref="G1550:H1550"/>
    <mergeCell ref="I1550:J1550"/>
    <mergeCell ref="K1550:L1550"/>
    <mergeCell ref="M1550:N1550"/>
    <mergeCell ref="O1550:P1550"/>
    <mergeCell ref="A1549:B1549"/>
    <mergeCell ref="C1549:D1549"/>
    <mergeCell ref="E1549:F1549"/>
    <mergeCell ref="G1549:H1549"/>
    <mergeCell ref="I1549:J1549"/>
    <mergeCell ref="K1549:L1549"/>
    <mergeCell ref="M1559:N1559"/>
    <mergeCell ref="O1559:P1559"/>
    <mergeCell ref="A1560:B1560"/>
    <mergeCell ref="C1560:D1560"/>
    <mergeCell ref="E1560:F1560"/>
    <mergeCell ref="G1560:H1560"/>
    <mergeCell ref="I1560:J1560"/>
    <mergeCell ref="K1560:L1560"/>
    <mergeCell ref="M1560:N1560"/>
    <mergeCell ref="O1560:P1560"/>
    <mergeCell ref="A1559:B1559"/>
    <mergeCell ref="C1559:D1559"/>
    <mergeCell ref="E1559:F1559"/>
    <mergeCell ref="G1559:H1559"/>
    <mergeCell ref="I1559:J1559"/>
    <mergeCell ref="K1559:L1559"/>
    <mergeCell ref="M1557:N1557"/>
    <mergeCell ref="O1557:P1557"/>
    <mergeCell ref="A1558:B1558"/>
    <mergeCell ref="C1558:D1558"/>
    <mergeCell ref="E1558:F1558"/>
    <mergeCell ref="G1558:H1558"/>
    <mergeCell ref="I1558:J1558"/>
    <mergeCell ref="K1558:L1558"/>
    <mergeCell ref="M1558:N1558"/>
    <mergeCell ref="O1558:P1558"/>
    <mergeCell ref="A1557:B1557"/>
    <mergeCell ref="C1557:D1557"/>
    <mergeCell ref="E1557:F1557"/>
    <mergeCell ref="G1557:H1557"/>
    <mergeCell ref="I1557:J1557"/>
    <mergeCell ref="K1557:L1557"/>
    <mergeCell ref="M1555:N1555"/>
    <mergeCell ref="O1555:P1555"/>
    <mergeCell ref="A1556:B1556"/>
    <mergeCell ref="C1556:D1556"/>
    <mergeCell ref="E1556:F1556"/>
    <mergeCell ref="G1556:H1556"/>
    <mergeCell ref="I1556:J1556"/>
    <mergeCell ref="K1556:L1556"/>
    <mergeCell ref="M1556:N1556"/>
    <mergeCell ref="O1556:P1556"/>
    <mergeCell ref="A1555:B1555"/>
    <mergeCell ref="C1555:D1555"/>
    <mergeCell ref="E1555:F1555"/>
    <mergeCell ref="G1555:H1555"/>
    <mergeCell ref="I1555:J1555"/>
    <mergeCell ref="K1555:L1555"/>
    <mergeCell ref="M1565:N1565"/>
    <mergeCell ref="O1565:P1565"/>
    <mergeCell ref="A1566:B1566"/>
    <mergeCell ref="C1566:D1566"/>
    <mergeCell ref="E1566:F1566"/>
    <mergeCell ref="G1566:H1566"/>
    <mergeCell ref="I1566:J1566"/>
    <mergeCell ref="K1566:L1566"/>
    <mergeCell ref="M1566:N1566"/>
    <mergeCell ref="O1566:P1566"/>
    <mergeCell ref="A1565:B1565"/>
    <mergeCell ref="C1565:D1565"/>
    <mergeCell ref="E1565:F1565"/>
    <mergeCell ref="G1565:H1565"/>
    <mergeCell ref="I1565:J1565"/>
    <mergeCell ref="K1565:L1565"/>
    <mergeCell ref="M1563:N1563"/>
    <mergeCell ref="O1563:P1563"/>
    <mergeCell ref="A1564:B1564"/>
    <mergeCell ref="C1564:D1564"/>
    <mergeCell ref="E1564:F1564"/>
    <mergeCell ref="G1564:H1564"/>
    <mergeCell ref="I1564:J1564"/>
    <mergeCell ref="K1564:L1564"/>
    <mergeCell ref="M1564:N1564"/>
    <mergeCell ref="O1564:P1564"/>
    <mergeCell ref="A1563:B1563"/>
    <mergeCell ref="C1563:D1563"/>
    <mergeCell ref="E1563:F1563"/>
    <mergeCell ref="G1563:H1563"/>
    <mergeCell ref="I1563:J1563"/>
    <mergeCell ref="K1563:L1563"/>
    <mergeCell ref="M1561:N1561"/>
    <mergeCell ref="O1561:P1561"/>
    <mergeCell ref="A1562:B1562"/>
    <mergeCell ref="C1562:D1562"/>
    <mergeCell ref="E1562:F1562"/>
    <mergeCell ref="G1562:H1562"/>
    <mergeCell ref="I1562:J1562"/>
    <mergeCell ref="K1562:L1562"/>
    <mergeCell ref="M1562:N1562"/>
    <mergeCell ref="O1562:P1562"/>
    <mergeCell ref="A1561:B1561"/>
    <mergeCell ref="C1561:D1561"/>
    <mergeCell ref="E1561:F1561"/>
    <mergeCell ref="G1561:H1561"/>
    <mergeCell ref="I1561:J1561"/>
    <mergeCell ref="K1561:L1561"/>
    <mergeCell ref="M1571:N1571"/>
    <mergeCell ref="O1571:P1571"/>
    <mergeCell ref="A1572:B1572"/>
    <mergeCell ref="C1572:D1572"/>
    <mergeCell ref="E1572:F1572"/>
    <mergeCell ref="G1572:H1572"/>
    <mergeCell ref="I1572:J1572"/>
    <mergeCell ref="K1572:L1572"/>
    <mergeCell ref="M1572:N1572"/>
    <mergeCell ref="O1572:P1572"/>
    <mergeCell ref="A1571:B1571"/>
    <mergeCell ref="C1571:D1571"/>
    <mergeCell ref="E1571:F1571"/>
    <mergeCell ref="G1571:H1571"/>
    <mergeCell ref="I1571:J1571"/>
    <mergeCell ref="K1571:L1571"/>
    <mergeCell ref="M1569:N1569"/>
    <mergeCell ref="O1569:P1569"/>
    <mergeCell ref="A1570:B1570"/>
    <mergeCell ref="C1570:D1570"/>
    <mergeCell ref="E1570:F1570"/>
    <mergeCell ref="G1570:H1570"/>
    <mergeCell ref="I1570:J1570"/>
    <mergeCell ref="K1570:L1570"/>
    <mergeCell ref="M1570:N1570"/>
    <mergeCell ref="O1570:P1570"/>
    <mergeCell ref="A1569:B1569"/>
    <mergeCell ref="C1569:D1569"/>
    <mergeCell ref="E1569:F1569"/>
    <mergeCell ref="G1569:H1569"/>
    <mergeCell ref="I1569:J1569"/>
    <mergeCell ref="K1569:L1569"/>
    <mergeCell ref="M1567:N1567"/>
    <mergeCell ref="O1567:P1567"/>
    <mergeCell ref="A1568:B1568"/>
    <mergeCell ref="C1568:D1568"/>
    <mergeCell ref="E1568:F1568"/>
    <mergeCell ref="G1568:H1568"/>
    <mergeCell ref="I1568:J1568"/>
    <mergeCell ref="K1568:L1568"/>
    <mergeCell ref="M1568:N1568"/>
    <mergeCell ref="O1568:P1568"/>
    <mergeCell ref="A1567:B1567"/>
    <mergeCell ref="C1567:D1567"/>
    <mergeCell ref="E1567:F1567"/>
    <mergeCell ref="G1567:H1567"/>
    <mergeCell ref="I1567:J1567"/>
    <mergeCell ref="K1567:L1567"/>
    <mergeCell ref="M1577:N1577"/>
    <mergeCell ref="O1577:P1577"/>
    <mergeCell ref="A1578:B1578"/>
    <mergeCell ref="C1578:D1578"/>
    <mergeCell ref="E1578:F1578"/>
    <mergeCell ref="G1578:H1578"/>
    <mergeCell ref="I1578:J1578"/>
    <mergeCell ref="K1578:L1578"/>
    <mergeCell ref="M1578:N1578"/>
    <mergeCell ref="O1578:P1578"/>
    <mergeCell ref="A1577:B1577"/>
    <mergeCell ref="C1577:D1577"/>
    <mergeCell ref="E1577:F1577"/>
    <mergeCell ref="G1577:H1577"/>
    <mergeCell ref="I1577:J1577"/>
    <mergeCell ref="K1577:L1577"/>
    <mergeCell ref="M1575:N1575"/>
    <mergeCell ref="O1575:P1575"/>
    <mergeCell ref="A1576:B1576"/>
    <mergeCell ref="C1576:D1576"/>
    <mergeCell ref="E1576:F1576"/>
    <mergeCell ref="G1576:H1576"/>
    <mergeCell ref="I1576:J1576"/>
    <mergeCell ref="K1576:L1576"/>
    <mergeCell ref="M1576:N1576"/>
    <mergeCell ref="O1576:P1576"/>
    <mergeCell ref="A1575:B1575"/>
    <mergeCell ref="C1575:D1575"/>
    <mergeCell ref="E1575:F1575"/>
    <mergeCell ref="G1575:H1575"/>
    <mergeCell ref="I1575:J1575"/>
    <mergeCell ref="K1575:L1575"/>
    <mergeCell ref="M1573:N1573"/>
    <mergeCell ref="O1573:P1573"/>
    <mergeCell ref="A1574:B1574"/>
    <mergeCell ref="C1574:D1574"/>
    <mergeCell ref="E1574:F1574"/>
    <mergeCell ref="G1574:H1574"/>
    <mergeCell ref="I1574:J1574"/>
    <mergeCell ref="K1574:L1574"/>
    <mergeCell ref="M1574:N1574"/>
    <mergeCell ref="O1574:P1574"/>
    <mergeCell ref="A1573:B1573"/>
    <mergeCell ref="C1573:D1573"/>
    <mergeCell ref="E1573:F1573"/>
    <mergeCell ref="G1573:H1573"/>
    <mergeCell ref="I1573:J1573"/>
    <mergeCell ref="K1573:L1573"/>
    <mergeCell ref="M1583:N1583"/>
    <mergeCell ref="O1583:P1583"/>
    <mergeCell ref="A1584:B1584"/>
    <mergeCell ref="C1584:D1584"/>
    <mergeCell ref="E1584:F1584"/>
    <mergeCell ref="G1584:H1584"/>
    <mergeCell ref="I1584:J1584"/>
    <mergeCell ref="K1584:L1584"/>
    <mergeCell ref="M1584:N1584"/>
    <mergeCell ref="O1584:P1584"/>
    <mergeCell ref="A1583:B1583"/>
    <mergeCell ref="C1583:D1583"/>
    <mergeCell ref="E1583:F1583"/>
    <mergeCell ref="G1583:H1583"/>
    <mergeCell ref="I1583:J1583"/>
    <mergeCell ref="K1583:L1583"/>
    <mergeCell ref="M1581:N1581"/>
    <mergeCell ref="O1581:P1581"/>
    <mergeCell ref="A1582:B1582"/>
    <mergeCell ref="C1582:D1582"/>
    <mergeCell ref="E1582:F1582"/>
    <mergeCell ref="G1582:H1582"/>
    <mergeCell ref="I1582:J1582"/>
    <mergeCell ref="K1582:L1582"/>
    <mergeCell ref="M1582:N1582"/>
    <mergeCell ref="O1582:P1582"/>
    <mergeCell ref="A1581:B1581"/>
    <mergeCell ref="C1581:D1581"/>
    <mergeCell ref="E1581:F1581"/>
    <mergeCell ref="G1581:H1581"/>
    <mergeCell ref="I1581:J1581"/>
    <mergeCell ref="K1581:L1581"/>
    <mergeCell ref="M1579:N1579"/>
    <mergeCell ref="O1579:P1579"/>
    <mergeCell ref="A1580:B1580"/>
    <mergeCell ref="C1580:D1580"/>
    <mergeCell ref="E1580:F1580"/>
    <mergeCell ref="G1580:H1580"/>
    <mergeCell ref="I1580:J1580"/>
    <mergeCell ref="K1580:L1580"/>
    <mergeCell ref="M1580:N1580"/>
    <mergeCell ref="O1580:P1580"/>
    <mergeCell ref="A1579:B1579"/>
    <mergeCell ref="C1579:D1579"/>
    <mergeCell ref="E1579:F1579"/>
    <mergeCell ref="G1579:H1579"/>
    <mergeCell ref="I1579:J1579"/>
    <mergeCell ref="K1579:L1579"/>
    <mergeCell ref="M1589:N1589"/>
    <mergeCell ref="O1589:P1589"/>
    <mergeCell ref="A1590:B1590"/>
    <mergeCell ref="C1590:D1590"/>
    <mergeCell ref="E1590:F1590"/>
    <mergeCell ref="G1590:H1590"/>
    <mergeCell ref="I1590:J1590"/>
    <mergeCell ref="K1590:L1590"/>
    <mergeCell ref="M1590:N1590"/>
    <mergeCell ref="O1590:P1590"/>
    <mergeCell ref="A1589:B1589"/>
    <mergeCell ref="C1589:D1589"/>
    <mergeCell ref="E1589:F1589"/>
    <mergeCell ref="G1589:H1589"/>
    <mergeCell ref="I1589:J1589"/>
    <mergeCell ref="K1589:L1589"/>
    <mergeCell ref="M1587:N1587"/>
    <mergeCell ref="O1587:P1587"/>
    <mergeCell ref="A1588:B1588"/>
    <mergeCell ref="C1588:D1588"/>
    <mergeCell ref="E1588:F1588"/>
    <mergeCell ref="G1588:H1588"/>
    <mergeCell ref="I1588:J1588"/>
    <mergeCell ref="K1588:L1588"/>
    <mergeCell ref="M1588:N1588"/>
    <mergeCell ref="O1588:P1588"/>
    <mergeCell ref="A1587:B1587"/>
    <mergeCell ref="C1587:D1587"/>
    <mergeCell ref="E1587:F1587"/>
    <mergeCell ref="G1587:H1587"/>
    <mergeCell ref="I1587:J1587"/>
    <mergeCell ref="K1587:L1587"/>
    <mergeCell ref="M1585:N1585"/>
    <mergeCell ref="O1585:P1585"/>
    <mergeCell ref="A1586:B1586"/>
    <mergeCell ref="C1586:D1586"/>
    <mergeCell ref="E1586:F1586"/>
    <mergeCell ref="G1586:H1586"/>
    <mergeCell ref="I1586:J1586"/>
    <mergeCell ref="K1586:L1586"/>
    <mergeCell ref="M1586:N1586"/>
    <mergeCell ref="O1586:P1586"/>
    <mergeCell ref="A1585:B1585"/>
    <mergeCell ref="C1585:D1585"/>
    <mergeCell ref="E1585:F1585"/>
    <mergeCell ref="G1585:H1585"/>
    <mergeCell ref="I1585:J1585"/>
    <mergeCell ref="K1585:L1585"/>
    <mergeCell ref="M1595:N1595"/>
    <mergeCell ref="O1595:P1595"/>
    <mergeCell ref="A1596:B1596"/>
    <mergeCell ref="C1596:D1596"/>
    <mergeCell ref="E1596:F1596"/>
    <mergeCell ref="G1596:H1596"/>
    <mergeCell ref="I1596:J1596"/>
    <mergeCell ref="K1596:L1596"/>
    <mergeCell ref="M1596:N1596"/>
    <mergeCell ref="O1596:P1596"/>
    <mergeCell ref="A1595:B1595"/>
    <mergeCell ref="C1595:D1595"/>
    <mergeCell ref="E1595:F1595"/>
    <mergeCell ref="G1595:H1595"/>
    <mergeCell ref="I1595:J1595"/>
    <mergeCell ref="K1595:L1595"/>
    <mergeCell ref="M1593:N1593"/>
    <mergeCell ref="O1593:P1593"/>
    <mergeCell ref="A1594:B1594"/>
    <mergeCell ref="C1594:D1594"/>
    <mergeCell ref="E1594:F1594"/>
    <mergeCell ref="G1594:H1594"/>
    <mergeCell ref="I1594:J1594"/>
    <mergeCell ref="K1594:L1594"/>
    <mergeCell ref="M1594:N1594"/>
    <mergeCell ref="O1594:P1594"/>
    <mergeCell ref="A1593:B1593"/>
    <mergeCell ref="C1593:D1593"/>
    <mergeCell ref="E1593:F1593"/>
    <mergeCell ref="G1593:H1593"/>
    <mergeCell ref="I1593:J1593"/>
    <mergeCell ref="K1593:L1593"/>
    <mergeCell ref="M1591:N1591"/>
    <mergeCell ref="O1591:P1591"/>
    <mergeCell ref="A1592:B1592"/>
    <mergeCell ref="C1592:D1592"/>
    <mergeCell ref="E1592:F1592"/>
    <mergeCell ref="G1592:H1592"/>
    <mergeCell ref="I1592:J1592"/>
    <mergeCell ref="K1592:L1592"/>
    <mergeCell ref="M1592:N1592"/>
    <mergeCell ref="O1592:P1592"/>
    <mergeCell ref="A1591:B1591"/>
    <mergeCell ref="C1591:D1591"/>
    <mergeCell ref="E1591:F1591"/>
    <mergeCell ref="G1591:H1591"/>
    <mergeCell ref="I1591:J1591"/>
    <mergeCell ref="K1591:L1591"/>
    <mergeCell ref="M1601:N1601"/>
    <mergeCell ref="O1601:P1601"/>
    <mergeCell ref="A1602:B1602"/>
    <mergeCell ref="C1602:D1602"/>
    <mergeCell ref="E1602:F1602"/>
    <mergeCell ref="G1602:H1602"/>
    <mergeCell ref="I1602:J1602"/>
    <mergeCell ref="K1602:L1602"/>
    <mergeCell ref="M1602:N1602"/>
    <mergeCell ref="O1602:P1602"/>
    <mergeCell ref="A1601:B1601"/>
    <mergeCell ref="C1601:D1601"/>
    <mergeCell ref="E1601:F1601"/>
    <mergeCell ref="G1601:H1601"/>
    <mergeCell ref="I1601:J1601"/>
    <mergeCell ref="K1601:L1601"/>
    <mergeCell ref="M1599:N1599"/>
    <mergeCell ref="O1599:P1599"/>
    <mergeCell ref="A1600:B1600"/>
    <mergeCell ref="C1600:D1600"/>
    <mergeCell ref="E1600:F1600"/>
    <mergeCell ref="G1600:H1600"/>
    <mergeCell ref="I1600:J1600"/>
    <mergeCell ref="K1600:L1600"/>
    <mergeCell ref="M1600:N1600"/>
    <mergeCell ref="O1600:P1600"/>
    <mergeCell ref="A1599:B1599"/>
    <mergeCell ref="C1599:D1599"/>
    <mergeCell ref="E1599:F1599"/>
    <mergeCell ref="G1599:H1599"/>
    <mergeCell ref="I1599:J1599"/>
    <mergeCell ref="K1599:L1599"/>
    <mergeCell ref="M1597:N1597"/>
    <mergeCell ref="O1597:P1597"/>
    <mergeCell ref="A1598:B1598"/>
    <mergeCell ref="C1598:D1598"/>
    <mergeCell ref="E1598:F1598"/>
    <mergeCell ref="G1598:H1598"/>
    <mergeCell ref="I1598:J1598"/>
    <mergeCell ref="K1598:L1598"/>
    <mergeCell ref="M1598:N1598"/>
    <mergeCell ref="O1598:P1598"/>
    <mergeCell ref="A1597:B1597"/>
    <mergeCell ref="C1597:D1597"/>
    <mergeCell ref="E1597:F1597"/>
    <mergeCell ref="G1597:H1597"/>
    <mergeCell ref="I1597:J1597"/>
    <mergeCell ref="K1597:L1597"/>
    <mergeCell ref="M1607:N1607"/>
    <mergeCell ref="O1607:P1607"/>
    <mergeCell ref="A1608:B1608"/>
    <mergeCell ref="C1608:D1608"/>
    <mergeCell ref="E1608:F1608"/>
    <mergeCell ref="G1608:H1608"/>
    <mergeCell ref="I1608:J1608"/>
    <mergeCell ref="K1608:L1608"/>
    <mergeCell ref="M1608:N1608"/>
    <mergeCell ref="O1608:P1608"/>
    <mergeCell ref="A1607:B1607"/>
    <mergeCell ref="C1607:D1607"/>
    <mergeCell ref="E1607:F1607"/>
    <mergeCell ref="G1607:H1607"/>
    <mergeCell ref="I1607:J1607"/>
    <mergeCell ref="K1607:L1607"/>
    <mergeCell ref="M1605:N1605"/>
    <mergeCell ref="O1605:P1605"/>
    <mergeCell ref="A1606:B1606"/>
    <mergeCell ref="C1606:D1606"/>
    <mergeCell ref="E1606:F1606"/>
    <mergeCell ref="G1606:H1606"/>
    <mergeCell ref="I1606:J1606"/>
    <mergeCell ref="K1606:L1606"/>
    <mergeCell ref="M1606:N1606"/>
    <mergeCell ref="O1606:P1606"/>
    <mergeCell ref="A1605:B1605"/>
    <mergeCell ref="C1605:D1605"/>
    <mergeCell ref="E1605:F1605"/>
    <mergeCell ref="G1605:H1605"/>
    <mergeCell ref="I1605:J1605"/>
    <mergeCell ref="K1605:L1605"/>
    <mergeCell ref="M1603:N1603"/>
    <mergeCell ref="O1603:P1603"/>
    <mergeCell ref="A1604:B1604"/>
    <mergeCell ref="C1604:D1604"/>
    <mergeCell ref="E1604:F1604"/>
    <mergeCell ref="G1604:H1604"/>
    <mergeCell ref="I1604:J1604"/>
    <mergeCell ref="K1604:L1604"/>
    <mergeCell ref="M1604:N1604"/>
    <mergeCell ref="O1604:P1604"/>
    <mergeCell ref="A1603:B1603"/>
    <mergeCell ref="C1603:D1603"/>
    <mergeCell ref="E1603:F1603"/>
    <mergeCell ref="G1603:H1603"/>
    <mergeCell ref="I1603:J1603"/>
    <mergeCell ref="K1603:L1603"/>
    <mergeCell ref="M1613:N1613"/>
    <mergeCell ref="O1613:P1613"/>
    <mergeCell ref="A1614:B1614"/>
    <mergeCell ref="C1614:D1614"/>
    <mergeCell ref="E1614:F1614"/>
    <mergeCell ref="G1614:H1614"/>
    <mergeCell ref="I1614:J1614"/>
    <mergeCell ref="K1614:L1614"/>
    <mergeCell ref="M1614:N1614"/>
    <mergeCell ref="O1614:P1614"/>
    <mergeCell ref="A1613:B1613"/>
    <mergeCell ref="C1613:D1613"/>
    <mergeCell ref="E1613:F1613"/>
    <mergeCell ref="G1613:H1613"/>
    <mergeCell ref="I1613:J1613"/>
    <mergeCell ref="K1613:L1613"/>
    <mergeCell ref="M1611:N1611"/>
    <mergeCell ref="O1611:P1611"/>
    <mergeCell ref="A1612:B1612"/>
    <mergeCell ref="C1612:D1612"/>
    <mergeCell ref="E1612:F1612"/>
    <mergeCell ref="G1612:H1612"/>
    <mergeCell ref="I1612:J1612"/>
    <mergeCell ref="K1612:L1612"/>
    <mergeCell ref="M1612:N1612"/>
    <mergeCell ref="O1612:P1612"/>
    <mergeCell ref="A1611:B1611"/>
    <mergeCell ref="C1611:D1611"/>
    <mergeCell ref="E1611:F1611"/>
    <mergeCell ref="G1611:H1611"/>
    <mergeCell ref="I1611:J1611"/>
    <mergeCell ref="K1611:L1611"/>
    <mergeCell ref="M1609:N1609"/>
    <mergeCell ref="O1609:P1609"/>
    <mergeCell ref="A1610:B1610"/>
    <mergeCell ref="C1610:D1610"/>
    <mergeCell ref="E1610:F1610"/>
    <mergeCell ref="G1610:H1610"/>
    <mergeCell ref="I1610:J1610"/>
    <mergeCell ref="K1610:L1610"/>
    <mergeCell ref="M1610:N1610"/>
    <mergeCell ref="O1610:P1610"/>
    <mergeCell ref="A1609:B1609"/>
    <mergeCell ref="C1609:D1609"/>
    <mergeCell ref="E1609:F1609"/>
    <mergeCell ref="G1609:H1609"/>
    <mergeCell ref="I1609:J1609"/>
    <mergeCell ref="K1609:L1609"/>
    <mergeCell ref="M1619:N1619"/>
    <mergeCell ref="O1619:P1619"/>
    <mergeCell ref="A1620:B1620"/>
    <mergeCell ref="C1620:D1620"/>
    <mergeCell ref="E1620:F1620"/>
    <mergeCell ref="G1620:H1620"/>
    <mergeCell ref="I1620:J1620"/>
    <mergeCell ref="K1620:L1620"/>
    <mergeCell ref="M1620:N1620"/>
    <mergeCell ref="O1620:P1620"/>
    <mergeCell ref="A1619:B1619"/>
    <mergeCell ref="C1619:D1619"/>
    <mergeCell ref="E1619:F1619"/>
    <mergeCell ref="G1619:H1619"/>
    <mergeCell ref="I1619:J1619"/>
    <mergeCell ref="K1619:L1619"/>
    <mergeCell ref="M1617:N1617"/>
    <mergeCell ref="O1617:P1617"/>
    <mergeCell ref="A1618:B1618"/>
    <mergeCell ref="C1618:D1618"/>
    <mergeCell ref="E1618:F1618"/>
    <mergeCell ref="G1618:H1618"/>
    <mergeCell ref="I1618:J1618"/>
    <mergeCell ref="K1618:L1618"/>
    <mergeCell ref="M1618:N1618"/>
    <mergeCell ref="O1618:P1618"/>
    <mergeCell ref="A1617:B1617"/>
    <mergeCell ref="C1617:D1617"/>
    <mergeCell ref="E1617:F1617"/>
    <mergeCell ref="G1617:H1617"/>
    <mergeCell ref="I1617:J1617"/>
    <mergeCell ref="K1617:L1617"/>
    <mergeCell ref="M1615:N1615"/>
    <mergeCell ref="O1615:P1615"/>
    <mergeCell ref="A1616:B1616"/>
    <mergeCell ref="C1616:D1616"/>
    <mergeCell ref="E1616:F1616"/>
    <mergeCell ref="G1616:H1616"/>
    <mergeCell ref="I1616:J1616"/>
    <mergeCell ref="K1616:L1616"/>
    <mergeCell ref="M1616:N1616"/>
    <mergeCell ref="O1616:P1616"/>
    <mergeCell ref="A1615:B1615"/>
    <mergeCell ref="C1615:D1615"/>
    <mergeCell ref="E1615:F1615"/>
    <mergeCell ref="G1615:H1615"/>
    <mergeCell ref="I1615:J1615"/>
    <mergeCell ref="K1615:L1615"/>
    <mergeCell ref="M1625:N1625"/>
    <mergeCell ref="O1625:P1625"/>
    <mergeCell ref="A1626:B1626"/>
    <mergeCell ref="C1626:D1626"/>
    <mergeCell ref="E1626:F1626"/>
    <mergeCell ref="G1626:H1626"/>
    <mergeCell ref="I1626:J1626"/>
    <mergeCell ref="K1626:L1626"/>
    <mergeCell ref="M1626:N1626"/>
    <mergeCell ref="O1626:P1626"/>
    <mergeCell ref="A1625:B1625"/>
    <mergeCell ref="C1625:D1625"/>
    <mergeCell ref="E1625:F1625"/>
    <mergeCell ref="G1625:H1625"/>
    <mergeCell ref="I1625:J1625"/>
    <mergeCell ref="K1625:L1625"/>
    <mergeCell ref="M1623:N1623"/>
    <mergeCell ref="O1623:P1623"/>
    <mergeCell ref="A1624:B1624"/>
    <mergeCell ref="C1624:D1624"/>
    <mergeCell ref="E1624:F1624"/>
    <mergeCell ref="G1624:H1624"/>
    <mergeCell ref="I1624:J1624"/>
    <mergeCell ref="K1624:L1624"/>
    <mergeCell ref="M1624:N1624"/>
    <mergeCell ref="O1624:P1624"/>
    <mergeCell ref="A1623:B1623"/>
    <mergeCell ref="C1623:D1623"/>
    <mergeCell ref="E1623:F1623"/>
    <mergeCell ref="G1623:H1623"/>
    <mergeCell ref="I1623:J1623"/>
    <mergeCell ref="K1623:L1623"/>
    <mergeCell ref="M1621:N1621"/>
    <mergeCell ref="O1621:P1621"/>
    <mergeCell ref="A1622:B1622"/>
    <mergeCell ref="C1622:D1622"/>
    <mergeCell ref="E1622:F1622"/>
    <mergeCell ref="G1622:H1622"/>
    <mergeCell ref="I1622:J1622"/>
    <mergeCell ref="K1622:L1622"/>
    <mergeCell ref="M1622:N1622"/>
    <mergeCell ref="O1622:P1622"/>
    <mergeCell ref="A1621:B1621"/>
    <mergeCell ref="C1621:D1621"/>
    <mergeCell ref="E1621:F1621"/>
    <mergeCell ref="G1621:H1621"/>
    <mergeCell ref="I1621:J1621"/>
    <mergeCell ref="K1621:L1621"/>
    <mergeCell ref="M1631:N1631"/>
    <mergeCell ref="O1631:P1631"/>
    <mergeCell ref="A1632:B1632"/>
    <mergeCell ref="C1632:D1632"/>
    <mergeCell ref="E1632:F1632"/>
    <mergeCell ref="G1632:H1632"/>
    <mergeCell ref="I1632:J1632"/>
    <mergeCell ref="K1632:L1632"/>
    <mergeCell ref="M1632:N1632"/>
    <mergeCell ref="O1632:P1632"/>
    <mergeCell ref="A1631:B1631"/>
    <mergeCell ref="C1631:D1631"/>
    <mergeCell ref="E1631:F1631"/>
    <mergeCell ref="G1631:H1631"/>
    <mergeCell ref="I1631:J1631"/>
    <mergeCell ref="K1631:L1631"/>
    <mergeCell ref="M1629:N1629"/>
    <mergeCell ref="O1629:P1629"/>
    <mergeCell ref="A1630:B1630"/>
    <mergeCell ref="C1630:D1630"/>
    <mergeCell ref="E1630:F1630"/>
    <mergeCell ref="G1630:H1630"/>
    <mergeCell ref="I1630:J1630"/>
    <mergeCell ref="K1630:L1630"/>
    <mergeCell ref="M1630:N1630"/>
    <mergeCell ref="O1630:P1630"/>
    <mergeCell ref="A1629:B1629"/>
    <mergeCell ref="C1629:D1629"/>
    <mergeCell ref="E1629:F1629"/>
    <mergeCell ref="G1629:H1629"/>
    <mergeCell ref="I1629:J1629"/>
    <mergeCell ref="K1629:L1629"/>
    <mergeCell ref="M1627:N1627"/>
    <mergeCell ref="O1627:P1627"/>
    <mergeCell ref="A1628:B1628"/>
    <mergeCell ref="C1628:D1628"/>
    <mergeCell ref="E1628:F1628"/>
    <mergeCell ref="G1628:H1628"/>
    <mergeCell ref="I1628:J1628"/>
    <mergeCell ref="K1628:L1628"/>
    <mergeCell ref="M1628:N1628"/>
    <mergeCell ref="O1628:P1628"/>
    <mergeCell ref="A1627:B1627"/>
    <mergeCell ref="C1627:D1627"/>
    <mergeCell ref="E1627:F1627"/>
    <mergeCell ref="G1627:H1627"/>
    <mergeCell ref="I1627:J1627"/>
    <mergeCell ref="K1627:L1627"/>
    <mergeCell ref="M1637:N1637"/>
    <mergeCell ref="O1637:P1637"/>
    <mergeCell ref="A1638:B1638"/>
    <mergeCell ref="C1638:D1638"/>
    <mergeCell ref="E1638:F1638"/>
    <mergeCell ref="G1638:H1638"/>
    <mergeCell ref="I1638:J1638"/>
    <mergeCell ref="K1638:L1638"/>
    <mergeCell ref="M1638:N1638"/>
    <mergeCell ref="O1638:P1638"/>
    <mergeCell ref="A1637:B1637"/>
    <mergeCell ref="C1637:D1637"/>
    <mergeCell ref="E1637:F1637"/>
    <mergeCell ref="G1637:H1637"/>
    <mergeCell ref="I1637:J1637"/>
    <mergeCell ref="K1637:L1637"/>
    <mergeCell ref="M1635:N1635"/>
    <mergeCell ref="O1635:P1635"/>
    <mergeCell ref="A1636:B1636"/>
    <mergeCell ref="C1636:D1636"/>
    <mergeCell ref="E1636:F1636"/>
    <mergeCell ref="G1636:H1636"/>
    <mergeCell ref="I1636:J1636"/>
    <mergeCell ref="K1636:L1636"/>
    <mergeCell ref="M1636:N1636"/>
    <mergeCell ref="O1636:P1636"/>
    <mergeCell ref="A1635:B1635"/>
    <mergeCell ref="C1635:D1635"/>
    <mergeCell ref="E1635:F1635"/>
    <mergeCell ref="G1635:H1635"/>
    <mergeCell ref="I1635:J1635"/>
    <mergeCell ref="K1635:L1635"/>
    <mergeCell ref="M1633:N1633"/>
    <mergeCell ref="O1633:P1633"/>
    <mergeCell ref="A1634:B1634"/>
    <mergeCell ref="C1634:D1634"/>
    <mergeCell ref="E1634:F1634"/>
    <mergeCell ref="G1634:H1634"/>
    <mergeCell ref="I1634:J1634"/>
    <mergeCell ref="K1634:L1634"/>
    <mergeCell ref="M1634:N1634"/>
    <mergeCell ref="O1634:P1634"/>
    <mergeCell ref="A1633:B1633"/>
    <mergeCell ref="C1633:D1633"/>
    <mergeCell ref="E1633:F1633"/>
    <mergeCell ref="G1633:H1633"/>
    <mergeCell ref="I1633:J1633"/>
    <mergeCell ref="K1633:L1633"/>
    <mergeCell ref="M1643:N1643"/>
    <mergeCell ref="O1643:P1643"/>
    <mergeCell ref="A1644:B1644"/>
    <mergeCell ref="C1644:D1644"/>
    <mergeCell ref="E1644:F1644"/>
    <mergeCell ref="G1644:H1644"/>
    <mergeCell ref="I1644:J1644"/>
    <mergeCell ref="K1644:L1644"/>
    <mergeCell ref="M1644:N1644"/>
    <mergeCell ref="O1644:P1644"/>
    <mergeCell ref="A1643:B1643"/>
    <mergeCell ref="C1643:D1643"/>
    <mergeCell ref="E1643:F1643"/>
    <mergeCell ref="G1643:H1643"/>
    <mergeCell ref="I1643:J1643"/>
    <mergeCell ref="K1643:L1643"/>
    <mergeCell ref="M1641:N1641"/>
    <mergeCell ref="O1641:P1641"/>
    <mergeCell ref="A1642:B1642"/>
    <mergeCell ref="C1642:D1642"/>
    <mergeCell ref="E1642:F1642"/>
    <mergeCell ref="G1642:H1642"/>
    <mergeCell ref="I1642:J1642"/>
    <mergeCell ref="K1642:L1642"/>
    <mergeCell ref="M1642:N1642"/>
    <mergeCell ref="O1642:P1642"/>
    <mergeCell ref="A1641:B1641"/>
    <mergeCell ref="C1641:D1641"/>
    <mergeCell ref="E1641:F1641"/>
    <mergeCell ref="G1641:H1641"/>
    <mergeCell ref="I1641:J1641"/>
    <mergeCell ref="K1641:L1641"/>
    <mergeCell ref="M1639:N1639"/>
    <mergeCell ref="O1639:P1639"/>
    <mergeCell ref="A1640:B1640"/>
    <mergeCell ref="C1640:D1640"/>
    <mergeCell ref="E1640:F1640"/>
    <mergeCell ref="G1640:H1640"/>
    <mergeCell ref="I1640:J1640"/>
    <mergeCell ref="K1640:L1640"/>
    <mergeCell ref="M1640:N1640"/>
    <mergeCell ref="O1640:P1640"/>
    <mergeCell ref="A1639:B1639"/>
    <mergeCell ref="C1639:D1639"/>
    <mergeCell ref="E1639:F1639"/>
    <mergeCell ref="G1639:H1639"/>
    <mergeCell ref="I1639:J1639"/>
    <mergeCell ref="K1639:L1639"/>
    <mergeCell ref="M1649:N1649"/>
    <mergeCell ref="O1649:P1649"/>
    <mergeCell ref="A1650:B1650"/>
    <mergeCell ref="C1650:D1650"/>
    <mergeCell ref="E1650:F1650"/>
    <mergeCell ref="G1650:H1650"/>
    <mergeCell ref="I1650:J1650"/>
    <mergeCell ref="K1650:L1650"/>
    <mergeCell ref="M1650:N1650"/>
    <mergeCell ref="O1650:P1650"/>
    <mergeCell ref="A1649:B1649"/>
    <mergeCell ref="C1649:D1649"/>
    <mergeCell ref="E1649:F1649"/>
    <mergeCell ref="G1649:H1649"/>
    <mergeCell ref="I1649:J1649"/>
    <mergeCell ref="K1649:L1649"/>
    <mergeCell ref="M1647:N1647"/>
    <mergeCell ref="O1647:P1647"/>
    <mergeCell ref="A1648:B1648"/>
    <mergeCell ref="C1648:D1648"/>
    <mergeCell ref="E1648:F1648"/>
    <mergeCell ref="G1648:H1648"/>
    <mergeCell ref="I1648:J1648"/>
    <mergeCell ref="K1648:L1648"/>
    <mergeCell ref="M1648:N1648"/>
    <mergeCell ref="O1648:P1648"/>
    <mergeCell ref="A1647:B1647"/>
    <mergeCell ref="C1647:D1647"/>
    <mergeCell ref="E1647:F1647"/>
    <mergeCell ref="G1647:H1647"/>
    <mergeCell ref="I1647:J1647"/>
    <mergeCell ref="K1647:L1647"/>
    <mergeCell ref="M1645:N1645"/>
    <mergeCell ref="O1645:P1645"/>
    <mergeCell ref="A1646:B1646"/>
    <mergeCell ref="C1646:D1646"/>
    <mergeCell ref="E1646:F1646"/>
    <mergeCell ref="G1646:H1646"/>
    <mergeCell ref="I1646:J1646"/>
    <mergeCell ref="K1646:L1646"/>
    <mergeCell ref="M1646:N1646"/>
    <mergeCell ref="O1646:P1646"/>
    <mergeCell ref="A1645:B1645"/>
    <mergeCell ref="C1645:D1645"/>
    <mergeCell ref="E1645:F1645"/>
    <mergeCell ref="G1645:H1645"/>
    <mergeCell ref="I1645:J1645"/>
    <mergeCell ref="K1645:L1645"/>
    <mergeCell ref="M1655:N1655"/>
    <mergeCell ref="O1655:P1655"/>
    <mergeCell ref="A1656:B1656"/>
    <mergeCell ref="C1656:D1656"/>
    <mergeCell ref="E1656:F1656"/>
    <mergeCell ref="G1656:H1656"/>
    <mergeCell ref="I1656:J1656"/>
    <mergeCell ref="K1656:L1656"/>
    <mergeCell ref="M1656:N1656"/>
    <mergeCell ref="O1656:P1656"/>
    <mergeCell ref="A1655:B1655"/>
    <mergeCell ref="C1655:D1655"/>
    <mergeCell ref="E1655:F1655"/>
    <mergeCell ref="G1655:H1655"/>
    <mergeCell ref="I1655:J1655"/>
    <mergeCell ref="K1655:L1655"/>
    <mergeCell ref="M1653:N1653"/>
    <mergeCell ref="O1653:P1653"/>
    <mergeCell ref="A1654:B1654"/>
    <mergeCell ref="C1654:D1654"/>
    <mergeCell ref="E1654:F1654"/>
    <mergeCell ref="G1654:H1654"/>
    <mergeCell ref="I1654:J1654"/>
    <mergeCell ref="K1654:L1654"/>
    <mergeCell ref="M1654:N1654"/>
    <mergeCell ref="O1654:P1654"/>
    <mergeCell ref="A1653:B1653"/>
    <mergeCell ref="C1653:D1653"/>
    <mergeCell ref="E1653:F1653"/>
    <mergeCell ref="G1653:H1653"/>
    <mergeCell ref="I1653:J1653"/>
    <mergeCell ref="K1653:L1653"/>
    <mergeCell ref="M1651:N1651"/>
    <mergeCell ref="O1651:P1651"/>
    <mergeCell ref="A1652:B1652"/>
    <mergeCell ref="C1652:D1652"/>
    <mergeCell ref="E1652:F1652"/>
    <mergeCell ref="G1652:H1652"/>
    <mergeCell ref="I1652:J1652"/>
    <mergeCell ref="K1652:L1652"/>
    <mergeCell ref="M1652:N1652"/>
    <mergeCell ref="O1652:P1652"/>
    <mergeCell ref="A1651:B1651"/>
    <mergeCell ref="C1651:D1651"/>
    <mergeCell ref="E1651:F1651"/>
    <mergeCell ref="G1651:H1651"/>
    <mergeCell ref="I1651:J1651"/>
    <mergeCell ref="K1651:L1651"/>
    <mergeCell ref="M1661:N1661"/>
    <mergeCell ref="O1661:P1661"/>
    <mergeCell ref="A1662:B1662"/>
    <mergeCell ref="C1662:D1662"/>
    <mergeCell ref="E1662:F1662"/>
    <mergeCell ref="G1662:H1662"/>
    <mergeCell ref="I1662:J1662"/>
    <mergeCell ref="K1662:L1662"/>
    <mergeCell ref="M1662:N1662"/>
    <mergeCell ref="O1662:P1662"/>
    <mergeCell ref="A1661:B1661"/>
    <mergeCell ref="C1661:D1661"/>
    <mergeCell ref="E1661:F1661"/>
    <mergeCell ref="G1661:H1661"/>
    <mergeCell ref="I1661:J1661"/>
    <mergeCell ref="K1661:L1661"/>
    <mergeCell ref="M1659:N1659"/>
    <mergeCell ref="O1659:P1659"/>
    <mergeCell ref="A1660:B1660"/>
    <mergeCell ref="C1660:D1660"/>
    <mergeCell ref="E1660:F1660"/>
    <mergeCell ref="G1660:H1660"/>
    <mergeCell ref="I1660:J1660"/>
    <mergeCell ref="K1660:L1660"/>
    <mergeCell ref="M1660:N1660"/>
    <mergeCell ref="O1660:P1660"/>
    <mergeCell ref="A1659:B1659"/>
    <mergeCell ref="C1659:D1659"/>
    <mergeCell ref="E1659:F1659"/>
    <mergeCell ref="G1659:H1659"/>
    <mergeCell ref="I1659:J1659"/>
    <mergeCell ref="K1659:L1659"/>
    <mergeCell ref="M1657:N1657"/>
    <mergeCell ref="O1657:P1657"/>
    <mergeCell ref="A1658:B1658"/>
    <mergeCell ref="C1658:D1658"/>
    <mergeCell ref="E1658:F1658"/>
    <mergeCell ref="G1658:H1658"/>
    <mergeCell ref="I1658:J1658"/>
    <mergeCell ref="K1658:L1658"/>
    <mergeCell ref="M1658:N1658"/>
    <mergeCell ref="O1658:P1658"/>
    <mergeCell ref="A1657:B1657"/>
    <mergeCell ref="C1657:D1657"/>
    <mergeCell ref="E1657:F1657"/>
    <mergeCell ref="G1657:H1657"/>
    <mergeCell ref="I1657:J1657"/>
    <mergeCell ref="K1657:L1657"/>
    <mergeCell ref="M1667:N1667"/>
    <mergeCell ref="O1667:P1667"/>
    <mergeCell ref="A1668:B1668"/>
    <mergeCell ref="C1668:D1668"/>
    <mergeCell ref="E1668:F1668"/>
    <mergeCell ref="G1668:H1668"/>
    <mergeCell ref="I1668:J1668"/>
    <mergeCell ref="K1668:L1668"/>
    <mergeCell ref="M1668:N1668"/>
    <mergeCell ref="O1668:P1668"/>
    <mergeCell ref="A1667:B1667"/>
    <mergeCell ref="C1667:D1667"/>
    <mergeCell ref="E1667:F1667"/>
    <mergeCell ref="G1667:H1667"/>
    <mergeCell ref="I1667:J1667"/>
    <mergeCell ref="K1667:L1667"/>
    <mergeCell ref="M1665:N1665"/>
    <mergeCell ref="O1665:P1665"/>
    <mergeCell ref="A1666:B1666"/>
    <mergeCell ref="C1666:D1666"/>
    <mergeCell ref="E1666:F1666"/>
    <mergeCell ref="G1666:H1666"/>
    <mergeCell ref="I1666:J1666"/>
    <mergeCell ref="K1666:L1666"/>
    <mergeCell ref="M1666:N1666"/>
    <mergeCell ref="O1666:P1666"/>
    <mergeCell ref="A1665:B1665"/>
    <mergeCell ref="C1665:D1665"/>
    <mergeCell ref="E1665:F1665"/>
    <mergeCell ref="G1665:H1665"/>
    <mergeCell ref="I1665:J1665"/>
    <mergeCell ref="K1665:L1665"/>
    <mergeCell ref="M1663:N1663"/>
    <mergeCell ref="O1663:P1663"/>
    <mergeCell ref="A1664:B1664"/>
    <mergeCell ref="C1664:D1664"/>
    <mergeCell ref="E1664:F1664"/>
    <mergeCell ref="G1664:H1664"/>
    <mergeCell ref="I1664:J1664"/>
    <mergeCell ref="K1664:L1664"/>
    <mergeCell ref="M1664:N1664"/>
    <mergeCell ref="O1664:P1664"/>
    <mergeCell ref="A1663:B1663"/>
    <mergeCell ref="C1663:D1663"/>
    <mergeCell ref="E1663:F1663"/>
    <mergeCell ref="G1663:H1663"/>
    <mergeCell ref="I1663:J1663"/>
    <mergeCell ref="K1663:L1663"/>
    <mergeCell ref="M1673:N1673"/>
    <mergeCell ref="O1673:P1673"/>
    <mergeCell ref="A1674:B1674"/>
    <mergeCell ref="C1674:D1674"/>
    <mergeCell ref="E1674:F1674"/>
    <mergeCell ref="G1674:H1674"/>
    <mergeCell ref="I1674:J1674"/>
    <mergeCell ref="K1674:L1674"/>
    <mergeCell ref="M1674:N1674"/>
    <mergeCell ref="O1674:P1674"/>
    <mergeCell ref="A1673:B1673"/>
    <mergeCell ref="C1673:D1673"/>
    <mergeCell ref="E1673:F1673"/>
    <mergeCell ref="G1673:H1673"/>
    <mergeCell ref="I1673:J1673"/>
    <mergeCell ref="K1673:L1673"/>
    <mergeCell ref="M1671:N1671"/>
    <mergeCell ref="O1671:P1671"/>
    <mergeCell ref="A1672:B1672"/>
    <mergeCell ref="C1672:D1672"/>
    <mergeCell ref="E1672:F1672"/>
    <mergeCell ref="G1672:H1672"/>
    <mergeCell ref="I1672:J1672"/>
    <mergeCell ref="K1672:L1672"/>
    <mergeCell ref="M1672:N1672"/>
    <mergeCell ref="O1672:P1672"/>
    <mergeCell ref="A1671:B1671"/>
    <mergeCell ref="C1671:D1671"/>
    <mergeCell ref="E1671:F1671"/>
    <mergeCell ref="G1671:H1671"/>
    <mergeCell ref="I1671:J1671"/>
    <mergeCell ref="K1671:L1671"/>
    <mergeCell ref="M1669:N1669"/>
    <mergeCell ref="O1669:P1669"/>
    <mergeCell ref="A1670:B1670"/>
    <mergeCell ref="C1670:D1670"/>
    <mergeCell ref="E1670:F1670"/>
    <mergeCell ref="G1670:H1670"/>
    <mergeCell ref="I1670:J1670"/>
    <mergeCell ref="K1670:L1670"/>
    <mergeCell ref="M1670:N1670"/>
    <mergeCell ref="O1670:P1670"/>
    <mergeCell ref="A1669:B1669"/>
    <mergeCell ref="C1669:D1669"/>
    <mergeCell ref="E1669:F1669"/>
    <mergeCell ref="G1669:H1669"/>
    <mergeCell ref="I1669:J1669"/>
    <mergeCell ref="K1669:L1669"/>
    <mergeCell ref="M1679:N1679"/>
    <mergeCell ref="O1679:P1679"/>
    <mergeCell ref="A1680:B1680"/>
    <mergeCell ref="C1680:D1680"/>
    <mergeCell ref="E1680:F1680"/>
    <mergeCell ref="G1680:H1680"/>
    <mergeCell ref="I1680:J1680"/>
    <mergeCell ref="K1680:L1680"/>
    <mergeCell ref="M1680:N1680"/>
    <mergeCell ref="O1680:P1680"/>
    <mergeCell ref="A1679:B1679"/>
    <mergeCell ref="C1679:D1679"/>
    <mergeCell ref="E1679:F1679"/>
    <mergeCell ref="G1679:H1679"/>
    <mergeCell ref="I1679:J1679"/>
    <mergeCell ref="K1679:L1679"/>
    <mergeCell ref="M1677:N1677"/>
    <mergeCell ref="O1677:P1677"/>
    <mergeCell ref="A1678:B1678"/>
    <mergeCell ref="C1678:D1678"/>
    <mergeCell ref="E1678:F1678"/>
    <mergeCell ref="G1678:H1678"/>
    <mergeCell ref="I1678:J1678"/>
    <mergeCell ref="K1678:L1678"/>
    <mergeCell ref="M1678:N1678"/>
    <mergeCell ref="O1678:P1678"/>
    <mergeCell ref="A1677:B1677"/>
    <mergeCell ref="C1677:D1677"/>
    <mergeCell ref="E1677:F1677"/>
    <mergeCell ref="G1677:H1677"/>
    <mergeCell ref="I1677:J1677"/>
    <mergeCell ref="K1677:L1677"/>
    <mergeCell ref="M1675:N1675"/>
    <mergeCell ref="O1675:P1675"/>
    <mergeCell ref="A1676:B1676"/>
    <mergeCell ref="C1676:D1676"/>
    <mergeCell ref="E1676:F1676"/>
    <mergeCell ref="G1676:H1676"/>
    <mergeCell ref="I1676:J1676"/>
    <mergeCell ref="K1676:L1676"/>
    <mergeCell ref="M1676:N1676"/>
    <mergeCell ref="O1676:P1676"/>
    <mergeCell ref="A1675:B1675"/>
    <mergeCell ref="C1675:D1675"/>
    <mergeCell ref="E1675:F1675"/>
    <mergeCell ref="G1675:H1675"/>
    <mergeCell ref="I1675:J1675"/>
    <mergeCell ref="K1675:L1675"/>
    <mergeCell ref="M1685:N1685"/>
    <mergeCell ref="O1685:P1685"/>
    <mergeCell ref="A1686:B1686"/>
    <mergeCell ref="C1686:D1686"/>
    <mergeCell ref="E1686:F1686"/>
    <mergeCell ref="G1686:H1686"/>
    <mergeCell ref="I1686:J1686"/>
    <mergeCell ref="K1686:L1686"/>
    <mergeCell ref="M1686:N1686"/>
    <mergeCell ref="O1686:P1686"/>
    <mergeCell ref="A1685:B1685"/>
    <mergeCell ref="C1685:D1685"/>
    <mergeCell ref="E1685:F1685"/>
    <mergeCell ref="G1685:H1685"/>
    <mergeCell ref="I1685:J1685"/>
    <mergeCell ref="K1685:L1685"/>
    <mergeCell ref="M1683:N1683"/>
    <mergeCell ref="O1683:P1683"/>
    <mergeCell ref="A1684:B1684"/>
    <mergeCell ref="C1684:D1684"/>
    <mergeCell ref="E1684:F1684"/>
    <mergeCell ref="G1684:H1684"/>
    <mergeCell ref="I1684:J1684"/>
    <mergeCell ref="K1684:L1684"/>
    <mergeCell ref="M1684:N1684"/>
    <mergeCell ref="O1684:P1684"/>
    <mergeCell ref="A1683:B1683"/>
    <mergeCell ref="C1683:D1683"/>
    <mergeCell ref="E1683:F1683"/>
    <mergeCell ref="G1683:H1683"/>
    <mergeCell ref="I1683:J1683"/>
    <mergeCell ref="K1683:L1683"/>
    <mergeCell ref="M1681:N1681"/>
    <mergeCell ref="O1681:P1681"/>
    <mergeCell ref="A1682:B1682"/>
    <mergeCell ref="C1682:D1682"/>
    <mergeCell ref="E1682:F1682"/>
    <mergeCell ref="G1682:H1682"/>
    <mergeCell ref="I1682:J1682"/>
    <mergeCell ref="K1682:L1682"/>
    <mergeCell ref="M1682:N1682"/>
    <mergeCell ref="O1682:P1682"/>
    <mergeCell ref="A1681:B1681"/>
    <mergeCell ref="C1681:D1681"/>
    <mergeCell ref="E1681:F1681"/>
    <mergeCell ref="G1681:H1681"/>
    <mergeCell ref="I1681:J1681"/>
    <mergeCell ref="K1681:L1681"/>
    <mergeCell ref="M1691:N1691"/>
    <mergeCell ref="O1691:P1691"/>
    <mergeCell ref="A1692:B1692"/>
    <mergeCell ref="C1692:D1692"/>
    <mergeCell ref="E1692:F1692"/>
    <mergeCell ref="G1692:H1692"/>
    <mergeCell ref="I1692:J1692"/>
    <mergeCell ref="K1692:L1692"/>
    <mergeCell ref="M1692:N1692"/>
    <mergeCell ref="O1692:P1692"/>
    <mergeCell ref="A1691:B1691"/>
    <mergeCell ref="C1691:D1691"/>
    <mergeCell ref="E1691:F1691"/>
    <mergeCell ref="G1691:H1691"/>
    <mergeCell ref="I1691:J1691"/>
    <mergeCell ref="K1691:L1691"/>
    <mergeCell ref="M1689:N1689"/>
    <mergeCell ref="O1689:P1689"/>
    <mergeCell ref="A1690:B1690"/>
    <mergeCell ref="C1690:D1690"/>
    <mergeCell ref="E1690:F1690"/>
    <mergeCell ref="G1690:H1690"/>
    <mergeCell ref="I1690:J1690"/>
    <mergeCell ref="K1690:L1690"/>
    <mergeCell ref="M1690:N1690"/>
    <mergeCell ref="O1690:P1690"/>
    <mergeCell ref="A1689:B1689"/>
    <mergeCell ref="C1689:D1689"/>
    <mergeCell ref="E1689:F1689"/>
    <mergeCell ref="G1689:H1689"/>
    <mergeCell ref="I1689:J1689"/>
    <mergeCell ref="K1689:L1689"/>
    <mergeCell ref="M1687:N1687"/>
    <mergeCell ref="O1687:P1687"/>
    <mergeCell ref="A1688:B1688"/>
    <mergeCell ref="C1688:D1688"/>
    <mergeCell ref="E1688:F1688"/>
    <mergeCell ref="G1688:H1688"/>
    <mergeCell ref="I1688:J1688"/>
    <mergeCell ref="K1688:L1688"/>
    <mergeCell ref="M1688:N1688"/>
    <mergeCell ref="O1688:P1688"/>
    <mergeCell ref="A1687:B1687"/>
    <mergeCell ref="C1687:D1687"/>
    <mergeCell ref="E1687:F1687"/>
    <mergeCell ref="G1687:H1687"/>
    <mergeCell ref="I1687:J1687"/>
    <mergeCell ref="K1687:L1687"/>
    <mergeCell ref="M1697:N1697"/>
    <mergeCell ref="O1697:P1697"/>
    <mergeCell ref="A1698:B1698"/>
    <mergeCell ref="C1698:D1698"/>
    <mergeCell ref="E1698:F1698"/>
    <mergeCell ref="G1698:H1698"/>
    <mergeCell ref="I1698:J1698"/>
    <mergeCell ref="K1698:L1698"/>
    <mergeCell ref="M1698:N1698"/>
    <mergeCell ref="O1698:P1698"/>
    <mergeCell ref="A1697:B1697"/>
    <mergeCell ref="C1697:D1697"/>
    <mergeCell ref="E1697:F1697"/>
    <mergeCell ref="G1697:H1697"/>
    <mergeCell ref="I1697:J1697"/>
    <mergeCell ref="K1697:L1697"/>
    <mergeCell ref="M1695:N1695"/>
    <mergeCell ref="O1695:P1695"/>
    <mergeCell ref="A1696:B1696"/>
    <mergeCell ref="C1696:D1696"/>
    <mergeCell ref="E1696:F1696"/>
    <mergeCell ref="G1696:H1696"/>
    <mergeCell ref="I1696:J1696"/>
    <mergeCell ref="K1696:L1696"/>
    <mergeCell ref="M1696:N1696"/>
    <mergeCell ref="O1696:P1696"/>
    <mergeCell ref="A1695:B1695"/>
    <mergeCell ref="C1695:D1695"/>
    <mergeCell ref="E1695:F1695"/>
    <mergeCell ref="G1695:H1695"/>
    <mergeCell ref="I1695:J1695"/>
    <mergeCell ref="K1695:L1695"/>
    <mergeCell ref="M1693:N1693"/>
    <mergeCell ref="O1693:P1693"/>
    <mergeCell ref="A1694:B1694"/>
    <mergeCell ref="C1694:D1694"/>
    <mergeCell ref="E1694:F1694"/>
    <mergeCell ref="G1694:H1694"/>
    <mergeCell ref="I1694:J1694"/>
    <mergeCell ref="K1694:L1694"/>
    <mergeCell ref="M1694:N1694"/>
    <mergeCell ref="O1694:P1694"/>
    <mergeCell ref="A1693:B1693"/>
    <mergeCell ref="C1693:D1693"/>
    <mergeCell ref="E1693:F1693"/>
    <mergeCell ref="G1693:H1693"/>
    <mergeCell ref="I1693:J1693"/>
    <mergeCell ref="K1693:L1693"/>
    <mergeCell ref="M1703:N1703"/>
    <mergeCell ref="O1703:P1703"/>
    <mergeCell ref="A1704:B1704"/>
    <mergeCell ref="C1704:D1704"/>
    <mergeCell ref="E1704:F1704"/>
    <mergeCell ref="G1704:H1704"/>
    <mergeCell ref="I1704:J1704"/>
    <mergeCell ref="K1704:L1704"/>
    <mergeCell ref="M1704:N1704"/>
    <mergeCell ref="O1704:P1704"/>
    <mergeCell ref="A1703:B1703"/>
    <mergeCell ref="C1703:D1703"/>
    <mergeCell ref="E1703:F1703"/>
    <mergeCell ref="G1703:H1703"/>
    <mergeCell ref="I1703:J1703"/>
    <mergeCell ref="K1703:L1703"/>
    <mergeCell ref="M1701:N1701"/>
    <mergeCell ref="O1701:P1701"/>
    <mergeCell ref="A1702:B1702"/>
    <mergeCell ref="C1702:D1702"/>
    <mergeCell ref="E1702:F1702"/>
    <mergeCell ref="G1702:H1702"/>
    <mergeCell ref="I1702:J1702"/>
    <mergeCell ref="K1702:L1702"/>
    <mergeCell ref="M1702:N1702"/>
    <mergeCell ref="O1702:P1702"/>
    <mergeCell ref="A1701:B1701"/>
    <mergeCell ref="C1701:D1701"/>
    <mergeCell ref="E1701:F1701"/>
    <mergeCell ref="G1701:H1701"/>
    <mergeCell ref="I1701:J1701"/>
    <mergeCell ref="K1701:L1701"/>
    <mergeCell ref="M1699:N1699"/>
    <mergeCell ref="O1699:P1699"/>
    <mergeCell ref="A1700:B1700"/>
    <mergeCell ref="C1700:D1700"/>
    <mergeCell ref="E1700:F1700"/>
    <mergeCell ref="G1700:H1700"/>
    <mergeCell ref="I1700:J1700"/>
    <mergeCell ref="K1700:L1700"/>
    <mergeCell ref="M1700:N1700"/>
    <mergeCell ref="O1700:P1700"/>
    <mergeCell ref="A1699:B1699"/>
    <mergeCell ref="C1699:D1699"/>
    <mergeCell ref="E1699:F1699"/>
    <mergeCell ref="G1699:H1699"/>
    <mergeCell ref="I1699:J1699"/>
    <mergeCell ref="K1699:L1699"/>
    <mergeCell ref="M1709:N1709"/>
    <mergeCell ref="O1709:P1709"/>
    <mergeCell ref="A1710:B1710"/>
    <mergeCell ref="C1710:D1710"/>
    <mergeCell ref="E1710:F1710"/>
    <mergeCell ref="G1710:H1710"/>
    <mergeCell ref="I1710:J1710"/>
    <mergeCell ref="K1710:L1710"/>
    <mergeCell ref="M1710:N1710"/>
    <mergeCell ref="O1710:P1710"/>
    <mergeCell ref="A1709:B1709"/>
    <mergeCell ref="C1709:D1709"/>
    <mergeCell ref="E1709:F1709"/>
    <mergeCell ref="G1709:H1709"/>
    <mergeCell ref="I1709:J1709"/>
    <mergeCell ref="K1709:L1709"/>
    <mergeCell ref="M1707:N1707"/>
    <mergeCell ref="O1707:P1707"/>
    <mergeCell ref="A1708:B1708"/>
    <mergeCell ref="C1708:D1708"/>
    <mergeCell ref="E1708:F1708"/>
    <mergeCell ref="G1708:H1708"/>
    <mergeCell ref="I1708:J1708"/>
    <mergeCell ref="K1708:L1708"/>
    <mergeCell ref="M1708:N1708"/>
    <mergeCell ref="O1708:P1708"/>
    <mergeCell ref="A1707:B1707"/>
    <mergeCell ref="C1707:D1707"/>
    <mergeCell ref="E1707:F1707"/>
    <mergeCell ref="G1707:H1707"/>
    <mergeCell ref="I1707:J1707"/>
    <mergeCell ref="K1707:L1707"/>
    <mergeCell ref="M1705:N1705"/>
    <mergeCell ref="O1705:P1705"/>
    <mergeCell ref="A1706:B1706"/>
    <mergeCell ref="C1706:D1706"/>
    <mergeCell ref="E1706:F1706"/>
    <mergeCell ref="G1706:H1706"/>
    <mergeCell ref="I1706:J1706"/>
    <mergeCell ref="K1706:L1706"/>
    <mergeCell ref="M1706:N1706"/>
    <mergeCell ref="O1706:P1706"/>
    <mergeCell ref="A1705:B1705"/>
    <mergeCell ref="C1705:D1705"/>
    <mergeCell ref="E1705:F1705"/>
    <mergeCell ref="G1705:H1705"/>
    <mergeCell ref="I1705:J1705"/>
    <mergeCell ref="K1705:L1705"/>
    <mergeCell ref="M1715:N1715"/>
    <mergeCell ref="O1715:P1715"/>
    <mergeCell ref="A1716:B1716"/>
    <mergeCell ref="C1716:D1716"/>
    <mergeCell ref="E1716:F1716"/>
    <mergeCell ref="G1716:H1716"/>
    <mergeCell ref="I1716:J1716"/>
    <mergeCell ref="K1716:L1716"/>
    <mergeCell ref="M1716:N1716"/>
    <mergeCell ref="O1716:P1716"/>
    <mergeCell ref="A1715:B1715"/>
    <mergeCell ref="C1715:D1715"/>
    <mergeCell ref="E1715:F1715"/>
    <mergeCell ref="G1715:H1715"/>
    <mergeCell ref="I1715:J1715"/>
    <mergeCell ref="K1715:L1715"/>
    <mergeCell ref="M1713:N1713"/>
    <mergeCell ref="O1713:P1713"/>
    <mergeCell ref="A1714:B1714"/>
    <mergeCell ref="C1714:D1714"/>
    <mergeCell ref="E1714:F1714"/>
    <mergeCell ref="G1714:H1714"/>
    <mergeCell ref="I1714:J1714"/>
    <mergeCell ref="K1714:L1714"/>
    <mergeCell ref="M1714:N1714"/>
    <mergeCell ref="O1714:P1714"/>
    <mergeCell ref="A1713:B1713"/>
    <mergeCell ref="C1713:D1713"/>
    <mergeCell ref="E1713:F1713"/>
    <mergeCell ref="G1713:H1713"/>
    <mergeCell ref="I1713:J1713"/>
    <mergeCell ref="K1713:L1713"/>
    <mergeCell ref="M1711:N1711"/>
    <mergeCell ref="O1711:P1711"/>
    <mergeCell ref="A1712:B1712"/>
    <mergeCell ref="C1712:D1712"/>
    <mergeCell ref="E1712:F1712"/>
    <mergeCell ref="G1712:H1712"/>
    <mergeCell ref="I1712:J1712"/>
    <mergeCell ref="K1712:L1712"/>
    <mergeCell ref="M1712:N1712"/>
    <mergeCell ref="O1712:P1712"/>
    <mergeCell ref="A1711:B1711"/>
    <mergeCell ref="C1711:D1711"/>
    <mergeCell ref="E1711:F1711"/>
    <mergeCell ref="G1711:H1711"/>
    <mergeCell ref="I1711:J1711"/>
    <mergeCell ref="K1711:L1711"/>
    <mergeCell ref="M1721:N1721"/>
    <mergeCell ref="O1721:P1721"/>
    <mergeCell ref="A1722:B1722"/>
    <mergeCell ref="C1722:D1722"/>
    <mergeCell ref="E1722:F1722"/>
    <mergeCell ref="G1722:H1722"/>
    <mergeCell ref="I1722:J1722"/>
    <mergeCell ref="K1722:L1722"/>
    <mergeCell ref="M1722:N1722"/>
    <mergeCell ref="O1722:P1722"/>
    <mergeCell ref="A1721:B1721"/>
    <mergeCell ref="C1721:D1721"/>
    <mergeCell ref="E1721:F1721"/>
    <mergeCell ref="G1721:H1721"/>
    <mergeCell ref="I1721:J1721"/>
    <mergeCell ref="K1721:L1721"/>
    <mergeCell ref="M1719:N1719"/>
    <mergeCell ref="O1719:P1719"/>
    <mergeCell ref="A1720:B1720"/>
    <mergeCell ref="C1720:D1720"/>
    <mergeCell ref="E1720:F1720"/>
    <mergeCell ref="G1720:H1720"/>
    <mergeCell ref="I1720:J1720"/>
    <mergeCell ref="K1720:L1720"/>
    <mergeCell ref="M1720:N1720"/>
    <mergeCell ref="O1720:P1720"/>
    <mergeCell ref="A1719:B1719"/>
    <mergeCell ref="C1719:D1719"/>
    <mergeCell ref="E1719:F1719"/>
    <mergeCell ref="G1719:H1719"/>
    <mergeCell ref="I1719:J1719"/>
    <mergeCell ref="K1719:L1719"/>
    <mergeCell ref="M1717:N1717"/>
    <mergeCell ref="O1717:P1717"/>
    <mergeCell ref="A1718:B1718"/>
    <mergeCell ref="C1718:D1718"/>
    <mergeCell ref="E1718:F1718"/>
    <mergeCell ref="G1718:H1718"/>
    <mergeCell ref="I1718:J1718"/>
    <mergeCell ref="K1718:L1718"/>
    <mergeCell ref="M1718:N1718"/>
    <mergeCell ref="O1718:P1718"/>
    <mergeCell ref="A1717:B1717"/>
    <mergeCell ref="C1717:D1717"/>
    <mergeCell ref="E1717:F1717"/>
    <mergeCell ref="G1717:H1717"/>
    <mergeCell ref="I1717:J1717"/>
    <mergeCell ref="K1717:L1717"/>
    <mergeCell ref="M1727:N1727"/>
    <mergeCell ref="O1727:P1727"/>
    <mergeCell ref="A1728:B1728"/>
    <mergeCell ref="C1728:D1728"/>
    <mergeCell ref="E1728:F1728"/>
    <mergeCell ref="G1728:H1728"/>
    <mergeCell ref="I1728:J1728"/>
    <mergeCell ref="K1728:L1728"/>
    <mergeCell ref="M1728:N1728"/>
    <mergeCell ref="O1728:P1728"/>
    <mergeCell ref="A1727:B1727"/>
    <mergeCell ref="C1727:D1727"/>
    <mergeCell ref="E1727:F1727"/>
    <mergeCell ref="G1727:H1727"/>
    <mergeCell ref="I1727:J1727"/>
    <mergeCell ref="K1727:L1727"/>
    <mergeCell ref="M1725:N1725"/>
    <mergeCell ref="O1725:P1725"/>
    <mergeCell ref="A1726:B1726"/>
    <mergeCell ref="C1726:D1726"/>
    <mergeCell ref="E1726:F1726"/>
    <mergeCell ref="G1726:H1726"/>
    <mergeCell ref="I1726:J1726"/>
    <mergeCell ref="K1726:L1726"/>
    <mergeCell ref="M1726:N1726"/>
    <mergeCell ref="O1726:P1726"/>
    <mergeCell ref="A1725:B1725"/>
    <mergeCell ref="C1725:D1725"/>
    <mergeCell ref="E1725:F1725"/>
    <mergeCell ref="G1725:H1725"/>
    <mergeCell ref="I1725:J1725"/>
    <mergeCell ref="K1725:L1725"/>
    <mergeCell ref="M1723:N1723"/>
    <mergeCell ref="O1723:P1723"/>
    <mergeCell ref="A1724:B1724"/>
    <mergeCell ref="C1724:D1724"/>
    <mergeCell ref="E1724:F1724"/>
    <mergeCell ref="G1724:H1724"/>
    <mergeCell ref="I1724:J1724"/>
    <mergeCell ref="K1724:L1724"/>
    <mergeCell ref="M1724:N1724"/>
    <mergeCell ref="O1724:P1724"/>
    <mergeCell ref="A1723:B1723"/>
    <mergeCell ref="C1723:D1723"/>
    <mergeCell ref="E1723:F1723"/>
    <mergeCell ref="G1723:H1723"/>
    <mergeCell ref="I1723:J1723"/>
    <mergeCell ref="K1723:L1723"/>
    <mergeCell ref="M1733:N1733"/>
    <mergeCell ref="O1733:P1733"/>
    <mergeCell ref="A1734:B1734"/>
    <mergeCell ref="C1734:D1734"/>
    <mergeCell ref="E1734:F1734"/>
    <mergeCell ref="G1734:H1734"/>
    <mergeCell ref="I1734:J1734"/>
    <mergeCell ref="K1734:L1734"/>
    <mergeCell ref="M1734:N1734"/>
    <mergeCell ref="O1734:P1734"/>
    <mergeCell ref="A1733:B1733"/>
    <mergeCell ref="C1733:D1733"/>
    <mergeCell ref="E1733:F1733"/>
    <mergeCell ref="G1733:H1733"/>
    <mergeCell ref="I1733:J1733"/>
    <mergeCell ref="K1733:L1733"/>
    <mergeCell ref="M1731:N1731"/>
    <mergeCell ref="O1731:P1731"/>
    <mergeCell ref="A1732:B1732"/>
    <mergeCell ref="C1732:D1732"/>
    <mergeCell ref="E1732:F1732"/>
    <mergeCell ref="G1732:H1732"/>
    <mergeCell ref="I1732:J1732"/>
    <mergeCell ref="K1732:L1732"/>
    <mergeCell ref="M1732:N1732"/>
    <mergeCell ref="O1732:P1732"/>
    <mergeCell ref="A1731:B1731"/>
    <mergeCell ref="C1731:D1731"/>
    <mergeCell ref="E1731:F1731"/>
    <mergeCell ref="G1731:H1731"/>
    <mergeCell ref="I1731:J1731"/>
    <mergeCell ref="K1731:L1731"/>
    <mergeCell ref="M1729:N1729"/>
    <mergeCell ref="O1729:P1729"/>
    <mergeCell ref="A1730:B1730"/>
    <mergeCell ref="C1730:D1730"/>
    <mergeCell ref="E1730:F1730"/>
    <mergeCell ref="G1730:H1730"/>
    <mergeCell ref="I1730:J1730"/>
    <mergeCell ref="K1730:L1730"/>
    <mergeCell ref="M1730:N1730"/>
    <mergeCell ref="O1730:P1730"/>
    <mergeCell ref="A1729:B1729"/>
    <mergeCell ref="C1729:D1729"/>
    <mergeCell ref="E1729:F1729"/>
    <mergeCell ref="G1729:H1729"/>
    <mergeCell ref="I1729:J1729"/>
    <mergeCell ref="K1729:L1729"/>
    <mergeCell ref="M1739:N1739"/>
    <mergeCell ref="O1739:P1739"/>
    <mergeCell ref="A1740:B1740"/>
    <mergeCell ref="C1740:D1740"/>
    <mergeCell ref="E1740:F1740"/>
    <mergeCell ref="G1740:H1740"/>
    <mergeCell ref="I1740:J1740"/>
    <mergeCell ref="K1740:L1740"/>
    <mergeCell ref="M1740:N1740"/>
    <mergeCell ref="O1740:P1740"/>
    <mergeCell ref="A1739:B1739"/>
    <mergeCell ref="C1739:D1739"/>
    <mergeCell ref="E1739:F1739"/>
    <mergeCell ref="G1739:H1739"/>
    <mergeCell ref="I1739:J1739"/>
    <mergeCell ref="K1739:L1739"/>
    <mergeCell ref="M1737:N1737"/>
    <mergeCell ref="O1737:P1737"/>
    <mergeCell ref="A1738:B1738"/>
    <mergeCell ref="C1738:D1738"/>
    <mergeCell ref="E1738:F1738"/>
    <mergeCell ref="G1738:H1738"/>
    <mergeCell ref="I1738:J1738"/>
    <mergeCell ref="K1738:L1738"/>
    <mergeCell ref="M1738:N1738"/>
    <mergeCell ref="O1738:P1738"/>
    <mergeCell ref="A1737:B1737"/>
    <mergeCell ref="C1737:D1737"/>
    <mergeCell ref="E1737:F1737"/>
    <mergeCell ref="G1737:H1737"/>
    <mergeCell ref="I1737:J1737"/>
    <mergeCell ref="K1737:L1737"/>
    <mergeCell ref="M1735:N1735"/>
    <mergeCell ref="O1735:P1735"/>
    <mergeCell ref="A1736:B1736"/>
    <mergeCell ref="C1736:D1736"/>
    <mergeCell ref="E1736:F1736"/>
    <mergeCell ref="G1736:H1736"/>
    <mergeCell ref="I1736:J1736"/>
    <mergeCell ref="K1736:L1736"/>
    <mergeCell ref="M1736:N1736"/>
    <mergeCell ref="O1736:P1736"/>
    <mergeCell ref="A1735:B1735"/>
    <mergeCell ref="C1735:D1735"/>
    <mergeCell ref="E1735:F1735"/>
    <mergeCell ref="G1735:H1735"/>
    <mergeCell ref="I1735:J1735"/>
    <mergeCell ref="K1735:L1735"/>
    <mergeCell ref="M1745:N1745"/>
    <mergeCell ref="O1745:P1745"/>
    <mergeCell ref="A1746:B1746"/>
    <mergeCell ref="C1746:D1746"/>
    <mergeCell ref="E1746:F1746"/>
    <mergeCell ref="G1746:H1746"/>
    <mergeCell ref="I1746:J1746"/>
    <mergeCell ref="K1746:L1746"/>
    <mergeCell ref="M1746:N1746"/>
    <mergeCell ref="O1746:P1746"/>
    <mergeCell ref="A1745:B1745"/>
    <mergeCell ref="C1745:D1745"/>
    <mergeCell ref="E1745:F1745"/>
    <mergeCell ref="G1745:H1745"/>
    <mergeCell ref="I1745:J1745"/>
    <mergeCell ref="K1745:L1745"/>
    <mergeCell ref="M1743:N1743"/>
    <mergeCell ref="O1743:P1743"/>
    <mergeCell ref="A1744:B1744"/>
    <mergeCell ref="C1744:D1744"/>
    <mergeCell ref="E1744:F1744"/>
    <mergeCell ref="G1744:H1744"/>
    <mergeCell ref="I1744:J1744"/>
    <mergeCell ref="K1744:L1744"/>
    <mergeCell ref="M1744:N1744"/>
    <mergeCell ref="O1744:P1744"/>
    <mergeCell ref="A1743:B1743"/>
    <mergeCell ref="C1743:D1743"/>
    <mergeCell ref="E1743:F1743"/>
    <mergeCell ref="G1743:H1743"/>
    <mergeCell ref="I1743:J1743"/>
    <mergeCell ref="K1743:L1743"/>
    <mergeCell ref="M1741:N1741"/>
    <mergeCell ref="O1741:P1741"/>
    <mergeCell ref="A1742:B1742"/>
    <mergeCell ref="C1742:D1742"/>
    <mergeCell ref="E1742:F1742"/>
    <mergeCell ref="G1742:H1742"/>
    <mergeCell ref="I1742:J1742"/>
    <mergeCell ref="K1742:L1742"/>
    <mergeCell ref="M1742:N1742"/>
    <mergeCell ref="O1742:P1742"/>
    <mergeCell ref="A1741:B1741"/>
    <mergeCell ref="C1741:D1741"/>
    <mergeCell ref="E1741:F1741"/>
    <mergeCell ref="G1741:H1741"/>
    <mergeCell ref="I1741:J1741"/>
    <mergeCell ref="K1741:L1741"/>
    <mergeCell ref="M1751:N1751"/>
    <mergeCell ref="O1751:P1751"/>
    <mergeCell ref="A1752:B1752"/>
    <mergeCell ref="C1752:D1752"/>
    <mergeCell ref="E1752:F1752"/>
    <mergeCell ref="G1752:H1752"/>
    <mergeCell ref="I1752:J1752"/>
    <mergeCell ref="K1752:L1752"/>
    <mergeCell ref="M1752:N1752"/>
    <mergeCell ref="O1752:P1752"/>
    <mergeCell ref="A1751:B1751"/>
    <mergeCell ref="C1751:D1751"/>
    <mergeCell ref="E1751:F1751"/>
    <mergeCell ref="G1751:H1751"/>
    <mergeCell ref="I1751:J1751"/>
    <mergeCell ref="K1751:L1751"/>
    <mergeCell ref="M1749:N1749"/>
    <mergeCell ref="O1749:P1749"/>
    <mergeCell ref="A1750:B1750"/>
    <mergeCell ref="C1750:D1750"/>
    <mergeCell ref="E1750:F1750"/>
    <mergeCell ref="G1750:H1750"/>
    <mergeCell ref="I1750:J1750"/>
    <mergeCell ref="K1750:L1750"/>
    <mergeCell ref="M1750:N1750"/>
    <mergeCell ref="O1750:P1750"/>
    <mergeCell ref="A1749:B1749"/>
    <mergeCell ref="C1749:D1749"/>
    <mergeCell ref="E1749:F1749"/>
    <mergeCell ref="G1749:H1749"/>
    <mergeCell ref="I1749:J1749"/>
    <mergeCell ref="K1749:L1749"/>
    <mergeCell ref="M1747:N1747"/>
    <mergeCell ref="O1747:P1747"/>
    <mergeCell ref="A1748:B1748"/>
    <mergeCell ref="C1748:D1748"/>
    <mergeCell ref="E1748:F1748"/>
    <mergeCell ref="G1748:H1748"/>
    <mergeCell ref="I1748:J1748"/>
    <mergeCell ref="K1748:L1748"/>
    <mergeCell ref="M1748:N1748"/>
    <mergeCell ref="O1748:P1748"/>
    <mergeCell ref="A1747:B1747"/>
    <mergeCell ref="C1747:D1747"/>
    <mergeCell ref="E1747:F1747"/>
    <mergeCell ref="G1747:H1747"/>
    <mergeCell ref="I1747:J1747"/>
    <mergeCell ref="K1747:L1747"/>
    <mergeCell ref="M1757:N1757"/>
    <mergeCell ref="O1757:P1757"/>
    <mergeCell ref="A1758:B1758"/>
    <mergeCell ref="C1758:D1758"/>
    <mergeCell ref="E1758:F1758"/>
    <mergeCell ref="G1758:H1758"/>
    <mergeCell ref="I1758:J1758"/>
    <mergeCell ref="K1758:L1758"/>
    <mergeCell ref="M1758:N1758"/>
    <mergeCell ref="O1758:P1758"/>
    <mergeCell ref="A1757:B1757"/>
    <mergeCell ref="C1757:D1757"/>
    <mergeCell ref="E1757:F1757"/>
    <mergeCell ref="G1757:H1757"/>
    <mergeCell ref="I1757:J1757"/>
    <mergeCell ref="K1757:L1757"/>
    <mergeCell ref="M1755:N1755"/>
    <mergeCell ref="O1755:P1755"/>
    <mergeCell ref="A1756:B1756"/>
    <mergeCell ref="C1756:D1756"/>
    <mergeCell ref="E1756:F1756"/>
    <mergeCell ref="G1756:H1756"/>
    <mergeCell ref="I1756:J1756"/>
    <mergeCell ref="K1756:L1756"/>
    <mergeCell ref="M1756:N1756"/>
    <mergeCell ref="O1756:P1756"/>
    <mergeCell ref="A1755:B1755"/>
    <mergeCell ref="C1755:D1755"/>
    <mergeCell ref="E1755:F1755"/>
    <mergeCell ref="G1755:H1755"/>
    <mergeCell ref="I1755:J1755"/>
    <mergeCell ref="K1755:L1755"/>
    <mergeCell ref="M1753:N1753"/>
    <mergeCell ref="O1753:P1753"/>
    <mergeCell ref="A1754:B1754"/>
    <mergeCell ref="C1754:D1754"/>
    <mergeCell ref="E1754:F1754"/>
    <mergeCell ref="G1754:H1754"/>
    <mergeCell ref="I1754:J1754"/>
    <mergeCell ref="K1754:L1754"/>
    <mergeCell ref="M1754:N1754"/>
    <mergeCell ref="O1754:P1754"/>
    <mergeCell ref="A1753:B1753"/>
    <mergeCell ref="C1753:D1753"/>
    <mergeCell ref="E1753:F1753"/>
    <mergeCell ref="G1753:H1753"/>
    <mergeCell ref="I1753:J1753"/>
    <mergeCell ref="K1753:L1753"/>
    <mergeCell ref="M1763:N1763"/>
    <mergeCell ref="O1763:P1763"/>
    <mergeCell ref="A1764:B1764"/>
    <mergeCell ref="C1764:D1764"/>
    <mergeCell ref="E1764:F1764"/>
    <mergeCell ref="G1764:H1764"/>
    <mergeCell ref="I1764:J1764"/>
    <mergeCell ref="K1764:L1764"/>
    <mergeCell ref="M1764:N1764"/>
    <mergeCell ref="O1764:P1764"/>
    <mergeCell ref="A1763:B1763"/>
    <mergeCell ref="C1763:D1763"/>
    <mergeCell ref="E1763:F1763"/>
    <mergeCell ref="G1763:H1763"/>
    <mergeCell ref="I1763:J1763"/>
    <mergeCell ref="K1763:L1763"/>
    <mergeCell ref="M1761:N1761"/>
    <mergeCell ref="O1761:P1761"/>
    <mergeCell ref="A1762:B1762"/>
    <mergeCell ref="C1762:D1762"/>
    <mergeCell ref="E1762:F1762"/>
    <mergeCell ref="G1762:H1762"/>
    <mergeCell ref="I1762:J1762"/>
    <mergeCell ref="K1762:L1762"/>
    <mergeCell ref="M1762:N1762"/>
    <mergeCell ref="O1762:P1762"/>
    <mergeCell ref="A1761:B1761"/>
    <mergeCell ref="C1761:D1761"/>
    <mergeCell ref="E1761:F1761"/>
    <mergeCell ref="G1761:H1761"/>
    <mergeCell ref="I1761:J1761"/>
    <mergeCell ref="K1761:L1761"/>
    <mergeCell ref="M1759:N1759"/>
    <mergeCell ref="O1759:P1759"/>
    <mergeCell ref="A1760:B1760"/>
    <mergeCell ref="C1760:D1760"/>
    <mergeCell ref="E1760:F1760"/>
    <mergeCell ref="G1760:H1760"/>
    <mergeCell ref="I1760:J1760"/>
    <mergeCell ref="K1760:L1760"/>
    <mergeCell ref="M1760:N1760"/>
    <mergeCell ref="O1760:P1760"/>
    <mergeCell ref="A1759:B1759"/>
    <mergeCell ref="C1759:D1759"/>
    <mergeCell ref="E1759:F1759"/>
    <mergeCell ref="G1759:H1759"/>
    <mergeCell ref="I1759:J1759"/>
    <mergeCell ref="K1759:L1759"/>
    <mergeCell ref="M1769:N1769"/>
    <mergeCell ref="O1769:P1769"/>
    <mergeCell ref="A1770:B1770"/>
    <mergeCell ref="C1770:D1770"/>
    <mergeCell ref="E1770:F1770"/>
    <mergeCell ref="G1770:H1770"/>
    <mergeCell ref="I1770:J1770"/>
    <mergeCell ref="K1770:L1770"/>
    <mergeCell ref="M1770:N1770"/>
    <mergeCell ref="O1770:P1770"/>
    <mergeCell ref="A1769:B1769"/>
    <mergeCell ref="C1769:D1769"/>
    <mergeCell ref="E1769:F1769"/>
    <mergeCell ref="G1769:H1769"/>
    <mergeCell ref="I1769:J1769"/>
    <mergeCell ref="K1769:L1769"/>
    <mergeCell ref="M1767:N1767"/>
    <mergeCell ref="O1767:P1767"/>
    <mergeCell ref="A1768:B1768"/>
    <mergeCell ref="C1768:D1768"/>
    <mergeCell ref="E1768:F1768"/>
    <mergeCell ref="G1768:H1768"/>
    <mergeCell ref="I1768:J1768"/>
    <mergeCell ref="K1768:L1768"/>
    <mergeCell ref="M1768:N1768"/>
    <mergeCell ref="O1768:P1768"/>
    <mergeCell ref="A1767:B1767"/>
    <mergeCell ref="C1767:D1767"/>
    <mergeCell ref="E1767:F1767"/>
    <mergeCell ref="G1767:H1767"/>
    <mergeCell ref="I1767:J1767"/>
    <mergeCell ref="K1767:L1767"/>
    <mergeCell ref="M1765:N1765"/>
    <mergeCell ref="O1765:P1765"/>
    <mergeCell ref="A1766:B1766"/>
    <mergeCell ref="C1766:D1766"/>
    <mergeCell ref="E1766:F1766"/>
    <mergeCell ref="G1766:H1766"/>
    <mergeCell ref="I1766:J1766"/>
    <mergeCell ref="K1766:L1766"/>
    <mergeCell ref="M1766:N1766"/>
    <mergeCell ref="O1766:P1766"/>
    <mergeCell ref="A1765:B1765"/>
    <mergeCell ref="C1765:D1765"/>
    <mergeCell ref="E1765:F1765"/>
    <mergeCell ref="G1765:H1765"/>
    <mergeCell ref="I1765:J1765"/>
    <mergeCell ref="K1765:L1765"/>
    <mergeCell ref="M1775:N1775"/>
    <mergeCell ref="O1775:P1775"/>
    <mergeCell ref="A1776:B1776"/>
    <mergeCell ref="C1776:D1776"/>
    <mergeCell ref="E1776:F1776"/>
    <mergeCell ref="G1776:H1776"/>
    <mergeCell ref="I1776:J1776"/>
    <mergeCell ref="K1776:L1776"/>
    <mergeCell ref="M1776:N1776"/>
    <mergeCell ref="O1776:P1776"/>
    <mergeCell ref="A1775:B1775"/>
    <mergeCell ref="C1775:D1775"/>
    <mergeCell ref="E1775:F1775"/>
    <mergeCell ref="G1775:H1775"/>
    <mergeCell ref="I1775:J1775"/>
    <mergeCell ref="K1775:L1775"/>
    <mergeCell ref="M1773:N1773"/>
    <mergeCell ref="O1773:P1773"/>
    <mergeCell ref="A1774:B1774"/>
    <mergeCell ref="C1774:D1774"/>
    <mergeCell ref="E1774:F1774"/>
    <mergeCell ref="G1774:H1774"/>
    <mergeCell ref="I1774:J1774"/>
    <mergeCell ref="K1774:L1774"/>
    <mergeCell ref="M1774:N1774"/>
    <mergeCell ref="O1774:P1774"/>
    <mergeCell ref="A1773:B1773"/>
    <mergeCell ref="C1773:D1773"/>
    <mergeCell ref="E1773:F1773"/>
    <mergeCell ref="G1773:H1773"/>
    <mergeCell ref="I1773:J1773"/>
    <mergeCell ref="K1773:L1773"/>
    <mergeCell ref="M1771:N1771"/>
    <mergeCell ref="O1771:P1771"/>
    <mergeCell ref="A1772:B1772"/>
    <mergeCell ref="C1772:D1772"/>
    <mergeCell ref="E1772:F1772"/>
    <mergeCell ref="G1772:H1772"/>
    <mergeCell ref="I1772:J1772"/>
    <mergeCell ref="K1772:L1772"/>
    <mergeCell ref="M1772:N1772"/>
    <mergeCell ref="O1772:P1772"/>
    <mergeCell ref="A1771:B1771"/>
    <mergeCell ref="C1771:D1771"/>
    <mergeCell ref="E1771:F1771"/>
    <mergeCell ref="G1771:H1771"/>
    <mergeCell ref="I1771:J1771"/>
    <mergeCell ref="K1771:L1771"/>
    <mergeCell ref="M1781:N1781"/>
    <mergeCell ref="O1781:P1781"/>
    <mergeCell ref="A1782:B1782"/>
    <mergeCell ref="C1782:D1782"/>
    <mergeCell ref="E1782:F1782"/>
    <mergeCell ref="G1782:H1782"/>
    <mergeCell ref="I1782:J1782"/>
    <mergeCell ref="K1782:L1782"/>
    <mergeCell ref="M1782:N1782"/>
    <mergeCell ref="O1782:P1782"/>
    <mergeCell ref="A1781:B1781"/>
    <mergeCell ref="C1781:D1781"/>
    <mergeCell ref="E1781:F1781"/>
    <mergeCell ref="G1781:H1781"/>
    <mergeCell ref="I1781:J1781"/>
    <mergeCell ref="K1781:L1781"/>
    <mergeCell ref="M1779:N1779"/>
    <mergeCell ref="O1779:P1779"/>
    <mergeCell ref="A1780:B1780"/>
    <mergeCell ref="C1780:D1780"/>
    <mergeCell ref="E1780:F1780"/>
    <mergeCell ref="G1780:H1780"/>
    <mergeCell ref="I1780:J1780"/>
    <mergeCell ref="K1780:L1780"/>
    <mergeCell ref="M1780:N1780"/>
    <mergeCell ref="O1780:P1780"/>
    <mergeCell ref="A1779:B1779"/>
    <mergeCell ref="C1779:D1779"/>
    <mergeCell ref="E1779:F1779"/>
    <mergeCell ref="G1779:H1779"/>
    <mergeCell ref="I1779:J1779"/>
    <mergeCell ref="K1779:L1779"/>
    <mergeCell ref="M1777:N1777"/>
    <mergeCell ref="O1777:P1777"/>
    <mergeCell ref="A1778:B1778"/>
    <mergeCell ref="C1778:D1778"/>
    <mergeCell ref="E1778:F1778"/>
    <mergeCell ref="G1778:H1778"/>
    <mergeCell ref="I1778:J1778"/>
    <mergeCell ref="K1778:L1778"/>
    <mergeCell ref="M1778:N1778"/>
    <mergeCell ref="O1778:P1778"/>
    <mergeCell ref="A1777:B1777"/>
    <mergeCell ref="C1777:D1777"/>
    <mergeCell ref="E1777:F1777"/>
    <mergeCell ref="G1777:H1777"/>
    <mergeCell ref="I1777:J1777"/>
    <mergeCell ref="K1777:L1777"/>
    <mergeCell ref="M1787:N1787"/>
    <mergeCell ref="O1787:P1787"/>
    <mergeCell ref="A1788:B1788"/>
    <mergeCell ref="C1788:D1788"/>
    <mergeCell ref="E1788:F1788"/>
    <mergeCell ref="G1788:H1788"/>
    <mergeCell ref="I1788:J1788"/>
    <mergeCell ref="K1788:L1788"/>
    <mergeCell ref="M1788:N1788"/>
    <mergeCell ref="O1788:P1788"/>
    <mergeCell ref="A1787:B1787"/>
    <mergeCell ref="C1787:D1787"/>
    <mergeCell ref="E1787:F1787"/>
    <mergeCell ref="G1787:H1787"/>
    <mergeCell ref="I1787:J1787"/>
    <mergeCell ref="K1787:L1787"/>
    <mergeCell ref="M1785:N1785"/>
    <mergeCell ref="O1785:P1785"/>
    <mergeCell ref="A1786:B1786"/>
    <mergeCell ref="C1786:D1786"/>
    <mergeCell ref="E1786:F1786"/>
    <mergeCell ref="G1786:H1786"/>
    <mergeCell ref="I1786:J1786"/>
    <mergeCell ref="K1786:L1786"/>
    <mergeCell ref="M1786:N1786"/>
    <mergeCell ref="O1786:P1786"/>
    <mergeCell ref="A1785:B1785"/>
    <mergeCell ref="C1785:D1785"/>
    <mergeCell ref="E1785:F1785"/>
    <mergeCell ref="G1785:H1785"/>
    <mergeCell ref="I1785:J1785"/>
    <mergeCell ref="K1785:L1785"/>
    <mergeCell ref="M1783:N1783"/>
    <mergeCell ref="O1783:P1783"/>
    <mergeCell ref="A1784:B1784"/>
    <mergeCell ref="C1784:D1784"/>
    <mergeCell ref="E1784:F1784"/>
    <mergeCell ref="G1784:H1784"/>
    <mergeCell ref="I1784:J1784"/>
    <mergeCell ref="K1784:L1784"/>
    <mergeCell ref="M1784:N1784"/>
    <mergeCell ref="O1784:P1784"/>
    <mergeCell ref="A1783:B1783"/>
    <mergeCell ref="C1783:D1783"/>
    <mergeCell ref="E1783:F1783"/>
    <mergeCell ref="G1783:H1783"/>
    <mergeCell ref="I1783:J1783"/>
    <mergeCell ref="K1783:L1783"/>
    <mergeCell ref="M1793:N1793"/>
    <mergeCell ref="O1793:P1793"/>
    <mergeCell ref="A1794:B1794"/>
    <mergeCell ref="C1794:D1794"/>
    <mergeCell ref="E1794:F1794"/>
    <mergeCell ref="G1794:H1794"/>
    <mergeCell ref="I1794:J1794"/>
    <mergeCell ref="K1794:L1794"/>
    <mergeCell ref="M1794:N1794"/>
    <mergeCell ref="O1794:P1794"/>
    <mergeCell ref="A1793:B1793"/>
    <mergeCell ref="C1793:D1793"/>
    <mergeCell ref="E1793:F1793"/>
    <mergeCell ref="G1793:H1793"/>
    <mergeCell ref="I1793:J1793"/>
    <mergeCell ref="K1793:L1793"/>
    <mergeCell ref="M1791:N1791"/>
    <mergeCell ref="O1791:P1791"/>
    <mergeCell ref="A1792:B1792"/>
    <mergeCell ref="C1792:D1792"/>
    <mergeCell ref="E1792:F1792"/>
    <mergeCell ref="G1792:H1792"/>
    <mergeCell ref="I1792:J1792"/>
    <mergeCell ref="K1792:L1792"/>
    <mergeCell ref="M1792:N1792"/>
    <mergeCell ref="O1792:P1792"/>
    <mergeCell ref="A1791:B1791"/>
    <mergeCell ref="C1791:D1791"/>
    <mergeCell ref="E1791:F1791"/>
    <mergeCell ref="G1791:H1791"/>
    <mergeCell ref="I1791:J1791"/>
    <mergeCell ref="K1791:L1791"/>
    <mergeCell ref="M1789:N1789"/>
    <mergeCell ref="O1789:P1789"/>
    <mergeCell ref="A1790:B1790"/>
    <mergeCell ref="C1790:D1790"/>
    <mergeCell ref="E1790:F1790"/>
    <mergeCell ref="G1790:H1790"/>
    <mergeCell ref="I1790:J1790"/>
    <mergeCell ref="K1790:L1790"/>
    <mergeCell ref="M1790:N1790"/>
    <mergeCell ref="O1790:P1790"/>
    <mergeCell ref="A1789:B1789"/>
    <mergeCell ref="C1789:D1789"/>
    <mergeCell ref="E1789:F1789"/>
    <mergeCell ref="G1789:H1789"/>
    <mergeCell ref="I1789:J1789"/>
    <mergeCell ref="K1789:L1789"/>
    <mergeCell ref="M1799:N1799"/>
    <mergeCell ref="O1799:P1799"/>
    <mergeCell ref="A1800:B1800"/>
    <mergeCell ref="C1800:D1800"/>
    <mergeCell ref="E1800:F1800"/>
    <mergeCell ref="G1800:H1800"/>
    <mergeCell ref="I1800:J1800"/>
    <mergeCell ref="K1800:L1800"/>
    <mergeCell ref="M1800:N1800"/>
    <mergeCell ref="O1800:P1800"/>
    <mergeCell ref="A1799:B1799"/>
    <mergeCell ref="C1799:D1799"/>
    <mergeCell ref="E1799:F1799"/>
    <mergeCell ref="G1799:H1799"/>
    <mergeCell ref="I1799:J1799"/>
    <mergeCell ref="K1799:L1799"/>
    <mergeCell ref="M1797:N1797"/>
    <mergeCell ref="O1797:P1797"/>
    <mergeCell ref="A1798:B1798"/>
    <mergeCell ref="C1798:D1798"/>
    <mergeCell ref="E1798:F1798"/>
    <mergeCell ref="G1798:H1798"/>
    <mergeCell ref="I1798:J1798"/>
    <mergeCell ref="K1798:L1798"/>
    <mergeCell ref="M1798:N1798"/>
    <mergeCell ref="O1798:P1798"/>
    <mergeCell ref="A1797:B1797"/>
    <mergeCell ref="C1797:D1797"/>
    <mergeCell ref="E1797:F1797"/>
    <mergeCell ref="G1797:H1797"/>
    <mergeCell ref="I1797:J1797"/>
    <mergeCell ref="K1797:L1797"/>
    <mergeCell ref="M1795:N1795"/>
    <mergeCell ref="O1795:P1795"/>
    <mergeCell ref="A1796:B1796"/>
    <mergeCell ref="C1796:D1796"/>
    <mergeCell ref="E1796:F1796"/>
    <mergeCell ref="G1796:H1796"/>
    <mergeCell ref="I1796:J1796"/>
    <mergeCell ref="K1796:L1796"/>
    <mergeCell ref="M1796:N1796"/>
    <mergeCell ref="O1796:P1796"/>
    <mergeCell ref="A1795:B1795"/>
    <mergeCell ref="C1795:D1795"/>
    <mergeCell ref="E1795:F1795"/>
    <mergeCell ref="G1795:H1795"/>
    <mergeCell ref="I1795:J1795"/>
    <mergeCell ref="K1795:L1795"/>
    <mergeCell ref="M1805:N1805"/>
    <mergeCell ref="O1805:P1805"/>
    <mergeCell ref="A1806:B1806"/>
    <mergeCell ref="C1806:D1806"/>
    <mergeCell ref="E1806:F1806"/>
    <mergeCell ref="G1806:H1806"/>
    <mergeCell ref="I1806:J1806"/>
    <mergeCell ref="K1806:L1806"/>
    <mergeCell ref="M1806:N1806"/>
    <mergeCell ref="O1806:P1806"/>
    <mergeCell ref="A1805:B1805"/>
    <mergeCell ref="C1805:D1805"/>
    <mergeCell ref="E1805:F1805"/>
    <mergeCell ref="G1805:H1805"/>
    <mergeCell ref="I1805:J1805"/>
    <mergeCell ref="K1805:L1805"/>
    <mergeCell ref="M1803:N1803"/>
    <mergeCell ref="O1803:P1803"/>
    <mergeCell ref="A1804:B1804"/>
    <mergeCell ref="C1804:D1804"/>
    <mergeCell ref="E1804:F1804"/>
    <mergeCell ref="G1804:H1804"/>
    <mergeCell ref="I1804:J1804"/>
    <mergeCell ref="K1804:L1804"/>
    <mergeCell ref="M1804:N1804"/>
    <mergeCell ref="O1804:P1804"/>
    <mergeCell ref="A1803:B1803"/>
    <mergeCell ref="C1803:D1803"/>
    <mergeCell ref="E1803:F1803"/>
    <mergeCell ref="G1803:H1803"/>
    <mergeCell ref="I1803:J1803"/>
    <mergeCell ref="K1803:L1803"/>
    <mergeCell ref="M1801:N1801"/>
    <mergeCell ref="O1801:P1801"/>
    <mergeCell ref="A1802:B1802"/>
    <mergeCell ref="C1802:D1802"/>
    <mergeCell ref="E1802:F1802"/>
    <mergeCell ref="G1802:H1802"/>
    <mergeCell ref="I1802:J1802"/>
    <mergeCell ref="K1802:L1802"/>
    <mergeCell ref="M1802:N1802"/>
    <mergeCell ref="O1802:P1802"/>
    <mergeCell ref="A1801:B1801"/>
    <mergeCell ref="C1801:D1801"/>
    <mergeCell ref="E1801:F1801"/>
    <mergeCell ref="G1801:H1801"/>
    <mergeCell ref="I1801:J1801"/>
    <mergeCell ref="K1801:L1801"/>
    <mergeCell ref="M1811:N1811"/>
    <mergeCell ref="O1811:P1811"/>
    <mergeCell ref="A1812:B1812"/>
    <mergeCell ref="C1812:D1812"/>
    <mergeCell ref="E1812:F1812"/>
    <mergeCell ref="G1812:H1812"/>
    <mergeCell ref="I1812:J1812"/>
    <mergeCell ref="K1812:L1812"/>
    <mergeCell ref="M1812:N1812"/>
    <mergeCell ref="O1812:P1812"/>
    <mergeCell ref="A1811:B1811"/>
    <mergeCell ref="C1811:D1811"/>
    <mergeCell ref="E1811:F1811"/>
    <mergeCell ref="G1811:H1811"/>
    <mergeCell ref="I1811:J1811"/>
    <mergeCell ref="K1811:L1811"/>
    <mergeCell ref="M1809:N1809"/>
    <mergeCell ref="O1809:P1809"/>
    <mergeCell ref="A1810:B1810"/>
    <mergeCell ref="C1810:D1810"/>
    <mergeCell ref="E1810:F1810"/>
    <mergeCell ref="G1810:H1810"/>
    <mergeCell ref="I1810:J1810"/>
    <mergeCell ref="K1810:L1810"/>
    <mergeCell ref="M1810:N1810"/>
    <mergeCell ref="O1810:P1810"/>
    <mergeCell ref="A1809:B1809"/>
    <mergeCell ref="C1809:D1809"/>
    <mergeCell ref="E1809:F1809"/>
    <mergeCell ref="G1809:H1809"/>
    <mergeCell ref="I1809:J1809"/>
    <mergeCell ref="K1809:L1809"/>
    <mergeCell ref="M1807:N1807"/>
    <mergeCell ref="O1807:P1807"/>
    <mergeCell ref="A1808:B1808"/>
    <mergeCell ref="C1808:D1808"/>
    <mergeCell ref="E1808:F1808"/>
    <mergeCell ref="G1808:H1808"/>
    <mergeCell ref="I1808:J1808"/>
    <mergeCell ref="K1808:L1808"/>
    <mergeCell ref="M1808:N1808"/>
    <mergeCell ref="O1808:P1808"/>
    <mergeCell ref="A1807:B1807"/>
    <mergeCell ref="C1807:D1807"/>
    <mergeCell ref="E1807:F1807"/>
    <mergeCell ref="G1807:H1807"/>
    <mergeCell ref="I1807:J1807"/>
    <mergeCell ref="K1807:L1807"/>
    <mergeCell ref="M1817:N1817"/>
    <mergeCell ref="O1817:P1817"/>
    <mergeCell ref="A1818:B1818"/>
    <mergeCell ref="C1818:D1818"/>
    <mergeCell ref="E1818:F1818"/>
    <mergeCell ref="G1818:H1818"/>
    <mergeCell ref="I1818:J1818"/>
    <mergeCell ref="K1818:L1818"/>
    <mergeCell ref="M1818:N1818"/>
    <mergeCell ref="O1818:P1818"/>
    <mergeCell ref="A1817:B1817"/>
    <mergeCell ref="C1817:D1817"/>
    <mergeCell ref="E1817:F1817"/>
    <mergeCell ref="G1817:H1817"/>
    <mergeCell ref="I1817:J1817"/>
    <mergeCell ref="K1817:L1817"/>
    <mergeCell ref="M1815:N1815"/>
    <mergeCell ref="O1815:P1815"/>
    <mergeCell ref="A1816:B1816"/>
    <mergeCell ref="C1816:D1816"/>
    <mergeCell ref="E1816:F1816"/>
    <mergeCell ref="G1816:H1816"/>
    <mergeCell ref="I1816:J1816"/>
    <mergeCell ref="K1816:L1816"/>
    <mergeCell ref="M1816:N1816"/>
    <mergeCell ref="O1816:P1816"/>
    <mergeCell ref="A1815:B1815"/>
    <mergeCell ref="C1815:D1815"/>
    <mergeCell ref="E1815:F1815"/>
    <mergeCell ref="G1815:H1815"/>
    <mergeCell ref="I1815:J1815"/>
    <mergeCell ref="K1815:L1815"/>
    <mergeCell ref="M1813:N1813"/>
    <mergeCell ref="O1813:P1813"/>
    <mergeCell ref="A1814:B1814"/>
    <mergeCell ref="C1814:D1814"/>
    <mergeCell ref="E1814:F1814"/>
    <mergeCell ref="G1814:H1814"/>
    <mergeCell ref="I1814:J1814"/>
    <mergeCell ref="K1814:L1814"/>
    <mergeCell ref="M1814:N1814"/>
    <mergeCell ref="O1814:P1814"/>
    <mergeCell ref="A1813:B1813"/>
    <mergeCell ref="C1813:D1813"/>
    <mergeCell ref="E1813:F1813"/>
    <mergeCell ref="G1813:H1813"/>
    <mergeCell ref="I1813:J1813"/>
    <mergeCell ref="K1813:L1813"/>
    <mergeCell ref="M1823:N1823"/>
    <mergeCell ref="O1823:P1823"/>
    <mergeCell ref="A1824:B1824"/>
    <mergeCell ref="C1824:D1824"/>
    <mergeCell ref="E1824:F1824"/>
    <mergeCell ref="G1824:H1824"/>
    <mergeCell ref="I1824:J1824"/>
    <mergeCell ref="K1824:L1824"/>
    <mergeCell ref="M1824:N1824"/>
    <mergeCell ref="O1824:P1824"/>
    <mergeCell ref="A1823:B1823"/>
    <mergeCell ref="C1823:D1823"/>
    <mergeCell ref="E1823:F1823"/>
    <mergeCell ref="G1823:H1823"/>
    <mergeCell ref="I1823:J1823"/>
    <mergeCell ref="K1823:L1823"/>
    <mergeCell ref="M1821:N1821"/>
    <mergeCell ref="O1821:P1821"/>
    <mergeCell ref="A1822:B1822"/>
    <mergeCell ref="C1822:D1822"/>
    <mergeCell ref="E1822:F1822"/>
    <mergeCell ref="G1822:H1822"/>
    <mergeCell ref="I1822:J1822"/>
    <mergeCell ref="K1822:L1822"/>
    <mergeCell ref="M1822:N1822"/>
    <mergeCell ref="O1822:P1822"/>
    <mergeCell ref="A1821:B1821"/>
    <mergeCell ref="C1821:D1821"/>
    <mergeCell ref="E1821:F1821"/>
    <mergeCell ref="G1821:H1821"/>
    <mergeCell ref="I1821:J1821"/>
    <mergeCell ref="K1821:L1821"/>
    <mergeCell ref="M1819:N1819"/>
    <mergeCell ref="O1819:P1819"/>
    <mergeCell ref="A1820:B1820"/>
    <mergeCell ref="C1820:D1820"/>
    <mergeCell ref="E1820:F1820"/>
    <mergeCell ref="G1820:H1820"/>
    <mergeCell ref="I1820:J1820"/>
    <mergeCell ref="K1820:L1820"/>
    <mergeCell ref="M1820:N1820"/>
    <mergeCell ref="O1820:P1820"/>
    <mergeCell ref="A1819:B1819"/>
    <mergeCell ref="C1819:D1819"/>
    <mergeCell ref="E1819:F1819"/>
    <mergeCell ref="G1819:H1819"/>
    <mergeCell ref="I1819:J1819"/>
    <mergeCell ref="K1819:L1819"/>
    <mergeCell ref="M1829:N1829"/>
    <mergeCell ref="O1829:P1829"/>
    <mergeCell ref="A1830:B1830"/>
    <mergeCell ref="C1830:D1830"/>
    <mergeCell ref="E1830:F1830"/>
    <mergeCell ref="G1830:H1830"/>
    <mergeCell ref="I1830:J1830"/>
    <mergeCell ref="K1830:L1830"/>
    <mergeCell ref="M1830:N1830"/>
    <mergeCell ref="O1830:P1830"/>
    <mergeCell ref="A1829:B1829"/>
    <mergeCell ref="C1829:D1829"/>
    <mergeCell ref="E1829:F1829"/>
    <mergeCell ref="G1829:H1829"/>
    <mergeCell ref="I1829:J1829"/>
    <mergeCell ref="K1829:L1829"/>
    <mergeCell ref="M1827:N1827"/>
    <mergeCell ref="O1827:P1827"/>
    <mergeCell ref="A1828:B1828"/>
    <mergeCell ref="C1828:D1828"/>
    <mergeCell ref="E1828:F1828"/>
    <mergeCell ref="G1828:H1828"/>
    <mergeCell ref="I1828:J1828"/>
    <mergeCell ref="K1828:L1828"/>
    <mergeCell ref="M1828:N1828"/>
    <mergeCell ref="O1828:P1828"/>
    <mergeCell ref="A1827:B1827"/>
    <mergeCell ref="C1827:D1827"/>
    <mergeCell ref="E1827:F1827"/>
    <mergeCell ref="G1827:H1827"/>
    <mergeCell ref="I1827:J1827"/>
    <mergeCell ref="K1827:L1827"/>
    <mergeCell ref="M1825:N1825"/>
    <mergeCell ref="O1825:P1825"/>
    <mergeCell ref="A1826:B1826"/>
    <mergeCell ref="C1826:D1826"/>
    <mergeCell ref="E1826:F1826"/>
    <mergeCell ref="G1826:H1826"/>
    <mergeCell ref="I1826:J1826"/>
    <mergeCell ref="K1826:L1826"/>
    <mergeCell ref="M1826:N1826"/>
    <mergeCell ref="O1826:P1826"/>
    <mergeCell ref="A1825:B1825"/>
    <mergeCell ref="C1825:D1825"/>
    <mergeCell ref="E1825:F1825"/>
    <mergeCell ref="G1825:H1825"/>
    <mergeCell ref="I1825:J1825"/>
    <mergeCell ref="K1825:L1825"/>
    <mergeCell ref="M1835:N1835"/>
    <mergeCell ref="O1835:P1835"/>
    <mergeCell ref="A1836:B1836"/>
    <mergeCell ref="C1836:D1836"/>
    <mergeCell ref="E1836:F1836"/>
    <mergeCell ref="G1836:H1836"/>
    <mergeCell ref="I1836:J1836"/>
    <mergeCell ref="K1836:L1836"/>
    <mergeCell ref="M1836:N1836"/>
    <mergeCell ref="O1836:P1836"/>
    <mergeCell ref="A1835:B1835"/>
    <mergeCell ref="C1835:D1835"/>
    <mergeCell ref="E1835:F1835"/>
    <mergeCell ref="G1835:H1835"/>
    <mergeCell ref="I1835:J1835"/>
    <mergeCell ref="K1835:L1835"/>
    <mergeCell ref="M1833:N1833"/>
    <mergeCell ref="O1833:P1833"/>
    <mergeCell ref="A1834:B1834"/>
    <mergeCell ref="C1834:D1834"/>
    <mergeCell ref="E1834:F1834"/>
    <mergeCell ref="G1834:H1834"/>
    <mergeCell ref="I1834:J1834"/>
    <mergeCell ref="K1834:L1834"/>
    <mergeCell ref="M1834:N1834"/>
    <mergeCell ref="O1834:P1834"/>
    <mergeCell ref="A1833:B1833"/>
    <mergeCell ref="C1833:D1833"/>
    <mergeCell ref="E1833:F1833"/>
    <mergeCell ref="G1833:H1833"/>
    <mergeCell ref="I1833:J1833"/>
    <mergeCell ref="K1833:L1833"/>
    <mergeCell ref="M1831:N1831"/>
    <mergeCell ref="O1831:P1831"/>
    <mergeCell ref="A1832:B1832"/>
    <mergeCell ref="C1832:D1832"/>
    <mergeCell ref="E1832:F1832"/>
    <mergeCell ref="G1832:H1832"/>
    <mergeCell ref="I1832:J1832"/>
    <mergeCell ref="K1832:L1832"/>
    <mergeCell ref="M1832:N1832"/>
    <mergeCell ref="O1832:P1832"/>
    <mergeCell ref="A1831:B1831"/>
    <mergeCell ref="C1831:D1831"/>
    <mergeCell ref="E1831:F1831"/>
    <mergeCell ref="G1831:H1831"/>
    <mergeCell ref="I1831:J1831"/>
    <mergeCell ref="K1831:L1831"/>
    <mergeCell ref="M1841:N1841"/>
    <mergeCell ref="O1841:P1841"/>
    <mergeCell ref="A1842:B1842"/>
    <mergeCell ref="C1842:D1842"/>
    <mergeCell ref="E1842:F1842"/>
    <mergeCell ref="G1842:H1842"/>
    <mergeCell ref="I1842:J1842"/>
    <mergeCell ref="K1842:L1842"/>
    <mergeCell ref="M1842:N1842"/>
    <mergeCell ref="O1842:P1842"/>
    <mergeCell ref="A1841:B1841"/>
    <mergeCell ref="C1841:D1841"/>
    <mergeCell ref="E1841:F1841"/>
    <mergeCell ref="G1841:H1841"/>
    <mergeCell ref="I1841:J1841"/>
    <mergeCell ref="K1841:L1841"/>
    <mergeCell ref="M1839:N1839"/>
    <mergeCell ref="O1839:P1839"/>
    <mergeCell ref="A1840:B1840"/>
    <mergeCell ref="C1840:D1840"/>
    <mergeCell ref="E1840:F1840"/>
    <mergeCell ref="G1840:H1840"/>
    <mergeCell ref="I1840:J1840"/>
    <mergeCell ref="K1840:L1840"/>
    <mergeCell ref="M1840:N1840"/>
    <mergeCell ref="O1840:P1840"/>
    <mergeCell ref="A1839:B1839"/>
    <mergeCell ref="C1839:D1839"/>
    <mergeCell ref="E1839:F1839"/>
    <mergeCell ref="G1839:H1839"/>
    <mergeCell ref="I1839:J1839"/>
    <mergeCell ref="K1839:L1839"/>
    <mergeCell ref="M1837:N1837"/>
    <mergeCell ref="O1837:P1837"/>
    <mergeCell ref="A1838:B1838"/>
    <mergeCell ref="C1838:D1838"/>
    <mergeCell ref="E1838:F1838"/>
    <mergeCell ref="G1838:H1838"/>
    <mergeCell ref="I1838:J1838"/>
    <mergeCell ref="K1838:L1838"/>
    <mergeCell ref="M1838:N1838"/>
    <mergeCell ref="O1838:P1838"/>
    <mergeCell ref="A1837:B1837"/>
    <mergeCell ref="C1837:D1837"/>
    <mergeCell ref="E1837:F1837"/>
    <mergeCell ref="G1837:H1837"/>
    <mergeCell ref="I1837:J1837"/>
    <mergeCell ref="K1837:L1837"/>
    <mergeCell ref="M1847:N1847"/>
    <mergeCell ref="O1847:P1847"/>
    <mergeCell ref="A1848:B1848"/>
    <mergeCell ref="C1848:D1848"/>
    <mergeCell ref="E1848:F1848"/>
    <mergeCell ref="G1848:H1848"/>
    <mergeCell ref="I1848:J1848"/>
    <mergeCell ref="K1848:L1848"/>
    <mergeCell ref="M1848:N1848"/>
    <mergeCell ref="O1848:P1848"/>
    <mergeCell ref="A1847:B1847"/>
    <mergeCell ref="C1847:D1847"/>
    <mergeCell ref="E1847:F1847"/>
    <mergeCell ref="G1847:H1847"/>
    <mergeCell ref="I1847:J1847"/>
    <mergeCell ref="K1847:L1847"/>
    <mergeCell ref="M1845:N1845"/>
    <mergeCell ref="O1845:P1845"/>
    <mergeCell ref="A1846:B1846"/>
    <mergeCell ref="C1846:D1846"/>
    <mergeCell ref="E1846:F1846"/>
    <mergeCell ref="G1846:H1846"/>
    <mergeCell ref="I1846:J1846"/>
    <mergeCell ref="K1846:L1846"/>
    <mergeCell ref="M1846:N1846"/>
    <mergeCell ref="O1846:P1846"/>
    <mergeCell ref="A1845:B1845"/>
    <mergeCell ref="C1845:D1845"/>
    <mergeCell ref="E1845:F1845"/>
    <mergeCell ref="G1845:H1845"/>
    <mergeCell ref="I1845:J1845"/>
    <mergeCell ref="K1845:L1845"/>
    <mergeCell ref="M1843:N1843"/>
    <mergeCell ref="O1843:P1843"/>
    <mergeCell ref="A1844:B1844"/>
    <mergeCell ref="C1844:D1844"/>
    <mergeCell ref="E1844:F1844"/>
    <mergeCell ref="G1844:H1844"/>
    <mergeCell ref="I1844:J1844"/>
    <mergeCell ref="K1844:L1844"/>
    <mergeCell ref="M1844:N1844"/>
    <mergeCell ref="O1844:P1844"/>
    <mergeCell ref="A1843:B1843"/>
    <mergeCell ref="C1843:D1843"/>
    <mergeCell ref="E1843:F1843"/>
    <mergeCell ref="G1843:H1843"/>
    <mergeCell ref="I1843:J1843"/>
    <mergeCell ref="K1843:L1843"/>
    <mergeCell ref="M1853:N1853"/>
    <mergeCell ref="O1853:P1853"/>
    <mergeCell ref="A1854:B1854"/>
    <mergeCell ref="C1854:D1854"/>
    <mergeCell ref="E1854:F1854"/>
    <mergeCell ref="G1854:H1854"/>
    <mergeCell ref="I1854:J1854"/>
    <mergeCell ref="K1854:L1854"/>
    <mergeCell ref="M1854:N1854"/>
    <mergeCell ref="O1854:P1854"/>
    <mergeCell ref="A1853:B1853"/>
    <mergeCell ref="C1853:D1853"/>
    <mergeCell ref="E1853:F1853"/>
    <mergeCell ref="G1853:H1853"/>
    <mergeCell ref="I1853:J1853"/>
    <mergeCell ref="K1853:L1853"/>
    <mergeCell ref="M1851:N1851"/>
    <mergeCell ref="O1851:P1851"/>
    <mergeCell ref="A1852:B1852"/>
    <mergeCell ref="C1852:D1852"/>
    <mergeCell ref="E1852:F1852"/>
    <mergeCell ref="G1852:H1852"/>
    <mergeCell ref="I1852:J1852"/>
    <mergeCell ref="K1852:L1852"/>
    <mergeCell ref="M1852:N1852"/>
    <mergeCell ref="O1852:P1852"/>
    <mergeCell ref="A1851:B1851"/>
    <mergeCell ref="C1851:D1851"/>
    <mergeCell ref="E1851:F1851"/>
    <mergeCell ref="G1851:H1851"/>
    <mergeCell ref="I1851:J1851"/>
    <mergeCell ref="K1851:L1851"/>
    <mergeCell ref="M1849:N1849"/>
    <mergeCell ref="O1849:P1849"/>
    <mergeCell ref="A1850:B1850"/>
    <mergeCell ref="C1850:D1850"/>
    <mergeCell ref="E1850:F1850"/>
    <mergeCell ref="G1850:H1850"/>
    <mergeCell ref="I1850:J1850"/>
    <mergeCell ref="K1850:L1850"/>
    <mergeCell ref="M1850:N1850"/>
    <mergeCell ref="O1850:P1850"/>
    <mergeCell ref="A1849:B1849"/>
    <mergeCell ref="C1849:D1849"/>
    <mergeCell ref="E1849:F1849"/>
    <mergeCell ref="G1849:H1849"/>
    <mergeCell ref="I1849:J1849"/>
    <mergeCell ref="K1849:L1849"/>
    <mergeCell ref="M1859:N1859"/>
    <mergeCell ref="O1859:P1859"/>
    <mergeCell ref="A1860:B1860"/>
    <mergeCell ref="C1860:D1860"/>
    <mergeCell ref="E1860:F1860"/>
    <mergeCell ref="G1860:H1860"/>
    <mergeCell ref="I1860:J1860"/>
    <mergeCell ref="K1860:L1860"/>
    <mergeCell ref="M1860:N1860"/>
    <mergeCell ref="O1860:P1860"/>
    <mergeCell ref="A1859:B1859"/>
    <mergeCell ref="C1859:D1859"/>
    <mergeCell ref="E1859:F1859"/>
    <mergeCell ref="G1859:H1859"/>
    <mergeCell ref="I1859:J1859"/>
    <mergeCell ref="K1859:L1859"/>
    <mergeCell ref="M1857:N1857"/>
    <mergeCell ref="O1857:P1857"/>
    <mergeCell ref="A1858:B1858"/>
    <mergeCell ref="C1858:D1858"/>
    <mergeCell ref="E1858:F1858"/>
    <mergeCell ref="G1858:H1858"/>
    <mergeCell ref="I1858:J1858"/>
    <mergeCell ref="K1858:L1858"/>
    <mergeCell ref="M1858:N1858"/>
    <mergeCell ref="O1858:P1858"/>
    <mergeCell ref="A1857:B1857"/>
    <mergeCell ref="C1857:D1857"/>
    <mergeCell ref="E1857:F1857"/>
    <mergeCell ref="G1857:H1857"/>
    <mergeCell ref="I1857:J1857"/>
    <mergeCell ref="K1857:L1857"/>
    <mergeCell ref="M1855:N1855"/>
    <mergeCell ref="O1855:P1855"/>
    <mergeCell ref="A1856:B1856"/>
    <mergeCell ref="C1856:D1856"/>
    <mergeCell ref="E1856:F1856"/>
    <mergeCell ref="G1856:H1856"/>
    <mergeCell ref="I1856:J1856"/>
    <mergeCell ref="K1856:L1856"/>
    <mergeCell ref="M1856:N1856"/>
    <mergeCell ref="O1856:P1856"/>
    <mergeCell ref="A1855:B1855"/>
    <mergeCell ref="C1855:D1855"/>
    <mergeCell ref="E1855:F1855"/>
    <mergeCell ref="G1855:H1855"/>
    <mergeCell ref="I1855:J1855"/>
    <mergeCell ref="K1855:L1855"/>
    <mergeCell ref="M1865:N1865"/>
    <mergeCell ref="O1865:P1865"/>
    <mergeCell ref="A1866:B1866"/>
    <mergeCell ref="C1866:D1866"/>
    <mergeCell ref="E1866:F1866"/>
    <mergeCell ref="G1866:H1866"/>
    <mergeCell ref="I1866:J1866"/>
    <mergeCell ref="K1866:L1866"/>
    <mergeCell ref="M1866:N1866"/>
    <mergeCell ref="O1866:P1866"/>
    <mergeCell ref="A1865:B1865"/>
    <mergeCell ref="C1865:D1865"/>
    <mergeCell ref="E1865:F1865"/>
    <mergeCell ref="G1865:H1865"/>
    <mergeCell ref="I1865:J1865"/>
    <mergeCell ref="K1865:L1865"/>
    <mergeCell ref="M1863:N1863"/>
    <mergeCell ref="O1863:P1863"/>
    <mergeCell ref="A1864:B1864"/>
    <mergeCell ref="C1864:D1864"/>
    <mergeCell ref="E1864:F1864"/>
    <mergeCell ref="G1864:H1864"/>
    <mergeCell ref="I1864:J1864"/>
    <mergeCell ref="K1864:L1864"/>
    <mergeCell ref="M1864:N1864"/>
    <mergeCell ref="O1864:P1864"/>
    <mergeCell ref="A1863:B1863"/>
    <mergeCell ref="C1863:D1863"/>
    <mergeCell ref="E1863:F1863"/>
    <mergeCell ref="G1863:H1863"/>
    <mergeCell ref="I1863:J1863"/>
    <mergeCell ref="K1863:L1863"/>
    <mergeCell ref="M1861:N1861"/>
    <mergeCell ref="O1861:P1861"/>
    <mergeCell ref="A1862:B1862"/>
    <mergeCell ref="C1862:D1862"/>
    <mergeCell ref="E1862:F1862"/>
    <mergeCell ref="G1862:H1862"/>
    <mergeCell ref="I1862:J1862"/>
    <mergeCell ref="K1862:L1862"/>
    <mergeCell ref="M1862:N1862"/>
    <mergeCell ref="O1862:P1862"/>
    <mergeCell ref="A1861:B1861"/>
    <mergeCell ref="C1861:D1861"/>
    <mergeCell ref="E1861:F1861"/>
    <mergeCell ref="G1861:H1861"/>
    <mergeCell ref="I1861:J1861"/>
    <mergeCell ref="K1861:L1861"/>
    <mergeCell ref="M1871:N1871"/>
    <mergeCell ref="O1871:P1871"/>
    <mergeCell ref="A1872:B1872"/>
    <mergeCell ref="C1872:D1872"/>
    <mergeCell ref="E1872:F1872"/>
    <mergeCell ref="G1872:H1872"/>
    <mergeCell ref="I1872:J1872"/>
    <mergeCell ref="K1872:L1872"/>
    <mergeCell ref="M1872:N1872"/>
    <mergeCell ref="O1872:P1872"/>
    <mergeCell ref="A1871:B1871"/>
    <mergeCell ref="C1871:D1871"/>
    <mergeCell ref="E1871:F1871"/>
    <mergeCell ref="G1871:H1871"/>
    <mergeCell ref="I1871:J1871"/>
    <mergeCell ref="K1871:L1871"/>
    <mergeCell ref="M1869:N1869"/>
    <mergeCell ref="O1869:P1869"/>
    <mergeCell ref="A1870:B1870"/>
    <mergeCell ref="C1870:D1870"/>
    <mergeCell ref="E1870:F1870"/>
    <mergeCell ref="G1870:H1870"/>
    <mergeCell ref="I1870:J1870"/>
    <mergeCell ref="K1870:L1870"/>
    <mergeCell ref="M1870:N1870"/>
    <mergeCell ref="O1870:P1870"/>
    <mergeCell ref="A1869:B1869"/>
    <mergeCell ref="C1869:D1869"/>
    <mergeCell ref="E1869:F1869"/>
    <mergeCell ref="G1869:H1869"/>
    <mergeCell ref="I1869:J1869"/>
    <mergeCell ref="K1869:L1869"/>
    <mergeCell ref="M1867:N1867"/>
    <mergeCell ref="O1867:P1867"/>
    <mergeCell ref="A1868:B1868"/>
    <mergeCell ref="C1868:D1868"/>
    <mergeCell ref="E1868:F1868"/>
    <mergeCell ref="G1868:H1868"/>
    <mergeCell ref="I1868:J1868"/>
    <mergeCell ref="K1868:L1868"/>
    <mergeCell ref="M1868:N1868"/>
    <mergeCell ref="O1868:P1868"/>
    <mergeCell ref="A1867:B1867"/>
    <mergeCell ref="C1867:D1867"/>
    <mergeCell ref="E1867:F1867"/>
    <mergeCell ref="G1867:H1867"/>
    <mergeCell ref="I1867:J1867"/>
    <mergeCell ref="K1867:L1867"/>
    <mergeCell ref="M1877:N1877"/>
    <mergeCell ref="O1877:P1877"/>
    <mergeCell ref="A1878:B1878"/>
    <mergeCell ref="C1878:D1878"/>
    <mergeCell ref="E1878:F1878"/>
    <mergeCell ref="G1878:H1878"/>
    <mergeCell ref="I1878:J1878"/>
    <mergeCell ref="K1878:L1878"/>
    <mergeCell ref="M1878:N1878"/>
    <mergeCell ref="O1878:P1878"/>
    <mergeCell ref="A1877:B1877"/>
    <mergeCell ref="C1877:D1877"/>
    <mergeCell ref="E1877:F1877"/>
    <mergeCell ref="G1877:H1877"/>
    <mergeCell ref="I1877:J1877"/>
    <mergeCell ref="K1877:L1877"/>
    <mergeCell ref="M1875:N1875"/>
    <mergeCell ref="O1875:P1875"/>
    <mergeCell ref="A1876:B1876"/>
    <mergeCell ref="C1876:D1876"/>
    <mergeCell ref="E1876:F1876"/>
    <mergeCell ref="G1876:H1876"/>
    <mergeCell ref="I1876:J1876"/>
    <mergeCell ref="K1876:L1876"/>
    <mergeCell ref="M1876:N1876"/>
    <mergeCell ref="O1876:P1876"/>
    <mergeCell ref="A1875:B1875"/>
    <mergeCell ref="C1875:D1875"/>
    <mergeCell ref="E1875:F1875"/>
    <mergeCell ref="G1875:H1875"/>
    <mergeCell ref="I1875:J1875"/>
    <mergeCell ref="K1875:L1875"/>
    <mergeCell ref="M1873:N1873"/>
    <mergeCell ref="O1873:P1873"/>
    <mergeCell ref="A1874:B1874"/>
    <mergeCell ref="C1874:D1874"/>
    <mergeCell ref="E1874:F1874"/>
    <mergeCell ref="G1874:H1874"/>
    <mergeCell ref="I1874:J1874"/>
    <mergeCell ref="K1874:L1874"/>
    <mergeCell ref="M1874:N1874"/>
    <mergeCell ref="O1874:P1874"/>
    <mergeCell ref="A1873:B1873"/>
    <mergeCell ref="C1873:D1873"/>
    <mergeCell ref="E1873:F1873"/>
    <mergeCell ref="G1873:H1873"/>
    <mergeCell ref="I1873:J1873"/>
    <mergeCell ref="K1873:L1873"/>
    <mergeCell ref="M1883:N1883"/>
    <mergeCell ref="O1883:P1883"/>
    <mergeCell ref="A1884:B1884"/>
    <mergeCell ref="C1884:D1884"/>
    <mergeCell ref="E1884:F1884"/>
    <mergeCell ref="G1884:H1884"/>
    <mergeCell ref="I1884:J1884"/>
    <mergeCell ref="K1884:L1884"/>
    <mergeCell ref="M1884:N1884"/>
    <mergeCell ref="O1884:P1884"/>
    <mergeCell ref="A1883:B1883"/>
    <mergeCell ref="C1883:D1883"/>
    <mergeCell ref="E1883:F1883"/>
    <mergeCell ref="G1883:H1883"/>
    <mergeCell ref="I1883:J1883"/>
    <mergeCell ref="K1883:L1883"/>
    <mergeCell ref="M1881:N1881"/>
    <mergeCell ref="O1881:P1881"/>
    <mergeCell ref="A1882:B1882"/>
    <mergeCell ref="C1882:D1882"/>
    <mergeCell ref="E1882:F1882"/>
    <mergeCell ref="G1882:H1882"/>
    <mergeCell ref="I1882:J1882"/>
    <mergeCell ref="K1882:L1882"/>
    <mergeCell ref="M1882:N1882"/>
    <mergeCell ref="O1882:P1882"/>
    <mergeCell ref="A1881:B1881"/>
    <mergeCell ref="C1881:D1881"/>
    <mergeCell ref="E1881:F1881"/>
    <mergeCell ref="G1881:H1881"/>
    <mergeCell ref="I1881:J1881"/>
    <mergeCell ref="K1881:L1881"/>
    <mergeCell ref="M1879:N1879"/>
    <mergeCell ref="O1879:P1879"/>
    <mergeCell ref="A1880:B1880"/>
    <mergeCell ref="C1880:D1880"/>
    <mergeCell ref="E1880:F1880"/>
    <mergeCell ref="G1880:H1880"/>
    <mergeCell ref="I1880:J1880"/>
    <mergeCell ref="K1880:L1880"/>
    <mergeCell ref="M1880:N1880"/>
    <mergeCell ref="O1880:P1880"/>
    <mergeCell ref="A1879:B1879"/>
    <mergeCell ref="C1879:D1879"/>
    <mergeCell ref="E1879:F1879"/>
    <mergeCell ref="G1879:H1879"/>
    <mergeCell ref="I1879:J1879"/>
    <mergeCell ref="K1879:L1879"/>
    <mergeCell ref="M1889:N1889"/>
    <mergeCell ref="O1889:P1889"/>
    <mergeCell ref="A1890:B1890"/>
    <mergeCell ref="C1890:D1890"/>
    <mergeCell ref="E1890:F1890"/>
    <mergeCell ref="G1890:H1890"/>
    <mergeCell ref="I1890:J1890"/>
    <mergeCell ref="K1890:L1890"/>
    <mergeCell ref="M1890:N1890"/>
    <mergeCell ref="O1890:P1890"/>
    <mergeCell ref="A1889:B1889"/>
    <mergeCell ref="C1889:D1889"/>
    <mergeCell ref="E1889:F1889"/>
    <mergeCell ref="G1889:H1889"/>
    <mergeCell ref="I1889:J1889"/>
    <mergeCell ref="K1889:L1889"/>
    <mergeCell ref="M1887:N1887"/>
    <mergeCell ref="O1887:P1887"/>
    <mergeCell ref="A1888:B1888"/>
    <mergeCell ref="C1888:D1888"/>
    <mergeCell ref="E1888:F1888"/>
    <mergeCell ref="G1888:H1888"/>
    <mergeCell ref="I1888:J1888"/>
    <mergeCell ref="K1888:L1888"/>
    <mergeCell ref="M1888:N1888"/>
    <mergeCell ref="O1888:P1888"/>
    <mergeCell ref="A1887:B1887"/>
    <mergeCell ref="C1887:D1887"/>
    <mergeCell ref="E1887:F1887"/>
    <mergeCell ref="G1887:H1887"/>
    <mergeCell ref="I1887:J1887"/>
    <mergeCell ref="K1887:L1887"/>
    <mergeCell ref="M1885:N1885"/>
    <mergeCell ref="O1885:P1885"/>
    <mergeCell ref="A1886:B1886"/>
    <mergeCell ref="C1886:D1886"/>
    <mergeCell ref="E1886:F1886"/>
    <mergeCell ref="G1886:H1886"/>
    <mergeCell ref="I1886:J1886"/>
    <mergeCell ref="K1886:L1886"/>
    <mergeCell ref="M1886:N1886"/>
    <mergeCell ref="O1886:P1886"/>
    <mergeCell ref="A1885:B1885"/>
    <mergeCell ref="C1885:D1885"/>
    <mergeCell ref="E1885:F1885"/>
    <mergeCell ref="G1885:H1885"/>
    <mergeCell ref="I1885:J1885"/>
    <mergeCell ref="K1885:L1885"/>
    <mergeCell ref="M1895:N1895"/>
    <mergeCell ref="O1895:P1895"/>
    <mergeCell ref="A1896:B1896"/>
    <mergeCell ref="C1896:D1896"/>
    <mergeCell ref="E1896:F1896"/>
    <mergeCell ref="G1896:H1896"/>
    <mergeCell ref="I1896:J1896"/>
    <mergeCell ref="K1896:L1896"/>
    <mergeCell ref="M1896:N1896"/>
    <mergeCell ref="O1896:P1896"/>
    <mergeCell ref="A1895:B1895"/>
    <mergeCell ref="C1895:D1895"/>
    <mergeCell ref="E1895:F1895"/>
    <mergeCell ref="G1895:H1895"/>
    <mergeCell ref="I1895:J1895"/>
    <mergeCell ref="K1895:L1895"/>
    <mergeCell ref="M1893:N1893"/>
    <mergeCell ref="O1893:P1893"/>
    <mergeCell ref="A1894:B1894"/>
    <mergeCell ref="C1894:D1894"/>
    <mergeCell ref="E1894:F1894"/>
    <mergeCell ref="G1894:H1894"/>
    <mergeCell ref="I1894:J1894"/>
    <mergeCell ref="K1894:L1894"/>
    <mergeCell ref="M1894:N1894"/>
    <mergeCell ref="O1894:P1894"/>
    <mergeCell ref="A1893:B1893"/>
    <mergeCell ref="C1893:D1893"/>
    <mergeCell ref="E1893:F1893"/>
    <mergeCell ref="G1893:H1893"/>
    <mergeCell ref="I1893:J1893"/>
    <mergeCell ref="K1893:L1893"/>
    <mergeCell ref="M1891:N1891"/>
    <mergeCell ref="O1891:P1891"/>
    <mergeCell ref="A1892:B1892"/>
    <mergeCell ref="C1892:D1892"/>
    <mergeCell ref="E1892:F1892"/>
    <mergeCell ref="G1892:H1892"/>
    <mergeCell ref="I1892:J1892"/>
    <mergeCell ref="K1892:L1892"/>
    <mergeCell ref="M1892:N1892"/>
    <mergeCell ref="O1892:P1892"/>
    <mergeCell ref="A1891:B1891"/>
    <mergeCell ref="C1891:D1891"/>
    <mergeCell ref="E1891:F1891"/>
    <mergeCell ref="G1891:H1891"/>
    <mergeCell ref="I1891:J1891"/>
    <mergeCell ref="K1891:L1891"/>
    <mergeCell ref="M1901:N1901"/>
    <mergeCell ref="O1901:P1901"/>
    <mergeCell ref="A1902:B1902"/>
    <mergeCell ref="C1902:D1902"/>
    <mergeCell ref="E1902:F1902"/>
    <mergeCell ref="G1902:H1902"/>
    <mergeCell ref="I1902:J1902"/>
    <mergeCell ref="K1902:L1902"/>
    <mergeCell ref="M1902:N1902"/>
    <mergeCell ref="O1902:P1902"/>
    <mergeCell ref="A1901:B1901"/>
    <mergeCell ref="C1901:D1901"/>
    <mergeCell ref="E1901:F1901"/>
    <mergeCell ref="G1901:H1901"/>
    <mergeCell ref="I1901:J1901"/>
    <mergeCell ref="K1901:L1901"/>
    <mergeCell ref="M1899:N1899"/>
    <mergeCell ref="O1899:P1899"/>
    <mergeCell ref="A1900:B1900"/>
    <mergeCell ref="C1900:D1900"/>
    <mergeCell ref="E1900:F1900"/>
    <mergeCell ref="G1900:H1900"/>
    <mergeCell ref="I1900:J1900"/>
    <mergeCell ref="K1900:L1900"/>
    <mergeCell ref="M1900:N1900"/>
    <mergeCell ref="O1900:P1900"/>
    <mergeCell ref="A1899:B1899"/>
    <mergeCell ref="C1899:D1899"/>
    <mergeCell ref="E1899:F1899"/>
    <mergeCell ref="G1899:H1899"/>
    <mergeCell ref="I1899:J1899"/>
    <mergeCell ref="K1899:L1899"/>
    <mergeCell ref="M1897:N1897"/>
    <mergeCell ref="O1897:P1897"/>
    <mergeCell ref="A1898:B1898"/>
    <mergeCell ref="C1898:D1898"/>
    <mergeCell ref="E1898:F1898"/>
    <mergeCell ref="G1898:H1898"/>
    <mergeCell ref="I1898:J1898"/>
    <mergeCell ref="K1898:L1898"/>
    <mergeCell ref="M1898:N1898"/>
    <mergeCell ref="O1898:P1898"/>
    <mergeCell ref="A1897:B1897"/>
    <mergeCell ref="C1897:D1897"/>
    <mergeCell ref="E1897:F1897"/>
    <mergeCell ref="G1897:H1897"/>
    <mergeCell ref="I1897:J1897"/>
    <mergeCell ref="K1897:L1897"/>
    <mergeCell ref="M1907:N1907"/>
    <mergeCell ref="O1907:P1907"/>
    <mergeCell ref="A1908:B1908"/>
    <mergeCell ref="C1908:D1908"/>
    <mergeCell ref="E1908:F1908"/>
    <mergeCell ref="G1908:H1908"/>
    <mergeCell ref="I1908:J1908"/>
    <mergeCell ref="K1908:L1908"/>
    <mergeCell ref="M1908:N1908"/>
    <mergeCell ref="O1908:P1908"/>
    <mergeCell ref="A1907:B1907"/>
    <mergeCell ref="C1907:D1907"/>
    <mergeCell ref="E1907:F1907"/>
    <mergeCell ref="G1907:H1907"/>
    <mergeCell ref="I1907:J1907"/>
    <mergeCell ref="K1907:L1907"/>
    <mergeCell ref="M1905:N1905"/>
    <mergeCell ref="O1905:P1905"/>
    <mergeCell ref="A1906:B1906"/>
    <mergeCell ref="C1906:D1906"/>
    <mergeCell ref="E1906:F1906"/>
    <mergeCell ref="G1906:H1906"/>
    <mergeCell ref="I1906:J1906"/>
    <mergeCell ref="K1906:L1906"/>
    <mergeCell ref="M1906:N1906"/>
    <mergeCell ref="O1906:P1906"/>
    <mergeCell ref="A1905:B1905"/>
    <mergeCell ref="C1905:D1905"/>
    <mergeCell ref="E1905:F1905"/>
    <mergeCell ref="G1905:H1905"/>
    <mergeCell ref="I1905:J1905"/>
    <mergeCell ref="K1905:L1905"/>
    <mergeCell ref="M1903:N1903"/>
    <mergeCell ref="O1903:P1903"/>
    <mergeCell ref="A1904:B1904"/>
    <mergeCell ref="C1904:D1904"/>
    <mergeCell ref="E1904:F1904"/>
    <mergeCell ref="G1904:H1904"/>
    <mergeCell ref="I1904:J1904"/>
    <mergeCell ref="K1904:L1904"/>
    <mergeCell ref="M1904:N1904"/>
    <mergeCell ref="O1904:P1904"/>
    <mergeCell ref="A1903:B1903"/>
    <mergeCell ref="C1903:D1903"/>
    <mergeCell ref="E1903:F1903"/>
    <mergeCell ref="G1903:H1903"/>
    <mergeCell ref="I1903:J1903"/>
    <mergeCell ref="K1903:L1903"/>
    <mergeCell ref="M1913:N1913"/>
    <mergeCell ref="O1913:P1913"/>
    <mergeCell ref="A1914:B1914"/>
    <mergeCell ref="C1914:D1914"/>
    <mergeCell ref="E1914:F1914"/>
    <mergeCell ref="G1914:H1914"/>
    <mergeCell ref="I1914:J1914"/>
    <mergeCell ref="K1914:L1914"/>
    <mergeCell ref="M1914:N1914"/>
    <mergeCell ref="O1914:P1914"/>
    <mergeCell ref="A1913:B1913"/>
    <mergeCell ref="C1913:D1913"/>
    <mergeCell ref="E1913:F1913"/>
    <mergeCell ref="G1913:H1913"/>
    <mergeCell ref="I1913:J1913"/>
    <mergeCell ref="K1913:L1913"/>
    <mergeCell ref="M1911:N1911"/>
    <mergeCell ref="O1911:P1911"/>
    <mergeCell ref="A1912:B1912"/>
    <mergeCell ref="C1912:D1912"/>
    <mergeCell ref="E1912:F1912"/>
    <mergeCell ref="G1912:H1912"/>
    <mergeCell ref="I1912:J1912"/>
    <mergeCell ref="K1912:L1912"/>
    <mergeCell ref="M1912:N1912"/>
    <mergeCell ref="O1912:P1912"/>
    <mergeCell ref="A1911:B1911"/>
    <mergeCell ref="C1911:D1911"/>
    <mergeCell ref="E1911:F1911"/>
    <mergeCell ref="G1911:H1911"/>
    <mergeCell ref="I1911:J1911"/>
    <mergeCell ref="K1911:L1911"/>
    <mergeCell ref="M1909:N1909"/>
    <mergeCell ref="O1909:P1909"/>
    <mergeCell ref="A1910:B1910"/>
    <mergeCell ref="C1910:D1910"/>
    <mergeCell ref="E1910:F1910"/>
    <mergeCell ref="G1910:H1910"/>
    <mergeCell ref="I1910:J1910"/>
    <mergeCell ref="K1910:L1910"/>
    <mergeCell ref="M1910:N1910"/>
    <mergeCell ref="O1910:P1910"/>
    <mergeCell ref="A1909:B1909"/>
    <mergeCell ref="C1909:D1909"/>
    <mergeCell ref="E1909:F1909"/>
    <mergeCell ref="G1909:H1909"/>
    <mergeCell ref="I1909:J1909"/>
    <mergeCell ref="K1909:L1909"/>
    <mergeCell ref="M1919:N1919"/>
    <mergeCell ref="O1919:P1919"/>
    <mergeCell ref="A1920:B1920"/>
    <mergeCell ref="C1920:D1920"/>
    <mergeCell ref="E1920:F1920"/>
    <mergeCell ref="G1920:H1920"/>
    <mergeCell ref="I1920:J1920"/>
    <mergeCell ref="K1920:L1920"/>
    <mergeCell ref="M1920:N1920"/>
    <mergeCell ref="O1920:P1920"/>
    <mergeCell ref="A1919:B1919"/>
    <mergeCell ref="C1919:D1919"/>
    <mergeCell ref="E1919:F1919"/>
    <mergeCell ref="G1919:H1919"/>
    <mergeCell ref="I1919:J1919"/>
    <mergeCell ref="K1919:L1919"/>
    <mergeCell ref="M1917:N1917"/>
    <mergeCell ref="O1917:P1917"/>
    <mergeCell ref="A1918:B1918"/>
    <mergeCell ref="C1918:D1918"/>
    <mergeCell ref="E1918:F1918"/>
    <mergeCell ref="G1918:H1918"/>
    <mergeCell ref="I1918:J1918"/>
    <mergeCell ref="K1918:L1918"/>
    <mergeCell ref="M1918:N1918"/>
    <mergeCell ref="O1918:P1918"/>
    <mergeCell ref="A1917:B1917"/>
    <mergeCell ref="C1917:D1917"/>
    <mergeCell ref="E1917:F1917"/>
    <mergeCell ref="G1917:H1917"/>
    <mergeCell ref="I1917:J1917"/>
    <mergeCell ref="K1917:L1917"/>
    <mergeCell ref="M1915:N1915"/>
    <mergeCell ref="O1915:P1915"/>
    <mergeCell ref="A1916:B1916"/>
    <mergeCell ref="C1916:D1916"/>
    <mergeCell ref="E1916:F1916"/>
    <mergeCell ref="G1916:H1916"/>
    <mergeCell ref="I1916:J1916"/>
    <mergeCell ref="K1916:L1916"/>
    <mergeCell ref="M1916:N1916"/>
    <mergeCell ref="O1916:P1916"/>
    <mergeCell ref="A1915:B1915"/>
    <mergeCell ref="C1915:D1915"/>
    <mergeCell ref="E1915:F1915"/>
    <mergeCell ref="G1915:H1915"/>
    <mergeCell ref="I1915:J1915"/>
    <mergeCell ref="K1915:L1915"/>
    <mergeCell ref="M1925:N1925"/>
    <mergeCell ref="O1925:P1925"/>
    <mergeCell ref="A1926:B1926"/>
    <mergeCell ref="C1926:D1926"/>
    <mergeCell ref="E1926:F1926"/>
    <mergeCell ref="G1926:H1926"/>
    <mergeCell ref="I1926:J1926"/>
    <mergeCell ref="K1926:L1926"/>
    <mergeCell ref="M1926:N1926"/>
    <mergeCell ref="O1926:P1926"/>
    <mergeCell ref="A1925:B1925"/>
    <mergeCell ref="C1925:D1925"/>
    <mergeCell ref="E1925:F1925"/>
    <mergeCell ref="G1925:H1925"/>
    <mergeCell ref="I1925:J1925"/>
    <mergeCell ref="K1925:L1925"/>
    <mergeCell ref="M1923:N1923"/>
    <mergeCell ref="O1923:P1923"/>
    <mergeCell ref="A1924:B1924"/>
    <mergeCell ref="C1924:D1924"/>
    <mergeCell ref="E1924:F1924"/>
    <mergeCell ref="G1924:H1924"/>
    <mergeCell ref="I1924:J1924"/>
    <mergeCell ref="K1924:L1924"/>
    <mergeCell ref="M1924:N1924"/>
    <mergeCell ref="O1924:P1924"/>
    <mergeCell ref="A1923:B1923"/>
    <mergeCell ref="C1923:D1923"/>
    <mergeCell ref="E1923:F1923"/>
    <mergeCell ref="G1923:H1923"/>
    <mergeCell ref="I1923:J1923"/>
    <mergeCell ref="K1923:L1923"/>
    <mergeCell ref="M1921:N1921"/>
    <mergeCell ref="O1921:P1921"/>
    <mergeCell ref="A1922:B1922"/>
    <mergeCell ref="C1922:D1922"/>
    <mergeCell ref="E1922:F1922"/>
    <mergeCell ref="G1922:H1922"/>
    <mergeCell ref="I1922:J1922"/>
    <mergeCell ref="K1922:L1922"/>
    <mergeCell ref="M1922:N1922"/>
    <mergeCell ref="O1922:P1922"/>
    <mergeCell ref="A1921:B1921"/>
    <mergeCell ref="C1921:D1921"/>
    <mergeCell ref="E1921:F1921"/>
    <mergeCell ref="G1921:H1921"/>
    <mergeCell ref="I1921:J1921"/>
    <mergeCell ref="K1921:L1921"/>
    <mergeCell ref="M1931:N1931"/>
    <mergeCell ref="O1931:P1931"/>
    <mergeCell ref="A1932:B1932"/>
    <mergeCell ref="C1932:D1932"/>
    <mergeCell ref="E1932:F1932"/>
    <mergeCell ref="G1932:H1932"/>
    <mergeCell ref="I1932:J1932"/>
    <mergeCell ref="K1932:L1932"/>
    <mergeCell ref="M1932:N1932"/>
    <mergeCell ref="O1932:P1932"/>
    <mergeCell ref="A1931:B1931"/>
    <mergeCell ref="C1931:D1931"/>
    <mergeCell ref="E1931:F1931"/>
    <mergeCell ref="G1931:H1931"/>
    <mergeCell ref="I1931:J1931"/>
    <mergeCell ref="K1931:L1931"/>
    <mergeCell ref="M1929:N1929"/>
    <mergeCell ref="O1929:P1929"/>
    <mergeCell ref="A1930:B1930"/>
    <mergeCell ref="C1930:D1930"/>
    <mergeCell ref="E1930:F1930"/>
    <mergeCell ref="G1930:H1930"/>
    <mergeCell ref="I1930:J1930"/>
    <mergeCell ref="K1930:L1930"/>
    <mergeCell ref="M1930:N1930"/>
    <mergeCell ref="O1930:P1930"/>
    <mergeCell ref="A1929:B1929"/>
    <mergeCell ref="C1929:D1929"/>
    <mergeCell ref="E1929:F1929"/>
    <mergeCell ref="G1929:H1929"/>
    <mergeCell ref="I1929:J1929"/>
    <mergeCell ref="K1929:L1929"/>
    <mergeCell ref="M1927:N1927"/>
    <mergeCell ref="O1927:P1927"/>
    <mergeCell ref="A1928:B1928"/>
    <mergeCell ref="C1928:D1928"/>
    <mergeCell ref="E1928:F1928"/>
    <mergeCell ref="G1928:H1928"/>
    <mergeCell ref="I1928:J1928"/>
    <mergeCell ref="K1928:L1928"/>
    <mergeCell ref="M1928:N1928"/>
    <mergeCell ref="O1928:P1928"/>
    <mergeCell ref="A1927:B1927"/>
    <mergeCell ref="C1927:D1927"/>
    <mergeCell ref="E1927:F1927"/>
    <mergeCell ref="G1927:H1927"/>
    <mergeCell ref="I1927:J1927"/>
    <mergeCell ref="K1927:L1927"/>
    <mergeCell ref="M1937:N1937"/>
    <mergeCell ref="O1937:P1937"/>
    <mergeCell ref="A1938:B1938"/>
    <mergeCell ref="C1938:D1938"/>
    <mergeCell ref="E1938:F1938"/>
    <mergeCell ref="G1938:H1938"/>
    <mergeCell ref="I1938:J1938"/>
    <mergeCell ref="K1938:L1938"/>
    <mergeCell ref="M1938:N1938"/>
    <mergeCell ref="O1938:P1938"/>
    <mergeCell ref="A1937:B1937"/>
    <mergeCell ref="C1937:D1937"/>
    <mergeCell ref="E1937:F1937"/>
    <mergeCell ref="G1937:H1937"/>
    <mergeCell ref="I1937:J1937"/>
    <mergeCell ref="K1937:L1937"/>
    <mergeCell ref="M1935:N1935"/>
    <mergeCell ref="O1935:P1935"/>
    <mergeCell ref="A1936:B1936"/>
    <mergeCell ref="C1936:D1936"/>
    <mergeCell ref="E1936:F1936"/>
    <mergeCell ref="G1936:H1936"/>
    <mergeCell ref="I1936:J1936"/>
    <mergeCell ref="K1936:L1936"/>
    <mergeCell ref="M1936:N1936"/>
    <mergeCell ref="O1936:P1936"/>
    <mergeCell ref="A1935:B1935"/>
    <mergeCell ref="C1935:D1935"/>
    <mergeCell ref="E1935:F1935"/>
    <mergeCell ref="G1935:H1935"/>
    <mergeCell ref="I1935:J1935"/>
    <mergeCell ref="K1935:L1935"/>
    <mergeCell ref="M1933:N1933"/>
    <mergeCell ref="O1933:P1933"/>
    <mergeCell ref="A1934:B1934"/>
    <mergeCell ref="C1934:D1934"/>
    <mergeCell ref="E1934:F1934"/>
    <mergeCell ref="G1934:H1934"/>
    <mergeCell ref="I1934:J1934"/>
    <mergeCell ref="K1934:L1934"/>
    <mergeCell ref="M1934:N1934"/>
    <mergeCell ref="O1934:P1934"/>
    <mergeCell ref="A1933:B1933"/>
    <mergeCell ref="C1933:D1933"/>
    <mergeCell ref="E1933:F1933"/>
    <mergeCell ref="G1933:H1933"/>
    <mergeCell ref="I1933:J1933"/>
    <mergeCell ref="K1933:L1933"/>
    <mergeCell ref="M1943:N1943"/>
    <mergeCell ref="O1943:P1943"/>
    <mergeCell ref="A1944:B1944"/>
    <mergeCell ref="C1944:D1944"/>
    <mergeCell ref="E1944:F1944"/>
    <mergeCell ref="G1944:H1944"/>
    <mergeCell ref="I1944:J1944"/>
    <mergeCell ref="K1944:L1944"/>
    <mergeCell ref="M1944:N1944"/>
    <mergeCell ref="O1944:P1944"/>
    <mergeCell ref="A1943:B1943"/>
    <mergeCell ref="C1943:D1943"/>
    <mergeCell ref="E1943:F1943"/>
    <mergeCell ref="G1943:H1943"/>
    <mergeCell ref="I1943:J1943"/>
    <mergeCell ref="K1943:L1943"/>
    <mergeCell ref="M1941:N1941"/>
    <mergeCell ref="O1941:P1941"/>
    <mergeCell ref="A1942:B1942"/>
    <mergeCell ref="C1942:D1942"/>
    <mergeCell ref="E1942:F1942"/>
    <mergeCell ref="G1942:H1942"/>
    <mergeCell ref="I1942:J1942"/>
    <mergeCell ref="K1942:L1942"/>
    <mergeCell ref="M1942:N1942"/>
    <mergeCell ref="O1942:P1942"/>
    <mergeCell ref="A1941:B1941"/>
    <mergeCell ref="C1941:D1941"/>
    <mergeCell ref="E1941:F1941"/>
    <mergeCell ref="G1941:H1941"/>
    <mergeCell ref="I1941:J1941"/>
    <mergeCell ref="K1941:L1941"/>
    <mergeCell ref="M1939:N1939"/>
    <mergeCell ref="O1939:P1939"/>
    <mergeCell ref="A1940:B1940"/>
    <mergeCell ref="C1940:D1940"/>
    <mergeCell ref="E1940:F1940"/>
    <mergeCell ref="G1940:H1940"/>
    <mergeCell ref="I1940:J1940"/>
    <mergeCell ref="K1940:L1940"/>
    <mergeCell ref="M1940:N1940"/>
    <mergeCell ref="O1940:P1940"/>
    <mergeCell ref="A1939:B1939"/>
    <mergeCell ref="C1939:D1939"/>
    <mergeCell ref="E1939:F1939"/>
    <mergeCell ref="G1939:H1939"/>
    <mergeCell ref="I1939:J1939"/>
    <mergeCell ref="K1939:L1939"/>
    <mergeCell ref="M1949:N1949"/>
    <mergeCell ref="O1949:P1949"/>
    <mergeCell ref="A1950:B1950"/>
    <mergeCell ref="C1950:D1950"/>
    <mergeCell ref="E1950:F1950"/>
    <mergeCell ref="G1950:H1950"/>
    <mergeCell ref="I1950:J1950"/>
    <mergeCell ref="K1950:L1950"/>
    <mergeCell ref="M1950:N1950"/>
    <mergeCell ref="O1950:P1950"/>
    <mergeCell ref="A1949:B1949"/>
    <mergeCell ref="C1949:D1949"/>
    <mergeCell ref="E1949:F1949"/>
    <mergeCell ref="G1949:H1949"/>
    <mergeCell ref="I1949:J1949"/>
    <mergeCell ref="K1949:L1949"/>
    <mergeCell ref="M1947:N1947"/>
    <mergeCell ref="O1947:P1947"/>
    <mergeCell ref="A1948:B1948"/>
    <mergeCell ref="C1948:D1948"/>
    <mergeCell ref="E1948:F1948"/>
    <mergeCell ref="G1948:H1948"/>
    <mergeCell ref="I1948:J1948"/>
    <mergeCell ref="K1948:L1948"/>
    <mergeCell ref="M1948:N1948"/>
    <mergeCell ref="O1948:P1948"/>
    <mergeCell ref="A1947:B1947"/>
    <mergeCell ref="C1947:D1947"/>
    <mergeCell ref="E1947:F1947"/>
    <mergeCell ref="G1947:H1947"/>
    <mergeCell ref="I1947:J1947"/>
    <mergeCell ref="K1947:L1947"/>
    <mergeCell ref="M1945:N1945"/>
    <mergeCell ref="O1945:P1945"/>
    <mergeCell ref="A1946:B1946"/>
    <mergeCell ref="C1946:D1946"/>
    <mergeCell ref="E1946:F1946"/>
    <mergeCell ref="G1946:H1946"/>
    <mergeCell ref="I1946:J1946"/>
    <mergeCell ref="K1946:L1946"/>
    <mergeCell ref="M1946:N1946"/>
    <mergeCell ref="O1946:P1946"/>
    <mergeCell ref="A1945:B1945"/>
    <mergeCell ref="C1945:D1945"/>
    <mergeCell ref="E1945:F1945"/>
    <mergeCell ref="G1945:H1945"/>
    <mergeCell ref="I1945:J1945"/>
    <mergeCell ref="K1945:L1945"/>
    <mergeCell ref="M1955:N1955"/>
    <mergeCell ref="O1955:P1955"/>
    <mergeCell ref="A1956:B1956"/>
    <mergeCell ref="C1956:D1956"/>
    <mergeCell ref="E1956:F1956"/>
    <mergeCell ref="G1956:H1956"/>
    <mergeCell ref="I1956:J1956"/>
    <mergeCell ref="K1956:L1956"/>
    <mergeCell ref="M1956:N1956"/>
    <mergeCell ref="O1956:P1956"/>
    <mergeCell ref="A1955:B1955"/>
    <mergeCell ref="C1955:D1955"/>
    <mergeCell ref="E1955:F1955"/>
    <mergeCell ref="G1955:H1955"/>
    <mergeCell ref="I1955:J1955"/>
    <mergeCell ref="K1955:L1955"/>
    <mergeCell ref="M1953:N1953"/>
    <mergeCell ref="O1953:P1953"/>
    <mergeCell ref="A1954:B1954"/>
    <mergeCell ref="C1954:D1954"/>
    <mergeCell ref="E1954:F1954"/>
    <mergeCell ref="G1954:H1954"/>
    <mergeCell ref="I1954:J1954"/>
    <mergeCell ref="K1954:L1954"/>
    <mergeCell ref="M1954:N1954"/>
    <mergeCell ref="O1954:P1954"/>
    <mergeCell ref="A1953:B1953"/>
    <mergeCell ref="C1953:D1953"/>
    <mergeCell ref="E1953:F1953"/>
    <mergeCell ref="G1953:H1953"/>
    <mergeCell ref="I1953:J1953"/>
    <mergeCell ref="K1953:L1953"/>
    <mergeCell ref="M1951:N1951"/>
    <mergeCell ref="O1951:P1951"/>
    <mergeCell ref="A1952:B1952"/>
    <mergeCell ref="C1952:D1952"/>
    <mergeCell ref="E1952:F1952"/>
    <mergeCell ref="G1952:H1952"/>
    <mergeCell ref="I1952:J1952"/>
    <mergeCell ref="K1952:L1952"/>
    <mergeCell ref="M1952:N1952"/>
    <mergeCell ref="O1952:P1952"/>
    <mergeCell ref="A1951:B1951"/>
    <mergeCell ref="C1951:D1951"/>
    <mergeCell ref="E1951:F1951"/>
    <mergeCell ref="G1951:H1951"/>
    <mergeCell ref="I1951:J1951"/>
    <mergeCell ref="K1951:L1951"/>
    <mergeCell ref="M1961:N1961"/>
    <mergeCell ref="O1961:P1961"/>
    <mergeCell ref="A1962:B1962"/>
    <mergeCell ref="C1962:D1962"/>
    <mergeCell ref="E1962:F1962"/>
    <mergeCell ref="G1962:H1962"/>
    <mergeCell ref="I1962:J1962"/>
    <mergeCell ref="K1962:L1962"/>
    <mergeCell ref="M1962:N1962"/>
    <mergeCell ref="O1962:P1962"/>
    <mergeCell ref="A1961:B1961"/>
    <mergeCell ref="C1961:D1961"/>
    <mergeCell ref="E1961:F1961"/>
    <mergeCell ref="G1961:H1961"/>
    <mergeCell ref="I1961:J1961"/>
    <mergeCell ref="K1961:L1961"/>
    <mergeCell ref="M1959:N1959"/>
    <mergeCell ref="O1959:P1959"/>
    <mergeCell ref="A1960:B1960"/>
    <mergeCell ref="C1960:D1960"/>
    <mergeCell ref="E1960:F1960"/>
    <mergeCell ref="G1960:H1960"/>
    <mergeCell ref="I1960:J1960"/>
    <mergeCell ref="K1960:L1960"/>
    <mergeCell ref="M1960:N1960"/>
    <mergeCell ref="O1960:P1960"/>
    <mergeCell ref="A1959:B1959"/>
    <mergeCell ref="C1959:D1959"/>
    <mergeCell ref="E1959:F1959"/>
    <mergeCell ref="G1959:H1959"/>
    <mergeCell ref="I1959:J1959"/>
    <mergeCell ref="K1959:L1959"/>
    <mergeCell ref="M1957:N1957"/>
    <mergeCell ref="O1957:P1957"/>
    <mergeCell ref="A1958:B1958"/>
    <mergeCell ref="C1958:D1958"/>
    <mergeCell ref="E1958:F1958"/>
    <mergeCell ref="G1958:H1958"/>
    <mergeCell ref="I1958:J1958"/>
    <mergeCell ref="K1958:L1958"/>
    <mergeCell ref="M1958:N1958"/>
    <mergeCell ref="O1958:P1958"/>
    <mergeCell ref="A1957:B1957"/>
    <mergeCell ref="C1957:D1957"/>
    <mergeCell ref="E1957:F1957"/>
    <mergeCell ref="G1957:H1957"/>
    <mergeCell ref="I1957:J1957"/>
    <mergeCell ref="K1957:L1957"/>
    <mergeCell ref="M1967:N1967"/>
    <mergeCell ref="O1967:P1967"/>
    <mergeCell ref="A1968:B1968"/>
    <mergeCell ref="C1968:D1968"/>
    <mergeCell ref="E1968:F1968"/>
    <mergeCell ref="G1968:H1968"/>
    <mergeCell ref="I1968:J1968"/>
    <mergeCell ref="K1968:L1968"/>
    <mergeCell ref="M1968:N1968"/>
    <mergeCell ref="O1968:P1968"/>
    <mergeCell ref="A1967:B1967"/>
    <mergeCell ref="C1967:D1967"/>
    <mergeCell ref="E1967:F1967"/>
    <mergeCell ref="G1967:H1967"/>
    <mergeCell ref="I1967:J1967"/>
    <mergeCell ref="K1967:L1967"/>
    <mergeCell ref="M1965:N1965"/>
    <mergeCell ref="O1965:P1965"/>
    <mergeCell ref="A1966:B1966"/>
    <mergeCell ref="C1966:D1966"/>
    <mergeCell ref="E1966:F1966"/>
    <mergeCell ref="G1966:H1966"/>
    <mergeCell ref="I1966:J1966"/>
    <mergeCell ref="K1966:L1966"/>
    <mergeCell ref="M1966:N1966"/>
    <mergeCell ref="O1966:P1966"/>
    <mergeCell ref="A1965:B1965"/>
    <mergeCell ref="C1965:D1965"/>
    <mergeCell ref="E1965:F1965"/>
    <mergeCell ref="G1965:H1965"/>
    <mergeCell ref="I1965:J1965"/>
    <mergeCell ref="K1965:L1965"/>
    <mergeCell ref="M1963:N1963"/>
    <mergeCell ref="O1963:P1963"/>
    <mergeCell ref="A1964:B1964"/>
    <mergeCell ref="C1964:D1964"/>
    <mergeCell ref="E1964:F1964"/>
    <mergeCell ref="G1964:H1964"/>
    <mergeCell ref="I1964:J1964"/>
    <mergeCell ref="K1964:L1964"/>
    <mergeCell ref="M1964:N1964"/>
    <mergeCell ref="O1964:P1964"/>
    <mergeCell ref="A1963:B1963"/>
    <mergeCell ref="C1963:D1963"/>
    <mergeCell ref="E1963:F1963"/>
    <mergeCell ref="G1963:H1963"/>
    <mergeCell ref="I1963:J1963"/>
    <mergeCell ref="K1963:L1963"/>
    <mergeCell ref="M1973:N1973"/>
    <mergeCell ref="O1973:P1973"/>
    <mergeCell ref="A1974:B1974"/>
    <mergeCell ref="C1974:D1974"/>
    <mergeCell ref="E1974:F1974"/>
    <mergeCell ref="G1974:H1974"/>
    <mergeCell ref="I1974:J1974"/>
    <mergeCell ref="K1974:L1974"/>
    <mergeCell ref="M1974:N1974"/>
    <mergeCell ref="O1974:P1974"/>
    <mergeCell ref="A1973:B1973"/>
    <mergeCell ref="C1973:D1973"/>
    <mergeCell ref="E1973:F1973"/>
    <mergeCell ref="G1973:H1973"/>
    <mergeCell ref="I1973:J1973"/>
    <mergeCell ref="K1973:L1973"/>
    <mergeCell ref="M1971:N1971"/>
    <mergeCell ref="O1971:P1971"/>
    <mergeCell ref="A1972:B1972"/>
    <mergeCell ref="C1972:D1972"/>
    <mergeCell ref="E1972:F1972"/>
    <mergeCell ref="G1972:H1972"/>
    <mergeCell ref="I1972:J1972"/>
    <mergeCell ref="K1972:L1972"/>
    <mergeCell ref="M1972:N1972"/>
    <mergeCell ref="O1972:P1972"/>
    <mergeCell ref="A1971:B1971"/>
    <mergeCell ref="C1971:D1971"/>
    <mergeCell ref="E1971:F1971"/>
    <mergeCell ref="G1971:H1971"/>
    <mergeCell ref="I1971:J1971"/>
    <mergeCell ref="K1971:L1971"/>
    <mergeCell ref="M1969:N1969"/>
    <mergeCell ref="O1969:P1969"/>
    <mergeCell ref="A1970:B1970"/>
    <mergeCell ref="C1970:D1970"/>
    <mergeCell ref="E1970:F1970"/>
    <mergeCell ref="G1970:H1970"/>
    <mergeCell ref="I1970:J1970"/>
    <mergeCell ref="K1970:L1970"/>
    <mergeCell ref="M1970:N1970"/>
    <mergeCell ref="O1970:P1970"/>
    <mergeCell ref="A1969:B1969"/>
    <mergeCell ref="C1969:D1969"/>
    <mergeCell ref="E1969:F1969"/>
    <mergeCell ref="G1969:H1969"/>
    <mergeCell ref="I1969:J1969"/>
    <mergeCell ref="K1969:L1969"/>
    <mergeCell ref="M1979:N1979"/>
    <mergeCell ref="O1979:P1979"/>
    <mergeCell ref="A1980:B1980"/>
    <mergeCell ref="C1980:D1980"/>
    <mergeCell ref="E1980:F1980"/>
    <mergeCell ref="G1980:H1980"/>
    <mergeCell ref="I1980:J1980"/>
    <mergeCell ref="K1980:L1980"/>
    <mergeCell ref="M1980:N1980"/>
    <mergeCell ref="O1980:P1980"/>
    <mergeCell ref="A1979:B1979"/>
    <mergeCell ref="C1979:D1979"/>
    <mergeCell ref="E1979:F1979"/>
    <mergeCell ref="G1979:H1979"/>
    <mergeCell ref="I1979:J1979"/>
    <mergeCell ref="K1979:L1979"/>
    <mergeCell ref="M1977:N1977"/>
    <mergeCell ref="O1977:P1977"/>
    <mergeCell ref="A1978:B1978"/>
    <mergeCell ref="C1978:D1978"/>
    <mergeCell ref="E1978:F1978"/>
    <mergeCell ref="G1978:H1978"/>
    <mergeCell ref="I1978:J1978"/>
    <mergeCell ref="K1978:L1978"/>
    <mergeCell ref="M1978:N1978"/>
    <mergeCell ref="O1978:P1978"/>
    <mergeCell ref="A1977:B1977"/>
    <mergeCell ref="C1977:D1977"/>
    <mergeCell ref="E1977:F1977"/>
    <mergeCell ref="G1977:H1977"/>
    <mergeCell ref="I1977:J1977"/>
    <mergeCell ref="K1977:L1977"/>
    <mergeCell ref="M1975:N1975"/>
    <mergeCell ref="O1975:P1975"/>
    <mergeCell ref="A1976:B1976"/>
    <mergeCell ref="C1976:D1976"/>
    <mergeCell ref="E1976:F1976"/>
    <mergeCell ref="G1976:H1976"/>
    <mergeCell ref="I1976:J1976"/>
    <mergeCell ref="K1976:L1976"/>
    <mergeCell ref="M1976:N1976"/>
    <mergeCell ref="O1976:P1976"/>
    <mergeCell ref="A1975:B1975"/>
    <mergeCell ref="C1975:D1975"/>
    <mergeCell ref="E1975:F1975"/>
    <mergeCell ref="G1975:H1975"/>
    <mergeCell ref="I1975:J1975"/>
    <mergeCell ref="K1975:L1975"/>
    <mergeCell ref="M1985:N1985"/>
    <mergeCell ref="O1985:P1985"/>
    <mergeCell ref="A1986:B1986"/>
    <mergeCell ref="C1986:D1986"/>
    <mergeCell ref="E1986:F1986"/>
    <mergeCell ref="G1986:H1986"/>
    <mergeCell ref="I1986:J1986"/>
    <mergeCell ref="K1986:L1986"/>
    <mergeCell ref="M1986:N1986"/>
    <mergeCell ref="O1986:P1986"/>
    <mergeCell ref="A1985:B1985"/>
    <mergeCell ref="C1985:D1985"/>
    <mergeCell ref="E1985:F1985"/>
    <mergeCell ref="G1985:H1985"/>
    <mergeCell ref="I1985:J1985"/>
    <mergeCell ref="K1985:L1985"/>
    <mergeCell ref="M1983:N1983"/>
    <mergeCell ref="O1983:P1983"/>
    <mergeCell ref="A1984:B1984"/>
    <mergeCell ref="C1984:D1984"/>
    <mergeCell ref="E1984:F1984"/>
    <mergeCell ref="G1984:H1984"/>
    <mergeCell ref="I1984:J1984"/>
    <mergeCell ref="K1984:L1984"/>
    <mergeCell ref="M1984:N1984"/>
    <mergeCell ref="O1984:P1984"/>
    <mergeCell ref="A1983:B1983"/>
    <mergeCell ref="C1983:D1983"/>
    <mergeCell ref="E1983:F1983"/>
    <mergeCell ref="G1983:H1983"/>
    <mergeCell ref="I1983:J1983"/>
    <mergeCell ref="K1983:L1983"/>
    <mergeCell ref="M1981:N1981"/>
    <mergeCell ref="O1981:P1981"/>
    <mergeCell ref="A1982:B1982"/>
    <mergeCell ref="C1982:D1982"/>
    <mergeCell ref="E1982:F1982"/>
    <mergeCell ref="G1982:H1982"/>
    <mergeCell ref="I1982:J1982"/>
    <mergeCell ref="K1982:L1982"/>
    <mergeCell ref="M1982:N1982"/>
    <mergeCell ref="O1982:P1982"/>
    <mergeCell ref="A1981:B1981"/>
    <mergeCell ref="C1981:D1981"/>
    <mergeCell ref="E1981:F1981"/>
    <mergeCell ref="G1981:H1981"/>
    <mergeCell ref="I1981:J1981"/>
    <mergeCell ref="K1981:L1981"/>
    <mergeCell ref="M1991:N1991"/>
    <mergeCell ref="O1991:P1991"/>
    <mergeCell ref="A1992:B1992"/>
    <mergeCell ref="C1992:D1992"/>
    <mergeCell ref="E1992:F1992"/>
    <mergeCell ref="G1992:H1992"/>
    <mergeCell ref="I1992:J1992"/>
    <mergeCell ref="K1992:L1992"/>
    <mergeCell ref="M1992:N1992"/>
    <mergeCell ref="O1992:P1992"/>
    <mergeCell ref="A1991:B1991"/>
    <mergeCell ref="C1991:D1991"/>
    <mergeCell ref="E1991:F1991"/>
    <mergeCell ref="G1991:H1991"/>
    <mergeCell ref="I1991:J1991"/>
    <mergeCell ref="K1991:L1991"/>
    <mergeCell ref="M1989:N1989"/>
    <mergeCell ref="O1989:P1989"/>
    <mergeCell ref="A1990:B1990"/>
    <mergeCell ref="C1990:D1990"/>
    <mergeCell ref="E1990:F1990"/>
    <mergeCell ref="G1990:H1990"/>
    <mergeCell ref="I1990:J1990"/>
    <mergeCell ref="K1990:L1990"/>
    <mergeCell ref="M1990:N1990"/>
    <mergeCell ref="O1990:P1990"/>
    <mergeCell ref="A1989:B1989"/>
    <mergeCell ref="C1989:D1989"/>
    <mergeCell ref="E1989:F1989"/>
    <mergeCell ref="G1989:H1989"/>
    <mergeCell ref="I1989:J1989"/>
    <mergeCell ref="K1989:L1989"/>
    <mergeCell ref="M1987:N1987"/>
    <mergeCell ref="O1987:P1987"/>
    <mergeCell ref="A1988:B1988"/>
    <mergeCell ref="C1988:D1988"/>
    <mergeCell ref="E1988:F1988"/>
    <mergeCell ref="G1988:H1988"/>
    <mergeCell ref="I1988:J1988"/>
    <mergeCell ref="K1988:L1988"/>
    <mergeCell ref="M1988:N1988"/>
    <mergeCell ref="O1988:P1988"/>
    <mergeCell ref="A1987:B1987"/>
    <mergeCell ref="C1987:D1987"/>
    <mergeCell ref="E1987:F1987"/>
    <mergeCell ref="G1987:H1987"/>
    <mergeCell ref="I1987:J1987"/>
    <mergeCell ref="K1987:L1987"/>
    <mergeCell ref="M1997:N1997"/>
    <mergeCell ref="O1997:P1997"/>
    <mergeCell ref="A1998:B1998"/>
    <mergeCell ref="C1998:D1998"/>
    <mergeCell ref="E1998:F1998"/>
    <mergeCell ref="G1998:H1998"/>
    <mergeCell ref="I1998:J1998"/>
    <mergeCell ref="K1998:L1998"/>
    <mergeCell ref="M1998:N1998"/>
    <mergeCell ref="O1998:P1998"/>
    <mergeCell ref="A1997:B1997"/>
    <mergeCell ref="C1997:D1997"/>
    <mergeCell ref="E1997:F1997"/>
    <mergeCell ref="G1997:H1997"/>
    <mergeCell ref="I1997:J1997"/>
    <mergeCell ref="K1997:L1997"/>
    <mergeCell ref="M1995:N1995"/>
    <mergeCell ref="O1995:P1995"/>
    <mergeCell ref="A1996:B1996"/>
    <mergeCell ref="C1996:D1996"/>
    <mergeCell ref="E1996:F1996"/>
    <mergeCell ref="G1996:H1996"/>
    <mergeCell ref="I1996:J1996"/>
    <mergeCell ref="K1996:L1996"/>
    <mergeCell ref="M1996:N1996"/>
    <mergeCell ref="O1996:P1996"/>
    <mergeCell ref="A1995:B1995"/>
    <mergeCell ref="C1995:D1995"/>
    <mergeCell ref="E1995:F1995"/>
    <mergeCell ref="G1995:H1995"/>
    <mergeCell ref="I1995:J1995"/>
    <mergeCell ref="K1995:L1995"/>
    <mergeCell ref="M1993:N1993"/>
    <mergeCell ref="O1993:P1993"/>
    <mergeCell ref="A1994:B1994"/>
    <mergeCell ref="C1994:D1994"/>
    <mergeCell ref="E1994:F1994"/>
    <mergeCell ref="G1994:H1994"/>
    <mergeCell ref="I1994:J1994"/>
    <mergeCell ref="K1994:L1994"/>
    <mergeCell ref="M1994:N1994"/>
    <mergeCell ref="O1994:P1994"/>
    <mergeCell ref="A1993:B1993"/>
    <mergeCell ref="C1993:D1993"/>
    <mergeCell ref="E1993:F1993"/>
    <mergeCell ref="G1993:H1993"/>
    <mergeCell ref="I1993:J1993"/>
    <mergeCell ref="K1993:L1993"/>
    <mergeCell ref="M2003:N2003"/>
    <mergeCell ref="O2003:P2003"/>
    <mergeCell ref="A2004:B2004"/>
    <mergeCell ref="C2004:D2004"/>
    <mergeCell ref="E2004:F2004"/>
    <mergeCell ref="G2004:H2004"/>
    <mergeCell ref="I2004:J2004"/>
    <mergeCell ref="K2004:L2004"/>
    <mergeCell ref="M2004:N2004"/>
    <mergeCell ref="O2004:P2004"/>
    <mergeCell ref="A2003:B2003"/>
    <mergeCell ref="C2003:D2003"/>
    <mergeCell ref="E2003:F2003"/>
    <mergeCell ref="G2003:H2003"/>
    <mergeCell ref="I2003:J2003"/>
    <mergeCell ref="K2003:L2003"/>
    <mergeCell ref="M2001:N2001"/>
    <mergeCell ref="O2001:P2001"/>
    <mergeCell ref="A2002:B2002"/>
    <mergeCell ref="C2002:D2002"/>
    <mergeCell ref="E2002:F2002"/>
    <mergeCell ref="G2002:H2002"/>
    <mergeCell ref="I2002:J2002"/>
    <mergeCell ref="K2002:L2002"/>
    <mergeCell ref="M2002:N2002"/>
    <mergeCell ref="O2002:P2002"/>
    <mergeCell ref="A2001:B2001"/>
    <mergeCell ref="C2001:D2001"/>
    <mergeCell ref="E2001:F2001"/>
    <mergeCell ref="G2001:H2001"/>
    <mergeCell ref="I2001:J2001"/>
    <mergeCell ref="K2001:L2001"/>
    <mergeCell ref="M1999:N1999"/>
    <mergeCell ref="O1999:P1999"/>
    <mergeCell ref="A2000:B2000"/>
    <mergeCell ref="C2000:D2000"/>
    <mergeCell ref="E2000:F2000"/>
    <mergeCell ref="G2000:H2000"/>
    <mergeCell ref="I2000:J2000"/>
    <mergeCell ref="K2000:L2000"/>
    <mergeCell ref="M2000:N2000"/>
    <mergeCell ref="O2000:P2000"/>
    <mergeCell ref="A1999:B1999"/>
    <mergeCell ref="C1999:D1999"/>
    <mergeCell ref="E1999:F1999"/>
    <mergeCell ref="G1999:H1999"/>
    <mergeCell ref="I1999:J1999"/>
    <mergeCell ref="K1999:L1999"/>
    <mergeCell ref="M2009:N2009"/>
    <mergeCell ref="O2009:P2009"/>
    <mergeCell ref="A2010:B2010"/>
    <mergeCell ref="C2010:D2010"/>
    <mergeCell ref="E2010:F2010"/>
    <mergeCell ref="G2010:H2010"/>
    <mergeCell ref="I2010:J2010"/>
    <mergeCell ref="K2010:L2010"/>
    <mergeCell ref="M2010:N2010"/>
    <mergeCell ref="O2010:P2010"/>
    <mergeCell ref="A2009:B2009"/>
    <mergeCell ref="C2009:D2009"/>
    <mergeCell ref="E2009:F2009"/>
    <mergeCell ref="G2009:H2009"/>
    <mergeCell ref="I2009:J2009"/>
    <mergeCell ref="K2009:L2009"/>
    <mergeCell ref="M2007:N2007"/>
    <mergeCell ref="O2007:P2007"/>
    <mergeCell ref="A2008:B2008"/>
    <mergeCell ref="C2008:D2008"/>
    <mergeCell ref="E2008:F2008"/>
    <mergeCell ref="G2008:H2008"/>
    <mergeCell ref="I2008:J2008"/>
    <mergeCell ref="K2008:L2008"/>
    <mergeCell ref="M2008:N2008"/>
    <mergeCell ref="O2008:P2008"/>
    <mergeCell ref="A2007:B2007"/>
    <mergeCell ref="C2007:D2007"/>
    <mergeCell ref="E2007:F2007"/>
    <mergeCell ref="G2007:H2007"/>
    <mergeCell ref="I2007:J2007"/>
    <mergeCell ref="K2007:L2007"/>
    <mergeCell ref="M2005:N2005"/>
    <mergeCell ref="O2005:P2005"/>
    <mergeCell ref="A2006:B2006"/>
    <mergeCell ref="C2006:D2006"/>
    <mergeCell ref="E2006:F2006"/>
    <mergeCell ref="G2006:H2006"/>
    <mergeCell ref="I2006:J2006"/>
    <mergeCell ref="K2006:L2006"/>
    <mergeCell ref="M2006:N2006"/>
    <mergeCell ref="O2006:P2006"/>
    <mergeCell ref="A2005:B2005"/>
    <mergeCell ref="C2005:D2005"/>
    <mergeCell ref="E2005:F2005"/>
    <mergeCell ref="G2005:H2005"/>
    <mergeCell ref="I2005:J2005"/>
    <mergeCell ref="K2005:L2005"/>
    <mergeCell ref="M2015:N2015"/>
    <mergeCell ref="O2015:P2015"/>
    <mergeCell ref="A2016:B2016"/>
    <mergeCell ref="C2016:D2016"/>
    <mergeCell ref="E2016:F2016"/>
    <mergeCell ref="G2016:H2016"/>
    <mergeCell ref="I2016:J2016"/>
    <mergeCell ref="K2016:L2016"/>
    <mergeCell ref="M2016:N2016"/>
    <mergeCell ref="O2016:P2016"/>
    <mergeCell ref="A2015:B2015"/>
    <mergeCell ref="C2015:D2015"/>
    <mergeCell ref="E2015:F2015"/>
    <mergeCell ref="G2015:H2015"/>
    <mergeCell ref="I2015:J2015"/>
    <mergeCell ref="K2015:L2015"/>
    <mergeCell ref="M2013:N2013"/>
    <mergeCell ref="O2013:P2013"/>
    <mergeCell ref="A2014:B2014"/>
    <mergeCell ref="C2014:D2014"/>
    <mergeCell ref="E2014:F2014"/>
    <mergeCell ref="G2014:H2014"/>
    <mergeCell ref="I2014:J2014"/>
    <mergeCell ref="K2014:L2014"/>
    <mergeCell ref="M2014:N2014"/>
    <mergeCell ref="O2014:P2014"/>
    <mergeCell ref="A2013:B2013"/>
    <mergeCell ref="C2013:D2013"/>
    <mergeCell ref="E2013:F2013"/>
    <mergeCell ref="G2013:H2013"/>
    <mergeCell ref="I2013:J2013"/>
    <mergeCell ref="K2013:L2013"/>
    <mergeCell ref="M2011:N2011"/>
    <mergeCell ref="O2011:P2011"/>
    <mergeCell ref="A2012:B2012"/>
    <mergeCell ref="C2012:D2012"/>
    <mergeCell ref="E2012:F2012"/>
    <mergeCell ref="G2012:H2012"/>
    <mergeCell ref="I2012:J2012"/>
    <mergeCell ref="K2012:L2012"/>
    <mergeCell ref="M2012:N2012"/>
    <mergeCell ref="O2012:P2012"/>
    <mergeCell ref="A2011:B2011"/>
    <mergeCell ref="C2011:D2011"/>
    <mergeCell ref="E2011:F2011"/>
    <mergeCell ref="G2011:H2011"/>
    <mergeCell ref="I2011:J2011"/>
    <mergeCell ref="K2011:L2011"/>
    <mergeCell ref="M2021:N2021"/>
    <mergeCell ref="O2021:P2021"/>
    <mergeCell ref="A2022:B2022"/>
    <mergeCell ref="C2022:D2022"/>
    <mergeCell ref="E2022:F2022"/>
    <mergeCell ref="G2022:H2022"/>
    <mergeCell ref="I2022:J2022"/>
    <mergeCell ref="K2022:L2022"/>
    <mergeCell ref="M2022:N2022"/>
    <mergeCell ref="O2022:P2022"/>
    <mergeCell ref="A2021:B2021"/>
    <mergeCell ref="C2021:D2021"/>
    <mergeCell ref="E2021:F2021"/>
    <mergeCell ref="G2021:H2021"/>
    <mergeCell ref="I2021:J2021"/>
    <mergeCell ref="K2021:L2021"/>
    <mergeCell ref="M2019:N2019"/>
    <mergeCell ref="O2019:P2019"/>
    <mergeCell ref="A2020:B2020"/>
    <mergeCell ref="C2020:D2020"/>
    <mergeCell ref="E2020:F2020"/>
    <mergeCell ref="G2020:H2020"/>
    <mergeCell ref="I2020:J2020"/>
    <mergeCell ref="K2020:L2020"/>
    <mergeCell ref="M2020:N2020"/>
    <mergeCell ref="O2020:P2020"/>
    <mergeCell ref="A2019:B2019"/>
    <mergeCell ref="C2019:D2019"/>
    <mergeCell ref="E2019:F2019"/>
    <mergeCell ref="G2019:H2019"/>
    <mergeCell ref="I2019:J2019"/>
    <mergeCell ref="K2019:L2019"/>
    <mergeCell ref="M2017:N2017"/>
    <mergeCell ref="O2017:P2017"/>
    <mergeCell ref="A2018:B2018"/>
    <mergeCell ref="C2018:D2018"/>
    <mergeCell ref="E2018:F2018"/>
    <mergeCell ref="G2018:H2018"/>
    <mergeCell ref="I2018:J2018"/>
    <mergeCell ref="K2018:L2018"/>
    <mergeCell ref="M2018:N2018"/>
    <mergeCell ref="O2018:P2018"/>
    <mergeCell ref="A2017:B2017"/>
    <mergeCell ref="C2017:D2017"/>
    <mergeCell ref="E2017:F2017"/>
    <mergeCell ref="G2017:H2017"/>
    <mergeCell ref="I2017:J2017"/>
    <mergeCell ref="K2017:L2017"/>
    <mergeCell ref="M2027:N2027"/>
    <mergeCell ref="O2027:P2027"/>
    <mergeCell ref="A2028:B2028"/>
    <mergeCell ref="C2028:D2028"/>
    <mergeCell ref="E2028:F2028"/>
    <mergeCell ref="G2028:H2028"/>
    <mergeCell ref="I2028:J2028"/>
    <mergeCell ref="K2028:L2028"/>
    <mergeCell ref="M2028:N2028"/>
    <mergeCell ref="O2028:P2028"/>
    <mergeCell ref="A2027:B2027"/>
    <mergeCell ref="C2027:D2027"/>
    <mergeCell ref="E2027:F2027"/>
    <mergeCell ref="G2027:H2027"/>
    <mergeCell ref="I2027:J2027"/>
    <mergeCell ref="K2027:L2027"/>
    <mergeCell ref="M2025:N2025"/>
    <mergeCell ref="O2025:P2025"/>
    <mergeCell ref="A2026:B2026"/>
    <mergeCell ref="C2026:D2026"/>
    <mergeCell ref="E2026:F2026"/>
    <mergeCell ref="G2026:H2026"/>
    <mergeCell ref="I2026:J2026"/>
    <mergeCell ref="K2026:L2026"/>
    <mergeCell ref="M2026:N2026"/>
    <mergeCell ref="O2026:P2026"/>
    <mergeCell ref="A2025:B2025"/>
    <mergeCell ref="C2025:D2025"/>
    <mergeCell ref="E2025:F2025"/>
    <mergeCell ref="G2025:H2025"/>
    <mergeCell ref="I2025:J2025"/>
    <mergeCell ref="K2025:L2025"/>
    <mergeCell ref="M2023:N2023"/>
    <mergeCell ref="O2023:P2023"/>
    <mergeCell ref="A2024:B2024"/>
    <mergeCell ref="C2024:D2024"/>
    <mergeCell ref="E2024:F2024"/>
    <mergeCell ref="G2024:H2024"/>
    <mergeCell ref="I2024:J2024"/>
    <mergeCell ref="K2024:L2024"/>
    <mergeCell ref="M2024:N2024"/>
    <mergeCell ref="O2024:P2024"/>
    <mergeCell ref="A2023:B2023"/>
    <mergeCell ref="C2023:D2023"/>
    <mergeCell ref="E2023:F2023"/>
    <mergeCell ref="G2023:H2023"/>
    <mergeCell ref="I2023:J2023"/>
    <mergeCell ref="K2023:L2023"/>
    <mergeCell ref="M2033:N2033"/>
    <mergeCell ref="O2033:P2033"/>
    <mergeCell ref="A2034:B2034"/>
    <mergeCell ref="C2034:D2034"/>
    <mergeCell ref="E2034:F2034"/>
    <mergeCell ref="G2034:H2034"/>
    <mergeCell ref="I2034:J2034"/>
    <mergeCell ref="K2034:L2034"/>
    <mergeCell ref="M2034:N2034"/>
    <mergeCell ref="O2034:P2034"/>
    <mergeCell ref="A2033:B2033"/>
    <mergeCell ref="C2033:D2033"/>
    <mergeCell ref="E2033:F2033"/>
    <mergeCell ref="G2033:H2033"/>
    <mergeCell ref="I2033:J2033"/>
    <mergeCell ref="K2033:L2033"/>
    <mergeCell ref="M2031:N2031"/>
    <mergeCell ref="O2031:P2031"/>
    <mergeCell ref="A2032:B2032"/>
    <mergeCell ref="C2032:D2032"/>
    <mergeCell ref="E2032:F2032"/>
    <mergeCell ref="G2032:H2032"/>
    <mergeCell ref="I2032:J2032"/>
    <mergeCell ref="K2032:L2032"/>
    <mergeCell ref="M2032:N2032"/>
    <mergeCell ref="O2032:P2032"/>
    <mergeCell ref="A2031:B2031"/>
    <mergeCell ref="C2031:D2031"/>
    <mergeCell ref="E2031:F2031"/>
    <mergeCell ref="G2031:H2031"/>
    <mergeCell ref="I2031:J2031"/>
    <mergeCell ref="K2031:L2031"/>
    <mergeCell ref="M2029:N2029"/>
    <mergeCell ref="O2029:P2029"/>
    <mergeCell ref="A2030:B2030"/>
    <mergeCell ref="C2030:D2030"/>
    <mergeCell ref="E2030:F2030"/>
    <mergeCell ref="G2030:H2030"/>
    <mergeCell ref="I2030:J2030"/>
    <mergeCell ref="K2030:L2030"/>
    <mergeCell ref="M2030:N2030"/>
    <mergeCell ref="O2030:P2030"/>
    <mergeCell ref="A2029:B2029"/>
    <mergeCell ref="C2029:D2029"/>
    <mergeCell ref="E2029:F2029"/>
    <mergeCell ref="G2029:H2029"/>
    <mergeCell ref="I2029:J2029"/>
    <mergeCell ref="K2029:L2029"/>
    <mergeCell ref="M2039:N2039"/>
    <mergeCell ref="O2039:P2039"/>
    <mergeCell ref="A2040:B2040"/>
    <mergeCell ref="C2040:D2040"/>
    <mergeCell ref="E2040:F2040"/>
    <mergeCell ref="G2040:H2040"/>
    <mergeCell ref="I2040:J2040"/>
    <mergeCell ref="K2040:L2040"/>
    <mergeCell ref="M2040:N2040"/>
    <mergeCell ref="O2040:P2040"/>
    <mergeCell ref="A2039:B2039"/>
    <mergeCell ref="C2039:D2039"/>
    <mergeCell ref="E2039:F2039"/>
    <mergeCell ref="G2039:H2039"/>
    <mergeCell ref="I2039:J2039"/>
    <mergeCell ref="K2039:L2039"/>
    <mergeCell ref="M2037:N2037"/>
    <mergeCell ref="O2037:P2037"/>
    <mergeCell ref="A2038:B2038"/>
    <mergeCell ref="C2038:D2038"/>
    <mergeCell ref="E2038:F2038"/>
    <mergeCell ref="G2038:H2038"/>
    <mergeCell ref="I2038:J2038"/>
    <mergeCell ref="K2038:L2038"/>
    <mergeCell ref="M2038:N2038"/>
    <mergeCell ref="O2038:P2038"/>
    <mergeCell ref="A2037:B2037"/>
    <mergeCell ref="C2037:D2037"/>
    <mergeCell ref="E2037:F2037"/>
    <mergeCell ref="G2037:H2037"/>
    <mergeCell ref="I2037:J2037"/>
    <mergeCell ref="K2037:L2037"/>
    <mergeCell ref="M2035:N2035"/>
    <mergeCell ref="O2035:P2035"/>
    <mergeCell ref="A2036:B2036"/>
    <mergeCell ref="C2036:D2036"/>
    <mergeCell ref="E2036:F2036"/>
    <mergeCell ref="G2036:H2036"/>
    <mergeCell ref="I2036:J2036"/>
    <mergeCell ref="K2036:L2036"/>
    <mergeCell ref="M2036:N2036"/>
    <mergeCell ref="O2036:P2036"/>
    <mergeCell ref="A2035:B2035"/>
    <mergeCell ref="C2035:D2035"/>
    <mergeCell ref="E2035:F2035"/>
    <mergeCell ref="G2035:H2035"/>
    <mergeCell ref="I2035:J2035"/>
    <mergeCell ref="K2035:L2035"/>
    <mergeCell ref="M2045:N2045"/>
    <mergeCell ref="O2045:P2045"/>
    <mergeCell ref="A2046:B2046"/>
    <mergeCell ref="C2046:D2046"/>
    <mergeCell ref="E2046:F2046"/>
    <mergeCell ref="G2046:H2046"/>
    <mergeCell ref="I2046:J2046"/>
    <mergeCell ref="K2046:L2046"/>
    <mergeCell ref="M2046:N2046"/>
    <mergeCell ref="O2046:P2046"/>
    <mergeCell ref="A2045:B2045"/>
    <mergeCell ref="C2045:D2045"/>
    <mergeCell ref="E2045:F2045"/>
    <mergeCell ref="G2045:H2045"/>
    <mergeCell ref="I2045:J2045"/>
    <mergeCell ref="K2045:L2045"/>
    <mergeCell ref="M2043:N2043"/>
    <mergeCell ref="O2043:P2043"/>
    <mergeCell ref="A2044:B2044"/>
    <mergeCell ref="C2044:D2044"/>
    <mergeCell ref="E2044:F2044"/>
    <mergeCell ref="G2044:H2044"/>
    <mergeCell ref="I2044:J2044"/>
    <mergeCell ref="K2044:L2044"/>
    <mergeCell ref="M2044:N2044"/>
    <mergeCell ref="O2044:P2044"/>
    <mergeCell ref="A2043:B2043"/>
    <mergeCell ref="C2043:D2043"/>
    <mergeCell ref="E2043:F2043"/>
    <mergeCell ref="G2043:H2043"/>
    <mergeCell ref="I2043:J2043"/>
    <mergeCell ref="K2043:L2043"/>
    <mergeCell ref="M2041:N2041"/>
    <mergeCell ref="O2041:P2041"/>
    <mergeCell ref="A2042:B2042"/>
    <mergeCell ref="C2042:D2042"/>
    <mergeCell ref="E2042:F2042"/>
    <mergeCell ref="G2042:H2042"/>
    <mergeCell ref="I2042:J2042"/>
    <mergeCell ref="K2042:L2042"/>
    <mergeCell ref="M2042:N2042"/>
    <mergeCell ref="O2042:P2042"/>
    <mergeCell ref="A2041:B2041"/>
    <mergeCell ref="C2041:D2041"/>
    <mergeCell ref="E2041:F2041"/>
    <mergeCell ref="G2041:H2041"/>
    <mergeCell ref="I2041:J2041"/>
    <mergeCell ref="K2041:L2041"/>
    <mergeCell ref="M2051:N2051"/>
    <mergeCell ref="O2051:P2051"/>
    <mergeCell ref="A2052:B2052"/>
    <mergeCell ref="C2052:D2052"/>
    <mergeCell ref="E2052:F2052"/>
    <mergeCell ref="G2052:H2052"/>
    <mergeCell ref="I2052:J2052"/>
    <mergeCell ref="K2052:L2052"/>
    <mergeCell ref="M2052:N2052"/>
    <mergeCell ref="O2052:P2052"/>
    <mergeCell ref="A2051:B2051"/>
    <mergeCell ref="C2051:D2051"/>
    <mergeCell ref="E2051:F2051"/>
    <mergeCell ref="G2051:H2051"/>
    <mergeCell ref="I2051:J2051"/>
    <mergeCell ref="K2051:L2051"/>
    <mergeCell ref="M2049:N2049"/>
    <mergeCell ref="O2049:P2049"/>
    <mergeCell ref="A2050:B2050"/>
    <mergeCell ref="C2050:D2050"/>
    <mergeCell ref="E2050:F2050"/>
    <mergeCell ref="G2050:H2050"/>
    <mergeCell ref="I2050:J2050"/>
    <mergeCell ref="K2050:L2050"/>
    <mergeCell ref="M2050:N2050"/>
    <mergeCell ref="O2050:P2050"/>
    <mergeCell ref="A2049:B2049"/>
    <mergeCell ref="C2049:D2049"/>
    <mergeCell ref="E2049:F2049"/>
    <mergeCell ref="G2049:H2049"/>
    <mergeCell ref="I2049:J2049"/>
    <mergeCell ref="K2049:L2049"/>
    <mergeCell ref="M2047:N2047"/>
    <mergeCell ref="O2047:P2047"/>
    <mergeCell ref="A2048:B2048"/>
    <mergeCell ref="C2048:D2048"/>
    <mergeCell ref="E2048:F2048"/>
    <mergeCell ref="G2048:H2048"/>
    <mergeCell ref="I2048:J2048"/>
    <mergeCell ref="K2048:L2048"/>
    <mergeCell ref="M2048:N2048"/>
    <mergeCell ref="O2048:P2048"/>
    <mergeCell ref="A2047:B2047"/>
    <mergeCell ref="C2047:D2047"/>
    <mergeCell ref="E2047:F2047"/>
    <mergeCell ref="G2047:H2047"/>
    <mergeCell ref="I2047:J2047"/>
    <mergeCell ref="K2047:L2047"/>
    <mergeCell ref="M2057:N2057"/>
    <mergeCell ref="O2057:P2057"/>
    <mergeCell ref="A2058:B2058"/>
    <mergeCell ref="C2058:D2058"/>
    <mergeCell ref="E2058:F2058"/>
    <mergeCell ref="G2058:H2058"/>
    <mergeCell ref="I2058:J2058"/>
    <mergeCell ref="K2058:L2058"/>
    <mergeCell ref="M2058:N2058"/>
    <mergeCell ref="O2058:P2058"/>
    <mergeCell ref="A2057:B2057"/>
    <mergeCell ref="C2057:D2057"/>
    <mergeCell ref="E2057:F2057"/>
    <mergeCell ref="G2057:H2057"/>
    <mergeCell ref="I2057:J2057"/>
    <mergeCell ref="K2057:L2057"/>
    <mergeCell ref="M2055:N2055"/>
    <mergeCell ref="O2055:P2055"/>
    <mergeCell ref="A2056:B2056"/>
    <mergeCell ref="C2056:D2056"/>
    <mergeCell ref="E2056:F2056"/>
    <mergeCell ref="G2056:H2056"/>
    <mergeCell ref="I2056:J2056"/>
    <mergeCell ref="K2056:L2056"/>
    <mergeCell ref="M2056:N2056"/>
    <mergeCell ref="O2056:P2056"/>
    <mergeCell ref="A2055:B2055"/>
    <mergeCell ref="C2055:D2055"/>
    <mergeCell ref="E2055:F2055"/>
    <mergeCell ref="G2055:H2055"/>
    <mergeCell ref="I2055:J2055"/>
    <mergeCell ref="K2055:L2055"/>
    <mergeCell ref="M2053:N2053"/>
    <mergeCell ref="O2053:P2053"/>
    <mergeCell ref="A2054:B2054"/>
    <mergeCell ref="C2054:D2054"/>
    <mergeCell ref="E2054:F2054"/>
    <mergeCell ref="G2054:H2054"/>
    <mergeCell ref="I2054:J2054"/>
    <mergeCell ref="K2054:L2054"/>
    <mergeCell ref="M2054:N2054"/>
    <mergeCell ref="O2054:P2054"/>
    <mergeCell ref="A2053:B2053"/>
    <mergeCell ref="C2053:D2053"/>
    <mergeCell ref="E2053:F2053"/>
    <mergeCell ref="G2053:H2053"/>
    <mergeCell ref="I2053:J2053"/>
    <mergeCell ref="K2053:L2053"/>
    <mergeCell ref="M2063:N2063"/>
    <mergeCell ref="O2063:P2063"/>
    <mergeCell ref="A2064:B2064"/>
    <mergeCell ref="C2064:D2064"/>
    <mergeCell ref="E2064:F2064"/>
    <mergeCell ref="G2064:H2064"/>
    <mergeCell ref="I2064:J2064"/>
    <mergeCell ref="K2064:L2064"/>
    <mergeCell ref="M2064:N2064"/>
    <mergeCell ref="O2064:P2064"/>
    <mergeCell ref="A2063:B2063"/>
    <mergeCell ref="C2063:D2063"/>
    <mergeCell ref="E2063:F2063"/>
    <mergeCell ref="G2063:H2063"/>
    <mergeCell ref="I2063:J2063"/>
    <mergeCell ref="K2063:L2063"/>
    <mergeCell ref="M2061:N2061"/>
    <mergeCell ref="O2061:P2061"/>
    <mergeCell ref="A2062:B2062"/>
    <mergeCell ref="C2062:D2062"/>
    <mergeCell ref="E2062:F2062"/>
    <mergeCell ref="G2062:H2062"/>
    <mergeCell ref="I2062:J2062"/>
    <mergeCell ref="K2062:L2062"/>
    <mergeCell ref="M2062:N2062"/>
    <mergeCell ref="O2062:P2062"/>
    <mergeCell ref="A2061:B2061"/>
    <mergeCell ref="C2061:D2061"/>
    <mergeCell ref="E2061:F2061"/>
    <mergeCell ref="G2061:H2061"/>
    <mergeCell ref="I2061:J2061"/>
    <mergeCell ref="K2061:L2061"/>
    <mergeCell ref="M2059:N2059"/>
    <mergeCell ref="O2059:P2059"/>
    <mergeCell ref="A2060:B2060"/>
    <mergeCell ref="C2060:D2060"/>
    <mergeCell ref="E2060:F2060"/>
    <mergeCell ref="G2060:H2060"/>
    <mergeCell ref="I2060:J2060"/>
    <mergeCell ref="K2060:L2060"/>
    <mergeCell ref="M2060:N2060"/>
    <mergeCell ref="O2060:P2060"/>
    <mergeCell ref="A2059:B2059"/>
    <mergeCell ref="C2059:D2059"/>
    <mergeCell ref="E2059:F2059"/>
    <mergeCell ref="G2059:H2059"/>
    <mergeCell ref="I2059:J2059"/>
    <mergeCell ref="K2059:L2059"/>
    <mergeCell ref="M2069:N2069"/>
    <mergeCell ref="O2069:P2069"/>
    <mergeCell ref="A2070:B2070"/>
    <mergeCell ref="C2070:D2070"/>
    <mergeCell ref="E2070:F2070"/>
    <mergeCell ref="G2070:H2070"/>
    <mergeCell ref="I2070:J2070"/>
    <mergeCell ref="K2070:L2070"/>
    <mergeCell ref="M2070:N2070"/>
    <mergeCell ref="O2070:P2070"/>
    <mergeCell ref="A2069:B2069"/>
    <mergeCell ref="C2069:D2069"/>
    <mergeCell ref="E2069:F2069"/>
    <mergeCell ref="G2069:H2069"/>
    <mergeCell ref="I2069:J2069"/>
    <mergeCell ref="K2069:L2069"/>
    <mergeCell ref="M2067:N2067"/>
    <mergeCell ref="O2067:P2067"/>
    <mergeCell ref="A2068:B2068"/>
    <mergeCell ref="C2068:D2068"/>
    <mergeCell ref="E2068:F2068"/>
    <mergeCell ref="G2068:H2068"/>
    <mergeCell ref="I2068:J2068"/>
    <mergeCell ref="K2068:L2068"/>
    <mergeCell ref="M2068:N2068"/>
    <mergeCell ref="O2068:P2068"/>
    <mergeCell ref="A2067:B2067"/>
    <mergeCell ref="C2067:D2067"/>
    <mergeCell ref="E2067:F2067"/>
    <mergeCell ref="G2067:H2067"/>
    <mergeCell ref="I2067:J2067"/>
    <mergeCell ref="K2067:L2067"/>
    <mergeCell ref="M2065:N2065"/>
    <mergeCell ref="O2065:P2065"/>
    <mergeCell ref="A2066:B2066"/>
    <mergeCell ref="C2066:D2066"/>
    <mergeCell ref="E2066:F2066"/>
    <mergeCell ref="G2066:H2066"/>
    <mergeCell ref="I2066:J2066"/>
    <mergeCell ref="K2066:L2066"/>
    <mergeCell ref="M2066:N2066"/>
    <mergeCell ref="O2066:P2066"/>
    <mergeCell ref="A2065:B2065"/>
    <mergeCell ref="C2065:D2065"/>
    <mergeCell ref="E2065:F2065"/>
    <mergeCell ref="G2065:H2065"/>
    <mergeCell ref="I2065:J2065"/>
    <mergeCell ref="K2065:L2065"/>
    <mergeCell ref="M2075:N2075"/>
    <mergeCell ref="O2075:P2075"/>
    <mergeCell ref="A2076:B2076"/>
    <mergeCell ref="C2076:D2076"/>
    <mergeCell ref="E2076:F2076"/>
    <mergeCell ref="G2076:H2076"/>
    <mergeCell ref="I2076:J2076"/>
    <mergeCell ref="K2076:L2076"/>
    <mergeCell ref="M2076:N2076"/>
    <mergeCell ref="O2076:P2076"/>
    <mergeCell ref="A2075:B2075"/>
    <mergeCell ref="C2075:D2075"/>
    <mergeCell ref="E2075:F2075"/>
    <mergeCell ref="G2075:H2075"/>
    <mergeCell ref="I2075:J2075"/>
    <mergeCell ref="K2075:L2075"/>
    <mergeCell ref="M2073:N2073"/>
    <mergeCell ref="O2073:P2073"/>
    <mergeCell ref="A2074:B2074"/>
    <mergeCell ref="C2074:D2074"/>
    <mergeCell ref="E2074:F2074"/>
    <mergeCell ref="G2074:H2074"/>
    <mergeCell ref="I2074:J2074"/>
    <mergeCell ref="K2074:L2074"/>
    <mergeCell ref="M2074:N2074"/>
    <mergeCell ref="O2074:P2074"/>
    <mergeCell ref="A2073:B2073"/>
    <mergeCell ref="C2073:D2073"/>
    <mergeCell ref="E2073:F2073"/>
    <mergeCell ref="G2073:H2073"/>
    <mergeCell ref="I2073:J2073"/>
    <mergeCell ref="K2073:L2073"/>
    <mergeCell ref="M2071:N2071"/>
    <mergeCell ref="O2071:P2071"/>
    <mergeCell ref="A2072:B2072"/>
    <mergeCell ref="C2072:D2072"/>
    <mergeCell ref="E2072:F2072"/>
    <mergeCell ref="G2072:H2072"/>
    <mergeCell ref="I2072:J2072"/>
    <mergeCell ref="K2072:L2072"/>
    <mergeCell ref="M2072:N2072"/>
    <mergeCell ref="O2072:P2072"/>
    <mergeCell ref="A2071:B2071"/>
    <mergeCell ref="C2071:D2071"/>
    <mergeCell ref="E2071:F2071"/>
    <mergeCell ref="G2071:H2071"/>
    <mergeCell ref="I2071:J2071"/>
    <mergeCell ref="K2071:L2071"/>
    <mergeCell ref="M2081:N2081"/>
    <mergeCell ref="O2081:P2081"/>
    <mergeCell ref="A2082:B2082"/>
    <mergeCell ref="C2082:D2082"/>
    <mergeCell ref="E2082:F2082"/>
    <mergeCell ref="G2082:H2082"/>
    <mergeCell ref="I2082:J2082"/>
    <mergeCell ref="K2082:L2082"/>
    <mergeCell ref="M2082:N2082"/>
    <mergeCell ref="O2082:P2082"/>
    <mergeCell ref="A2081:B2081"/>
    <mergeCell ref="C2081:D2081"/>
    <mergeCell ref="E2081:F2081"/>
    <mergeCell ref="G2081:H2081"/>
    <mergeCell ref="I2081:J2081"/>
    <mergeCell ref="K2081:L2081"/>
    <mergeCell ref="M2079:N2079"/>
    <mergeCell ref="O2079:P2079"/>
    <mergeCell ref="A2080:B2080"/>
    <mergeCell ref="C2080:D2080"/>
    <mergeCell ref="E2080:F2080"/>
    <mergeCell ref="G2080:H2080"/>
    <mergeCell ref="I2080:J2080"/>
    <mergeCell ref="K2080:L2080"/>
    <mergeCell ref="M2080:N2080"/>
    <mergeCell ref="O2080:P2080"/>
    <mergeCell ref="A2079:B2079"/>
    <mergeCell ref="C2079:D2079"/>
    <mergeCell ref="E2079:F2079"/>
    <mergeCell ref="G2079:H2079"/>
    <mergeCell ref="I2079:J2079"/>
    <mergeCell ref="K2079:L2079"/>
    <mergeCell ref="M2077:N2077"/>
    <mergeCell ref="O2077:P2077"/>
    <mergeCell ref="A2078:B2078"/>
    <mergeCell ref="C2078:D2078"/>
    <mergeCell ref="E2078:F2078"/>
    <mergeCell ref="G2078:H2078"/>
    <mergeCell ref="I2078:J2078"/>
    <mergeCell ref="K2078:L2078"/>
    <mergeCell ref="M2078:N2078"/>
    <mergeCell ref="O2078:P2078"/>
    <mergeCell ref="A2077:B2077"/>
    <mergeCell ref="C2077:D2077"/>
    <mergeCell ref="E2077:F2077"/>
    <mergeCell ref="G2077:H2077"/>
    <mergeCell ref="I2077:J2077"/>
    <mergeCell ref="K2077:L2077"/>
    <mergeCell ref="M2087:N2087"/>
    <mergeCell ref="O2087:P2087"/>
    <mergeCell ref="A2088:B2088"/>
    <mergeCell ref="C2088:D2088"/>
    <mergeCell ref="E2088:F2088"/>
    <mergeCell ref="G2088:H2088"/>
    <mergeCell ref="I2088:J2088"/>
    <mergeCell ref="K2088:L2088"/>
    <mergeCell ref="M2088:N2088"/>
    <mergeCell ref="O2088:P2088"/>
    <mergeCell ref="A2087:B2087"/>
    <mergeCell ref="C2087:D2087"/>
    <mergeCell ref="E2087:F2087"/>
    <mergeCell ref="G2087:H2087"/>
    <mergeCell ref="I2087:J2087"/>
    <mergeCell ref="K2087:L2087"/>
    <mergeCell ref="M2085:N2085"/>
    <mergeCell ref="O2085:P2085"/>
    <mergeCell ref="A2086:B2086"/>
    <mergeCell ref="C2086:D2086"/>
    <mergeCell ref="E2086:F2086"/>
    <mergeCell ref="G2086:H2086"/>
    <mergeCell ref="I2086:J2086"/>
    <mergeCell ref="K2086:L2086"/>
    <mergeCell ref="M2086:N2086"/>
    <mergeCell ref="O2086:P2086"/>
    <mergeCell ref="A2085:B2085"/>
    <mergeCell ref="C2085:D2085"/>
    <mergeCell ref="E2085:F2085"/>
    <mergeCell ref="G2085:H2085"/>
    <mergeCell ref="I2085:J2085"/>
    <mergeCell ref="K2085:L2085"/>
    <mergeCell ref="M2083:N2083"/>
    <mergeCell ref="O2083:P2083"/>
    <mergeCell ref="A2084:B2084"/>
    <mergeCell ref="C2084:D2084"/>
    <mergeCell ref="E2084:F2084"/>
    <mergeCell ref="G2084:H2084"/>
    <mergeCell ref="I2084:J2084"/>
    <mergeCell ref="K2084:L2084"/>
    <mergeCell ref="M2084:N2084"/>
    <mergeCell ref="O2084:P2084"/>
    <mergeCell ref="A2083:B2083"/>
    <mergeCell ref="C2083:D2083"/>
    <mergeCell ref="E2083:F2083"/>
    <mergeCell ref="G2083:H2083"/>
    <mergeCell ref="I2083:J2083"/>
    <mergeCell ref="K2083:L2083"/>
    <mergeCell ref="M2093:N2093"/>
    <mergeCell ref="O2093:P2093"/>
    <mergeCell ref="A2094:B2094"/>
    <mergeCell ref="C2094:D2094"/>
    <mergeCell ref="E2094:F2094"/>
    <mergeCell ref="G2094:H2094"/>
    <mergeCell ref="I2094:J2094"/>
    <mergeCell ref="K2094:L2094"/>
    <mergeCell ref="M2094:N2094"/>
    <mergeCell ref="O2094:P2094"/>
    <mergeCell ref="A2093:B2093"/>
    <mergeCell ref="C2093:D2093"/>
    <mergeCell ref="E2093:F2093"/>
    <mergeCell ref="G2093:H2093"/>
    <mergeCell ref="I2093:J2093"/>
    <mergeCell ref="K2093:L2093"/>
    <mergeCell ref="M2091:N2091"/>
    <mergeCell ref="O2091:P2091"/>
    <mergeCell ref="A2092:B2092"/>
    <mergeCell ref="C2092:D2092"/>
    <mergeCell ref="E2092:F2092"/>
    <mergeCell ref="G2092:H2092"/>
    <mergeCell ref="I2092:J2092"/>
    <mergeCell ref="K2092:L2092"/>
    <mergeCell ref="M2092:N2092"/>
    <mergeCell ref="O2092:P2092"/>
    <mergeCell ref="A2091:B2091"/>
    <mergeCell ref="C2091:D2091"/>
    <mergeCell ref="E2091:F2091"/>
    <mergeCell ref="G2091:H2091"/>
    <mergeCell ref="I2091:J2091"/>
    <mergeCell ref="K2091:L2091"/>
    <mergeCell ref="M2089:N2089"/>
    <mergeCell ref="O2089:P2089"/>
    <mergeCell ref="A2090:B2090"/>
    <mergeCell ref="C2090:D2090"/>
    <mergeCell ref="E2090:F2090"/>
    <mergeCell ref="G2090:H2090"/>
    <mergeCell ref="I2090:J2090"/>
    <mergeCell ref="K2090:L2090"/>
    <mergeCell ref="M2090:N2090"/>
    <mergeCell ref="O2090:P2090"/>
    <mergeCell ref="A2089:B2089"/>
    <mergeCell ref="C2089:D2089"/>
    <mergeCell ref="E2089:F2089"/>
    <mergeCell ref="G2089:H2089"/>
    <mergeCell ref="I2089:J2089"/>
    <mergeCell ref="K2089:L2089"/>
    <mergeCell ref="M2099:N2099"/>
    <mergeCell ref="O2099:P2099"/>
    <mergeCell ref="A2100:B2100"/>
    <mergeCell ref="C2100:D2100"/>
    <mergeCell ref="E2100:F2100"/>
    <mergeCell ref="G2100:H2100"/>
    <mergeCell ref="I2100:J2100"/>
    <mergeCell ref="K2100:L2100"/>
    <mergeCell ref="M2100:N2100"/>
    <mergeCell ref="O2100:P2100"/>
    <mergeCell ref="A2099:B2099"/>
    <mergeCell ref="C2099:D2099"/>
    <mergeCell ref="E2099:F2099"/>
    <mergeCell ref="G2099:H2099"/>
    <mergeCell ref="I2099:J2099"/>
    <mergeCell ref="K2099:L2099"/>
    <mergeCell ref="M2097:N2097"/>
    <mergeCell ref="O2097:P2097"/>
    <mergeCell ref="A2098:B2098"/>
    <mergeCell ref="C2098:D2098"/>
    <mergeCell ref="E2098:F2098"/>
    <mergeCell ref="G2098:H2098"/>
    <mergeCell ref="I2098:J2098"/>
    <mergeCell ref="K2098:L2098"/>
    <mergeCell ref="M2098:N2098"/>
    <mergeCell ref="O2098:P2098"/>
    <mergeCell ref="A2097:B2097"/>
    <mergeCell ref="C2097:D2097"/>
    <mergeCell ref="E2097:F2097"/>
    <mergeCell ref="G2097:H2097"/>
    <mergeCell ref="I2097:J2097"/>
    <mergeCell ref="K2097:L2097"/>
    <mergeCell ref="M2095:N2095"/>
    <mergeCell ref="O2095:P2095"/>
    <mergeCell ref="A2096:B2096"/>
    <mergeCell ref="C2096:D2096"/>
    <mergeCell ref="E2096:F2096"/>
    <mergeCell ref="G2096:H2096"/>
    <mergeCell ref="I2096:J2096"/>
    <mergeCell ref="K2096:L2096"/>
    <mergeCell ref="M2096:N2096"/>
    <mergeCell ref="O2096:P2096"/>
    <mergeCell ref="A2095:B2095"/>
    <mergeCell ref="C2095:D2095"/>
    <mergeCell ref="E2095:F2095"/>
    <mergeCell ref="G2095:H2095"/>
    <mergeCell ref="I2095:J2095"/>
    <mergeCell ref="K2095:L2095"/>
    <mergeCell ref="M2105:N2105"/>
    <mergeCell ref="O2105:P2105"/>
    <mergeCell ref="A2106:B2106"/>
    <mergeCell ref="C2106:D2106"/>
    <mergeCell ref="E2106:F2106"/>
    <mergeCell ref="G2106:H2106"/>
    <mergeCell ref="I2106:J2106"/>
    <mergeCell ref="K2106:L2106"/>
    <mergeCell ref="M2106:N2106"/>
    <mergeCell ref="O2106:P2106"/>
    <mergeCell ref="A2105:B2105"/>
    <mergeCell ref="C2105:D2105"/>
    <mergeCell ref="E2105:F2105"/>
    <mergeCell ref="G2105:H2105"/>
    <mergeCell ref="I2105:J2105"/>
    <mergeCell ref="K2105:L2105"/>
    <mergeCell ref="M2103:N2103"/>
    <mergeCell ref="O2103:P2103"/>
    <mergeCell ref="A2104:B2104"/>
    <mergeCell ref="C2104:D2104"/>
    <mergeCell ref="E2104:F2104"/>
    <mergeCell ref="G2104:H2104"/>
    <mergeCell ref="I2104:J2104"/>
    <mergeCell ref="K2104:L2104"/>
    <mergeCell ref="M2104:N2104"/>
    <mergeCell ref="O2104:P2104"/>
    <mergeCell ref="A2103:B2103"/>
    <mergeCell ref="C2103:D2103"/>
    <mergeCell ref="E2103:F2103"/>
    <mergeCell ref="G2103:H2103"/>
    <mergeCell ref="I2103:J2103"/>
    <mergeCell ref="K2103:L2103"/>
    <mergeCell ref="M2101:N2101"/>
    <mergeCell ref="O2101:P2101"/>
    <mergeCell ref="A2102:B2102"/>
    <mergeCell ref="C2102:D2102"/>
    <mergeCell ref="E2102:F2102"/>
    <mergeCell ref="G2102:H2102"/>
    <mergeCell ref="I2102:J2102"/>
    <mergeCell ref="K2102:L2102"/>
    <mergeCell ref="M2102:N2102"/>
    <mergeCell ref="O2102:P2102"/>
    <mergeCell ref="A2101:B2101"/>
    <mergeCell ref="C2101:D2101"/>
    <mergeCell ref="E2101:F2101"/>
    <mergeCell ref="G2101:H2101"/>
    <mergeCell ref="I2101:J2101"/>
    <mergeCell ref="K2101:L2101"/>
    <mergeCell ref="M2111:N2111"/>
    <mergeCell ref="O2111:P2111"/>
    <mergeCell ref="A2112:B2112"/>
    <mergeCell ref="C2112:D2112"/>
    <mergeCell ref="E2112:F2112"/>
    <mergeCell ref="G2112:H2112"/>
    <mergeCell ref="I2112:J2112"/>
    <mergeCell ref="K2112:L2112"/>
    <mergeCell ref="M2112:N2112"/>
    <mergeCell ref="O2112:P2112"/>
    <mergeCell ref="A2111:B2111"/>
    <mergeCell ref="C2111:D2111"/>
    <mergeCell ref="E2111:F2111"/>
    <mergeCell ref="G2111:H2111"/>
    <mergeCell ref="I2111:J2111"/>
    <mergeCell ref="K2111:L2111"/>
    <mergeCell ref="M2109:N2109"/>
    <mergeCell ref="O2109:P2109"/>
    <mergeCell ref="A2110:B2110"/>
    <mergeCell ref="C2110:D2110"/>
    <mergeCell ref="E2110:F2110"/>
    <mergeCell ref="G2110:H2110"/>
    <mergeCell ref="I2110:J2110"/>
    <mergeCell ref="K2110:L2110"/>
    <mergeCell ref="M2110:N2110"/>
    <mergeCell ref="O2110:P2110"/>
    <mergeCell ref="A2109:B2109"/>
    <mergeCell ref="C2109:D2109"/>
    <mergeCell ref="E2109:F2109"/>
    <mergeCell ref="G2109:H2109"/>
    <mergeCell ref="I2109:J2109"/>
    <mergeCell ref="K2109:L2109"/>
    <mergeCell ref="M2107:N2107"/>
    <mergeCell ref="O2107:P2107"/>
    <mergeCell ref="A2108:B2108"/>
    <mergeCell ref="C2108:D2108"/>
    <mergeCell ref="E2108:F2108"/>
    <mergeCell ref="G2108:H2108"/>
    <mergeCell ref="I2108:J2108"/>
    <mergeCell ref="K2108:L2108"/>
    <mergeCell ref="M2108:N2108"/>
    <mergeCell ref="O2108:P2108"/>
    <mergeCell ref="A2107:B2107"/>
    <mergeCell ref="C2107:D2107"/>
    <mergeCell ref="E2107:F2107"/>
    <mergeCell ref="G2107:H2107"/>
    <mergeCell ref="I2107:J2107"/>
    <mergeCell ref="K2107:L2107"/>
    <mergeCell ref="M2117:N2117"/>
    <mergeCell ref="O2117:P2117"/>
    <mergeCell ref="A2118:B2118"/>
    <mergeCell ref="C2118:D2118"/>
    <mergeCell ref="E2118:F2118"/>
    <mergeCell ref="G2118:H2118"/>
    <mergeCell ref="I2118:J2118"/>
    <mergeCell ref="K2118:L2118"/>
    <mergeCell ref="M2118:N2118"/>
    <mergeCell ref="O2118:P2118"/>
    <mergeCell ref="A2117:B2117"/>
    <mergeCell ref="C2117:D2117"/>
    <mergeCell ref="E2117:F2117"/>
    <mergeCell ref="G2117:H2117"/>
    <mergeCell ref="I2117:J2117"/>
    <mergeCell ref="K2117:L2117"/>
    <mergeCell ref="M2115:N2115"/>
    <mergeCell ref="O2115:P2115"/>
    <mergeCell ref="A2116:B2116"/>
    <mergeCell ref="C2116:D2116"/>
    <mergeCell ref="E2116:F2116"/>
    <mergeCell ref="G2116:H2116"/>
    <mergeCell ref="I2116:J2116"/>
    <mergeCell ref="K2116:L2116"/>
    <mergeCell ref="M2116:N2116"/>
    <mergeCell ref="O2116:P2116"/>
    <mergeCell ref="A2115:B2115"/>
    <mergeCell ref="C2115:D2115"/>
    <mergeCell ref="E2115:F2115"/>
    <mergeCell ref="G2115:H2115"/>
    <mergeCell ref="I2115:J2115"/>
    <mergeCell ref="K2115:L2115"/>
    <mergeCell ref="M2113:N2113"/>
    <mergeCell ref="O2113:P2113"/>
    <mergeCell ref="A2114:B2114"/>
    <mergeCell ref="C2114:D2114"/>
    <mergeCell ref="E2114:F2114"/>
    <mergeCell ref="G2114:H2114"/>
    <mergeCell ref="I2114:J2114"/>
    <mergeCell ref="K2114:L2114"/>
    <mergeCell ref="M2114:N2114"/>
    <mergeCell ref="O2114:P2114"/>
    <mergeCell ref="A2113:B2113"/>
    <mergeCell ref="C2113:D2113"/>
    <mergeCell ref="E2113:F2113"/>
    <mergeCell ref="G2113:H2113"/>
    <mergeCell ref="I2113:J2113"/>
    <mergeCell ref="K2113:L2113"/>
    <mergeCell ref="M2123:N2123"/>
    <mergeCell ref="O2123:P2123"/>
    <mergeCell ref="A2124:B2124"/>
    <mergeCell ref="C2124:D2124"/>
    <mergeCell ref="E2124:F2124"/>
    <mergeCell ref="G2124:H2124"/>
    <mergeCell ref="I2124:J2124"/>
    <mergeCell ref="K2124:L2124"/>
    <mergeCell ref="M2124:N2124"/>
    <mergeCell ref="O2124:P2124"/>
    <mergeCell ref="A2123:B2123"/>
    <mergeCell ref="C2123:D2123"/>
    <mergeCell ref="E2123:F2123"/>
    <mergeCell ref="G2123:H2123"/>
    <mergeCell ref="I2123:J2123"/>
    <mergeCell ref="K2123:L2123"/>
    <mergeCell ref="M2121:N2121"/>
    <mergeCell ref="O2121:P2121"/>
    <mergeCell ref="A2122:B2122"/>
    <mergeCell ref="C2122:D2122"/>
    <mergeCell ref="E2122:F2122"/>
    <mergeCell ref="G2122:H2122"/>
    <mergeCell ref="I2122:J2122"/>
    <mergeCell ref="K2122:L2122"/>
    <mergeCell ref="M2122:N2122"/>
    <mergeCell ref="O2122:P2122"/>
    <mergeCell ref="A2121:B2121"/>
    <mergeCell ref="C2121:D2121"/>
    <mergeCell ref="E2121:F2121"/>
    <mergeCell ref="G2121:H2121"/>
    <mergeCell ref="I2121:J2121"/>
    <mergeCell ref="K2121:L2121"/>
    <mergeCell ref="M2119:N2119"/>
    <mergeCell ref="O2119:P2119"/>
    <mergeCell ref="A2120:B2120"/>
    <mergeCell ref="C2120:D2120"/>
    <mergeCell ref="E2120:F2120"/>
    <mergeCell ref="G2120:H2120"/>
    <mergeCell ref="I2120:J2120"/>
    <mergeCell ref="K2120:L2120"/>
    <mergeCell ref="M2120:N2120"/>
    <mergeCell ref="O2120:P2120"/>
    <mergeCell ref="A2119:B2119"/>
    <mergeCell ref="C2119:D2119"/>
    <mergeCell ref="E2119:F2119"/>
    <mergeCell ref="G2119:H2119"/>
    <mergeCell ref="I2119:J2119"/>
    <mergeCell ref="K2119:L2119"/>
    <mergeCell ref="M2129:N2129"/>
    <mergeCell ref="O2129:P2129"/>
    <mergeCell ref="A2130:B2130"/>
    <mergeCell ref="C2130:D2130"/>
    <mergeCell ref="E2130:F2130"/>
    <mergeCell ref="G2130:H2130"/>
    <mergeCell ref="I2130:J2130"/>
    <mergeCell ref="K2130:L2130"/>
    <mergeCell ref="M2130:N2130"/>
    <mergeCell ref="O2130:P2130"/>
    <mergeCell ref="A2129:B2129"/>
    <mergeCell ref="C2129:D2129"/>
    <mergeCell ref="E2129:F2129"/>
    <mergeCell ref="G2129:H2129"/>
    <mergeCell ref="I2129:J2129"/>
    <mergeCell ref="K2129:L2129"/>
    <mergeCell ref="M2127:N2127"/>
    <mergeCell ref="O2127:P2127"/>
    <mergeCell ref="A2128:B2128"/>
    <mergeCell ref="C2128:D2128"/>
    <mergeCell ref="E2128:F2128"/>
    <mergeCell ref="G2128:H2128"/>
    <mergeCell ref="I2128:J2128"/>
    <mergeCell ref="K2128:L2128"/>
    <mergeCell ref="M2128:N2128"/>
    <mergeCell ref="O2128:P2128"/>
    <mergeCell ref="A2127:B2127"/>
    <mergeCell ref="C2127:D2127"/>
    <mergeCell ref="E2127:F2127"/>
    <mergeCell ref="G2127:H2127"/>
    <mergeCell ref="I2127:J2127"/>
    <mergeCell ref="K2127:L2127"/>
    <mergeCell ref="M2125:N2125"/>
    <mergeCell ref="O2125:P2125"/>
    <mergeCell ref="A2126:B2126"/>
    <mergeCell ref="C2126:D2126"/>
    <mergeCell ref="E2126:F2126"/>
    <mergeCell ref="G2126:H2126"/>
    <mergeCell ref="I2126:J2126"/>
    <mergeCell ref="K2126:L2126"/>
    <mergeCell ref="M2126:N2126"/>
    <mergeCell ref="O2126:P2126"/>
    <mergeCell ref="A2125:B2125"/>
    <mergeCell ref="C2125:D2125"/>
    <mergeCell ref="E2125:F2125"/>
    <mergeCell ref="G2125:H2125"/>
    <mergeCell ref="I2125:J2125"/>
    <mergeCell ref="K2125:L2125"/>
    <mergeCell ref="M2135:N2135"/>
    <mergeCell ref="O2135:P2135"/>
    <mergeCell ref="A2136:B2136"/>
    <mergeCell ref="C2136:D2136"/>
    <mergeCell ref="E2136:F2136"/>
    <mergeCell ref="G2136:H2136"/>
    <mergeCell ref="I2136:J2136"/>
    <mergeCell ref="K2136:L2136"/>
    <mergeCell ref="M2136:N2136"/>
    <mergeCell ref="O2136:P2136"/>
    <mergeCell ref="A2135:B2135"/>
    <mergeCell ref="C2135:D2135"/>
    <mergeCell ref="E2135:F2135"/>
    <mergeCell ref="G2135:H2135"/>
    <mergeCell ref="I2135:J2135"/>
    <mergeCell ref="K2135:L2135"/>
    <mergeCell ref="M2133:N2133"/>
    <mergeCell ref="O2133:P2133"/>
    <mergeCell ref="A2134:B2134"/>
    <mergeCell ref="C2134:D2134"/>
    <mergeCell ref="E2134:F2134"/>
    <mergeCell ref="G2134:H2134"/>
    <mergeCell ref="I2134:J2134"/>
    <mergeCell ref="K2134:L2134"/>
    <mergeCell ref="M2134:N2134"/>
    <mergeCell ref="O2134:P2134"/>
    <mergeCell ref="A2133:B2133"/>
    <mergeCell ref="C2133:D2133"/>
    <mergeCell ref="E2133:F2133"/>
    <mergeCell ref="G2133:H2133"/>
    <mergeCell ref="I2133:J2133"/>
    <mergeCell ref="K2133:L2133"/>
    <mergeCell ref="M2131:N2131"/>
    <mergeCell ref="O2131:P2131"/>
    <mergeCell ref="A2132:B2132"/>
    <mergeCell ref="C2132:D2132"/>
    <mergeCell ref="E2132:F2132"/>
    <mergeCell ref="G2132:H2132"/>
    <mergeCell ref="I2132:J2132"/>
    <mergeCell ref="K2132:L2132"/>
    <mergeCell ref="M2132:N2132"/>
    <mergeCell ref="O2132:P2132"/>
    <mergeCell ref="A2131:B2131"/>
    <mergeCell ref="C2131:D2131"/>
    <mergeCell ref="E2131:F2131"/>
    <mergeCell ref="G2131:H2131"/>
    <mergeCell ref="I2131:J2131"/>
    <mergeCell ref="K2131:L2131"/>
    <mergeCell ref="M2141:N2141"/>
    <mergeCell ref="O2141:P2141"/>
    <mergeCell ref="A2142:B2142"/>
    <mergeCell ref="C2142:D2142"/>
    <mergeCell ref="E2142:F2142"/>
    <mergeCell ref="G2142:H2142"/>
    <mergeCell ref="I2142:J2142"/>
    <mergeCell ref="K2142:L2142"/>
    <mergeCell ref="M2142:N2142"/>
    <mergeCell ref="O2142:P2142"/>
    <mergeCell ref="A2141:B2141"/>
    <mergeCell ref="C2141:D2141"/>
    <mergeCell ref="E2141:F2141"/>
    <mergeCell ref="G2141:H2141"/>
    <mergeCell ref="I2141:J2141"/>
    <mergeCell ref="K2141:L2141"/>
    <mergeCell ref="M2139:N2139"/>
    <mergeCell ref="O2139:P2139"/>
    <mergeCell ref="A2140:B2140"/>
    <mergeCell ref="C2140:D2140"/>
    <mergeCell ref="E2140:F2140"/>
    <mergeCell ref="G2140:H2140"/>
    <mergeCell ref="I2140:J2140"/>
    <mergeCell ref="K2140:L2140"/>
    <mergeCell ref="M2140:N2140"/>
    <mergeCell ref="O2140:P2140"/>
    <mergeCell ref="A2139:B2139"/>
    <mergeCell ref="C2139:D2139"/>
    <mergeCell ref="E2139:F2139"/>
    <mergeCell ref="G2139:H2139"/>
    <mergeCell ref="I2139:J2139"/>
    <mergeCell ref="K2139:L2139"/>
    <mergeCell ref="M2137:N2137"/>
    <mergeCell ref="O2137:P2137"/>
    <mergeCell ref="A2138:B2138"/>
    <mergeCell ref="C2138:D2138"/>
    <mergeCell ref="E2138:F2138"/>
    <mergeCell ref="G2138:H2138"/>
    <mergeCell ref="I2138:J2138"/>
    <mergeCell ref="K2138:L2138"/>
    <mergeCell ref="M2138:N2138"/>
    <mergeCell ref="O2138:P2138"/>
    <mergeCell ref="A2137:B2137"/>
    <mergeCell ref="C2137:D2137"/>
    <mergeCell ref="E2137:F2137"/>
    <mergeCell ref="G2137:H2137"/>
    <mergeCell ref="I2137:J2137"/>
    <mergeCell ref="K2137:L2137"/>
    <mergeCell ref="M2147:N2147"/>
    <mergeCell ref="O2147:P2147"/>
    <mergeCell ref="A2148:B2148"/>
    <mergeCell ref="C2148:D2148"/>
    <mergeCell ref="E2148:F2148"/>
    <mergeCell ref="G2148:H2148"/>
    <mergeCell ref="I2148:J2148"/>
    <mergeCell ref="K2148:L2148"/>
    <mergeCell ref="M2148:N2148"/>
    <mergeCell ref="O2148:P2148"/>
    <mergeCell ref="A2147:B2147"/>
    <mergeCell ref="C2147:D2147"/>
    <mergeCell ref="E2147:F2147"/>
    <mergeCell ref="G2147:H2147"/>
    <mergeCell ref="I2147:J2147"/>
    <mergeCell ref="K2147:L2147"/>
    <mergeCell ref="M2145:N2145"/>
    <mergeCell ref="O2145:P2145"/>
    <mergeCell ref="A2146:B2146"/>
    <mergeCell ref="C2146:D2146"/>
    <mergeCell ref="E2146:F2146"/>
    <mergeCell ref="G2146:H2146"/>
    <mergeCell ref="I2146:J2146"/>
    <mergeCell ref="K2146:L2146"/>
    <mergeCell ref="M2146:N2146"/>
    <mergeCell ref="O2146:P2146"/>
    <mergeCell ref="A2145:B2145"/>
    <mergeCell ref="C2145:D2145"/>
    <mergeCell ref="E2145:F2145"/>
    <mergeCell ref="G2145:H2145"/>
    <mergeCell ref="I2145:J2145"/>
    <mergeCell ref="K2145:L2145"/>
    <mergeCell ref="M2143:N2143"/>
    <mergeCell ref="O2143:P2143"/>
    <mergeCell ref="A2144:B2144"/>
    <mergeCell ref="C2144:D2144"/>
    <mergeCell ref="E2144:F2144"/>
    <mergeCell ref="G2144:H2144"/>
    <mergeCell ref="I2144:J2144"/>
    <mergeCell ref="K2144:L2144"/>
    <mergeCell ref="M2144:N2144"/>
    <mergeCell ref="O2144:P2144"/>
    <mergeCell ref="A2143:B2143"/>
    <mergeCell ref="C2143:D2143"/>
    <mergeCell ref="E2143:F2143"/>
    <mergeCell ref="G2143:H2143"/>
    <mergeCell ref="I2143:J2143"/>
    <mergeCell ref="K2143:L2143"/>
    <mergeCell ref="M2153:N2153"/>
    <mergeCell ref="O2153:P2153"/>
    <mergeCell ref="A2154:B2154"/>
    <mergeCell ref="C2154:D2154"/>
    <mergeCell ref="E2154:F2154"/>
    <mergeCell ref="G2154:H2154"/>
    <mergeCell ref="I2154:J2154"/>
    <mergeCell ref="K2154:L2154"/>
    <mergeCell ref="M2154:N2154"/>
    <mergeCell ref="O2154:P2154"/>
    <mergeCell ref="A2153:B2153"/>
    <mergeCell ref="C2153:D2153"/>
    <mergeCell ref="E2153:F2153"/>
    <mergeCell ref="G2153:H2153"/>
    <mergeCell ref="I2153:J2153"/>
    <mergeCell ref="K2153:L2153"/>
    <mergeCell ref="M2151:N2151"/>
    <mergeCell ref="O2151:P2151"/>
    <mergeCell ref="A2152:B2152"/>
    <mergeCell ref="C2152:D2152"/>
    <mergeCell ref="E2152:F2152"/>
    <mergeCell ref="G2152:H2152"/>
    <mergeCell ref="I2152:J2152"/>
    <mergeCell ref="K2152:L2152"/>
    <mergeCell ref="M2152:N2152"/>
    <mergeCell ref="O2152:P2152"/>
    <mergeCell ref="A2151:B2151"/>
    <mergeCell ref="C2151:D2151"/>
    <mergeCell ref="E2151:F2151"/>
    <mergeCell ref="G2151:H2151"/>
    <mergeCell ref="I2151:J2151"/>
    <mergeCell ref="K2151:L2151"/>
    <mergeCell ref="M2149:N2149"/>
    <mergeCell ref="O2149:P2149"/>
    <mergeCell ref="A2150:B2150"/>
    <mergeCell ref="C2150:D2150"/>
    <mergeCell ref="E2150:F2150"/>
    <mergeCell ref="G2150:H2150"/>
    <mergeCell ref="I2150:J2150"/>
    <mergeCell ref="K2150:L2150"/>
    <mergeCell ref="M2150:N2150"/>
    <mergeCell ref="O2150:P2150"/>
    <mergeCell ref="A2149:B2149"/>
    <mergeCell ref="C2149:D2149"/>
    <mergeCell ref="E2149:F2149"/>
    <mergeCell ref="G2149:H2149"/>
    <mergeCell ref="I2149:J2149"/>
    <mergeCell ref="K2149:L2149"/>
    <mergeCell ref="M2159:N2159"/>
    <mergeCell ref="O2159:P2159"/>
    <mergeCell ref="A2160:B2160"/>
    <mergeCell ref="C2160:D2160"/>
    <mergeCell ref="E2160:F2160"/>
    <mergeCell ref="G2160:H2160"/>
    <mergeCell ref="I2160:J2160"/>
    <mergeCell ref="K2160:L2160"/>
    <mergeCell ref="M2160:N2160"/>
    <mergeCell ref="O2160:P2160"/>
    <mergeCell ref="A2159:B2159"/>
    <mergeCell ref="C2159:D2159"/>
    <mergeCell ref="E2159:F2159"/>
    <mergeCell ref="G2159:H2159"/>
    <mergeCell ref="I2159:J2159"/>
    <mergeCell ref="K2159:L2159"/>
    <mergeCell ref="M2157:N2157"/>
    <mergeCell ref="O2157:P2157"/>
    <mergeCell ref="A2158:B2158"/>
    <mergeCell ref="C2158:D2158"/>
    <mergeCell ref="E2158:F2158"/>
    <mergeCell ref="G2158:H2158"/>
    <mergeCell ref="I2158:J2158"/>
    <mergeCell ref="K2158:L2158"/>
    <mergeCell ref="M2158:N2158"/>
    <mergeCell ref="O2158:P2158"/>
    <mergeCell ref="A2157:B2157"/>
    <mergeCell ref="C2157:D2157"/>
    <mergeCell ref="E2157:F2157"/>
    <mergeCell ref="G2157:H2157"/>
    <mergeCell ref="I2157:J2157"/>
    <mergeCell ref="K2157:L2157"/>
    <mergeCell ref="M2155:N2155"/>
    <mergeCell ref="O2155:P2155"/>
    <mergeCell ref="A2156:B2156"/>
    <mergeCell ref="C2156:D2156"/>
    <mergeCell ref="E2156:F2156"/>
    <mergeCell ref="G2156:H2156"/>
    <mergeCell ref="I2156:J2156"/>
    <mergeCell ref="K2156:L2156"/>
    <mergeCell ref="M2156:N2156"/>
    <mergeCell ref="O2156:P2156"/>
    <mergeCell ref="A2155:B2155"/>
    <mergeCell ref="C2155:D2155"/>
    <mergeCell ref="E2155:F2155"/>
    <mergeCell ref="G2155:H2155"/>
    <mergeCell ref="I2155:J2155"/>
    <mergeCell ref="K2155:L2155"/>
    <mergeCell ref="M2165:N2165"/>
    <mergeCell ref="O2165:P2165"/>
    <mergeCell ref="A2166:B2166"/>
    <mergeCell ref="C2166:D2166"/>
    <mergeCell ref="E2166:F2166"/>
    <mergeCell ref="G2166:H2166"/>
    <mergeCell ref="I2166:J2166"/>
    <mergeCell ref="K2166:L2166"/>
    <mergeCell ref="M2166:N2166"/>
    <mergeCell ref="O2166:P2166"/>
    <mergeCell ref="A2165:B2165"/>
    <mergeCell ref="C2165:D2165"/>
    <mergeCell ref="E2165:F2165"/>
    <mergeCell ref="G2165:H2165"/>
    <mergeCell ref="I2165:J2165"/>
    <mergeCell ref="K2165:L2165"/>
    <mergeCell ref="M2163:N2163"/>
    <mergeCell ref="O2163:P2163"/>
    <mergeCell ref="A2164:B2164"/>
    <mergeCell ref="C2164:D2164"/>
    <mergeCell ref="E2164:F2164"/>
    <mergeCell ref="G2164:H2164"/>
    <mergeCell ref="I2164:J2164"/>
    <mergeCell ref="K2164:L2164"/>
    <mergeCell ref="M2164:N2164"/>
    <mergeCell ref="O2164:P2164"/>
    <mergeCell ref="A2163:B2163"/>
    <mergeCell ref="C2163:D2163"/>
    <mergeCell ref="E2163:F2163"/>
    <mergeCell ref="G2163:H2163"/>
    <mergeCell ref="I2163:J2163"/>
    <mergeCell ref="K2163:L2163"/>
    <mergeCell ref="M2161:N2161"/>
    <mergeCell ref="O2161:P2161"/>
    <mergeCell ref="A2162:B2162"/>
    <mergeCell ref="C2162:D2162"/>
    <mergeCell ref="E2162:F2162"/>
    <mergeCell ref="G2162:H2162"/>
    <mergeCell ref="I2162:J2162"/>
    <mergeCell ref="K2162:L2162"/>
    <mergeCell ref="M2162:N2162"/>
    <mergeCell ref="O2162:P2162"/>
    <mergeCell ref="A2161:B2161"/>
    <mergeCell ref="C2161:D2161"/>
    <mergeCell ref="E2161:F2161"/>
    <mergeCell ref="G2161:H2161"/>
    <mergeCell ref="I2161:J2161"/>
    <mergeCell ref="K2161:L2161"/>
    <mergeCell ref="M2171:N2171"/>
    <mergeCell ref="O2171:P2171"/>
    <mergeCell ref="A2172:B2172"/>
    <mergeCell ref="C2172:D2172"/>
    <mergeCell ref="E2172:F2172"/>
    <mergeCell ref="G2172:H2172"/>
    <mergeCell ref="I2172:J2172"/>
    <mergeCell ref="K2172:L2172"/>
    <mergeCell ref="M2172:N2172"/>
    <mergeCell ref="O2172:P2172"/>
    <mergeCell ref="A2171:B2171"/>
    <mergeCell ref="C2171:D2171"/>
    <mergeCell ref="E2171:F2171"/>
    <mergeCell ref="G2171:H2171"/>
    <mergeCell ref="I2171:J2171"/>
    <mergeCell ref="K2171:L2171"/>
    <mergeCell ref="M2169:N2169"/>
    <mergeCell ref="O2169:P2169"/>
    <mergeCell ref="A2170:B2170"/>
    <mergeCell ref="C2170:D2170"/>
    <mergeCell ref="E2170:F2170"/>
    <mergeCell ref="G2170:H2170"/>
    <mergeCell ref="I2170:J2170"/>
    <mergeCell ref="K2170:L2170"/>
    <mergeCell ref="M2170:N2170"/>
    <mergeCell ref="O2170:P2170"/>
    <mergeCell ref="A2169:B2169"/>
    <mergeCell ref="C2169:D2169"/>
    <mergeCell ref="E2169:F2169"/>
    <mergeCell ref="G2169:H2169"/>
    <mergeCell ref="I2169:J2169"/>
    <mergeCell ref="K2169:L2169"/>
    <mergeCell ref="M2167:N2167"/>
    <mergeCell ref="O2167:P2167"/>
    <mergeCell ref="A2168:B2168"/>
    <mergeCell ref="C2168:D2168"/>
    <mergeCell ref="E2168:F2168"/>
    <mergeCell ref="G2168:H2168"/>
    <mergeCell ref="I2168:J2168"/>
    <mergeCell ref="K2168:L2168"/>
    <mergeCell ref="M2168:N2168"/>
    <mergeCell ref="O2168:P2168"/>
    <mergeCell ref="A2167:B2167"/>
    <mergeCell ref="C2167:D2167"/>
    <mergeCell ref="E2167:F2167"/>
    <mergeCell ref="G2167:H2167"/>
    <mergeCell ref="I2167:J2167"/>
    <mergeCell ref="K2167:L2167"/>
    <mergeCell ref="M2177:N2177"/>
    <mergeCell ref="O2177:P2177"/>
    <mergeCell ref="A2178:B2178"/>
    <mergeCell ref="C2178:D2178"/>
    <mergeCell ref="E2178:F2178"/>
    <mergeCell ref="G2178:H2178"/>
    <mergeCell ref="I2178:J2178"/>
    <mergeCell ref="K2178:L2178"/>
    <mergeCell ref="M2178:N2178"/>
    <mergeCell ref="O2178:P2178"/>
    <mergeCell ref="A2177:B2177"/>
    <mergeCell ref="C2177:D2177"/>
    <mergeCell ref="E2177:F2177"/>
    <mergeCell ref="G2177:H2177"/>
    <mergeCell ref="I2177:J2177"/>
    <mergeCell ref="K2177:L2177"/>
    <mergeCell ref="M2175:N2175"/>
    <mergeCell ref="O2175:P2175"/>
    <mergeCell ref="A2176:B2176"/>
    <mergeCell ref="C2176:D2176"/>
    <mergeCell ref="E2176:F2176"/>
    <mergeCell ref="G2176:H2176"/>
    <mergeCell ref="I2176:J2176"/>
    <mergeCell ref="K2176:L2176"/>
    <mergeCell ref="M2176:N2176"/>
    <mergeCell ref="O2176:P2176"/>
    <mergeCell ref="A2175:B2175"/>
    <mergeCell ref="C2175:D2175"/>
    <mergeCell ref="E2175:F2175"/>
    <mergeCell ref="G2175:H2175"/>
    <mergeCell ref="I2175:J2175"/>
    <mergeCell ref="K2175:L2175"/>
    <mergeCell ref="M2173:N2173"/>
    <mergeCell ref="O2173:P2173"/>
    <mergeCell ref="A2174:B2174"/>
    <mergeCell ref="C2174:D2174"/>
    <mergeCell ref="E2174:F2174"/>
    <mergeCell ref="G2174:H2174"/>
    <mergeCell ref="I2174:J2174"/>
    <mergeCell ref="K2174:L2174"/>
    <mergeCell ref="M2174:N2174"/>
    <mergeCell ref="O2174:P2174"/>
    <mergeCell ref="A2173:B2173"/>
    <mergeCell ref="C2173:D2173"/>
    <mergeCell ref="E2173:F2173"/>
    <mergeCell ref="G2173:H2173"/>
    <mergeCell ref="I2173:J2173"/>
    <mergeCell ref="K2173:L2173"/>
    <mergeCell ref="M2183:N2183"/>
    <mergeCell ref="O2183:P2183"/>
    <mergeCell ref="A2184:B2184"/>
    <mergeCell ref="C2184:D2184"/>
    <mergeCell ref="E2184:F2184"/>
    <mergeCell ref="G2184:H2184"/>
    <mergeCell ref="I2184:J2184"/>
    <mergeCell ref="K2184:L2184"/>
    <mergeCell ref="M2184:N2184"/>
    <mergeCell ref="O2184:P2184"/>
    <mergeCell ref="A2183:B2183"/>
    <mergeCell ref="C2183:D2183"/>
    <mergeCell ref="E2183:F2183"/>
    <mergeCell ref="G2183:H2183"/>
    <mergeCell ref="I2183:J2183"/>
    <mergeCell ref="K2183:L2183"/>
    <mergeCell ref="M2181:N2181"/>
    <mergeCell ref="O2181:P2181"/>
    <mergeCell ref="A2182:B2182"/>
    <mergeCell ref="C2182:D2182"/>
    <mergeCell ref="E2182:F2182"/>
    <mergeCell ref="G2182:H2182"/>
    <mergeCell ref="I2182:J2182"/>
    <mergeCell ref="K2182:L2182"/>
    <mergeCell ref="M2182:N2182"/>
    <mergeCell ref="O2182:P2182"/>
    <mergeCell ref="A2181:B2181"/>
    <mergeCell ref="C2181:D2181"/>
    <mergeCell ref="E2181:F2181"/>
    <mergeCell ref="G2181:H2181"/>
    <mergeCell ref="I2181:J2181"/>
    <mergeCell ref="K2181:L2181"/>
    <mergeCell ref="M2179:N2179"/>
    <mergeCell ref="O2179:P2179"/>
    <mergeCell ref="A2180:B2180"/>
    <mergeCell ref="C2180:D2180"/>
    <mergeCell ref="E2180:F2180"/>
    <mergeCell ref="G2180:H2180"/>
    <mergeCell ref="I2180:J2180"/>
    <mergeCell ref="K2180:L2180"/>
    <mergeCell ref="M2180:N2180"/>
    <mergeCell ref="O2180:P2180"/>
    <mergeCell ref="A2179:B2179"/>
    <mergeCell ref="C2179:D2179"/>
    <mergeCell ref="E2179:F2179"/>
    <mergeCell ref="G2179:H2179"/>
    <mergeCell ref="I2179:J2179"/>
    <mergeCell ref="K2179:L2179"/>
    <mergeCell ref="M2189:N2189"/>
    <mergeCell ref="O2189:P2189"/>
    <mergeCell ref="A2190:B2190"/>
    <mergeCell ref="C2190:D2190"/>
    <mergeCell ref="E2190:F2190"/>
    <mergeCell ref="G2190:H2190"/>
    <mergeCell ref="I2190:J2190"/>
    <mergeCell ref="K2190:L2190"/>
    <mergeCell ref="M2190:N2190"/>
    <mergeCell ref="O2190:P2190"/>
    <mergeCell ref="A2189:B2189"/>
    <mergeCell ref="C2189:D2189"/>
    <mergeCell ref="E2189:F2189"/>
    <mergeCell ref="G2189:H2189"/>
    <mergeCell ref="I2189:J2189"/>
    <mergeCell ref="K2189:L2189"/>
    <mergeCell ref="M2187:N2187"/>
    <mergeCell ref="O2187:P2187"/>
    <mergeCell ref="A2188:B2188"/>
    <mergeCell ref="C2188:D2188"/>
    <mergeCell ref="E2188:F2188"/>
    <mergeCell ref="G2188:H2188"/>
    <mergeCell ref="I2188:J2188"/>
    <mergeCell ref="K2188:L2188"/>
    <mergeCell ref="M2188:N2188"/>
    <mergeCell ref="O2188:P2188"/>
    <mergeCell ref="A2187:B2187"/>
    <mergeCell ref="C2187:D2187"/>
    <mergeCell ref="E2187:F2187"/>
    <mergeCell ref="G2187:H2187"/>
    <mergeCell ref="I2187:J2187"/>
    <mergeCell ref="K2187:L2187"/>
    <mergeCell ref="M2185:N2185"/>
    <mergeCell ref="O2185:P2185"/>
    <mergeCell ref="A2186:B2186"/>
    <mergeCell ref="C2186:D2186"/>
    <mergeCell ref="E2186:F2186"/>
    <mergeCell ref="G2186:H2186"/>
    <mergeCell ref="I2186:J2186"/>
    <mergeCell ref="K2186:L2186"/>
    <mergeCell ref="M2186:N2186"/>
    <mergeCell ref="O2186:P2186"/>
    <mergeCell ref="A2185:B2185"/>
    <mergeCell ref="C2185:D2185"/>
    <mergeCell ref="E2185:F2185"/>
    <mergeCell ref="G2185:H2185"/>
    <mergeCell ref="I2185:J2185"/>
    <mergeCell ref="K2185:L2185"/>
    <mergeCell ref="M2195:N2195"/>
    <mergeCell ref="O2195:P2195"/>
    <mergeCell ref="A2196:B2196"/>
    <mergeCell ref="C2196:D2196"/>
    <mergeCell ref="E2196:F2196"/>
    <mergeCell ref="G2196:H2196"/>
    <mergeCell ref="I2196:J2196"/>
    <mergeCell ref="K2196:L2196"/>
    <mergeCell ref="M2196:N2196"/>
    <mergeCell ref="O2196:P2196"/>
    <mergeCell ref="A2195:B2195"/>
    <mergeCell ref="C2195:D2195"/>
    <mergeCell ref="E2195:F2195"/>
    <mergeCell ref="G2195:H2195"/>
    <mergeCell ref="I2195:J2195"/>
    <mergeCell ref="K2195:L2195"/>
    <mergeCell ref="M2193:N2193"/>
    <mergeCell ref="O2193:P2193"/>
    <mergeCell ref="A2194:B2194"/>
    <mergeCell ref="C2194:D2194"/>
    <mergeCell ref="E2194:F2194"/>
    <mergeCell ref="G2194:H2194"/>
    <mergeCell ref="I2194:J2194"/>
    <mergeCell ref="K2194:L2194"/>
    <mergeCell ref="M2194:N2194"/>
    <mergeCell ref="O2194:P2194"/>
    <mergeCell ref="A2193:B2193"/>
    <mergeCell ref="C2193:D2193"/>
    <mergeCell ref="E2193:F2193"/>
    <mergeCell ref="G2193:H2193"/>
    <mergeCell ref="I2193:J2193"/>
    <mergeCell ref="K2193:L2193"/>
    <mergeCell ref="M2191:N2191"/>
    <mergeCell ref="O2191:P2191"/>
    <mergeCell ref="A2192:B2192"/>
    <mergeCell ref="C2192:D2192"/>
    <mergeCell ref="E2192:F2192"/>
    <mergeCell ref="G2192:H2192"/>
    <mergeCell ref="I2192:J2192"/>
    <mergeCell ref="K2192:L2192"/>
    <mergeCell ref="M2192:N2192"/>
    <mergeCell ref="O2192:P2192"/>
    <mergeCell ref="A2191:B2191"/>
    <mergeCell ref="C2191:D2191"/>
    <mergeCell ref="E2191:F2191"/>
    <mergeCell ref="G2191:H2191"/>
    <mergeCell ref="I2191:J2191"/>
    <mergeCell ref="K2191:L2191"/>
    <mergeCell ref="M2201:N2201"/>
    <mergeCell ref="O2201:P2201"/>
    <mergeCell ref="A2202:B2202"/>
    <mergeCell ref="C2202:D2202"/>
    <mergeCell ref="E2202:F2202"/>
    <mergeCell ref="G2202:H2202"/>
    <mergeCell ref="I2202:J2202"/>
    <mergeCell ref="K2202:L2202"/>
    <mergeCell ref="M2202:N2202"/>
    <mergeCell ref="O2202:P2202"/>
    <mergeCell ref="A2201:B2201"/>
    <mergeCell ref="C2201:D2201"/>
    <mergeCell ref="E2201:F2201"/>
    <mergeCell ref="G2201:H2201"/>
    <mergeCell ref="I2201:J2201"/>
    <mergeCell ref="K2201:L2201"/>
    <mergeCell ref="M2199:N2199"/>
    <mergeCell ref="O2199:P2199"/>
    <mergeCell ref="A2200:B2200"/>
    <mergeCell ref="C2200:D2200"/>
    <mergeCell ref="E2200:F2200"/>
    <mergeCell ref="G2200:H2200"/>
    <mergeCell ref="I2200:J2200"/>
    <mergeCell ref="K2200:L2200"/>
    <mergeCell ref="M2200:N2200"/>
    <mergeCell ref="O2200:P2200"/>
    <mergeCell ref="A2199:B2199"/>
    <mergeCell ref="C2199:D2199"/>
    <mergeCell ref="E2199:F2199"/>
    <mergeCell ref="G2199:H2199"/>
    <mergeCell ref="I2199:J2199"/>
    <mergeCell ref="K2199:L2199"/>
    <mergeCell ref="M2197:N2197"/>
    <mergeCell ref="O2197:P2197"/>
    <mergeCell ref="A2198:B2198"/>
    <mergeCell ref="C2198:D2198"/>
    <mergeCell ref="E2198:F2198"/>
    <mergeCell ref="G2198:H2198"/>
    <mergeCell ref="I2198:J2198"/>
    <mergeCell ref="K2198:L2198"/>
    <mergeCell ref="M2198:N2198"/>
    <mergeCell ref="O2198:P2198"/>
    <mergeCell ref="A2197:B2197"/>
    <mergeCell ref="C2197:D2197"/>
    <mergeCell ref="E2197:F2197"/>
    <mergeCell ref="G2197:H2197"/>
    <mergeCell ref="I2197:J2197"/>
    <mergeCell ref="K2197:L2197"/>
    <mergeCell ref="M2207:N2207"/>
    <mergeCell ref="O2207:P2207"/>
    <mergeCell ref="A2208:B2208"/>
    <mergeCell ref="C2208:D2208"/>
    <mergeCell ref="E2208:F2208"/>
    <mergeCell ref="G2208:H2208"/>
    <mergeCell ref="I2208:J2208"/>
    <mergeCell ref="K2208:L2208"/>
    <mergeCell ref="M2208:N2208"/>
    <mergeCell ref="O2208:P2208"/>
    <mergeCell ref="A2207:B2207"/>
    <mergeCell ref="C2207:D2207"/>
    <mergeCell ref="E2207:F2207"/>
    <mergeCell ref="G2207:H2207"/>
    <mergeCell ref="I2207:J2207"/>
    <mergeCell ref="K2207:L2207"/>
    <mergeCell ref="M2205:N2205"/>
    <mergeCell ref="O2205:P2205"/>
    <mergeCell ref="A2206:B2206"/>
    <mergeCell ref="C2206:D2206"/>
    <mergeCell ref="E2206:F2206"/>
    <mergeCell ref="G2206:H2206"/>
    <mergeCell ref="I2206:J2206"/>
    <mergeCell ref="K2206:L2206"/>
    <mergeCell ref="M2206:N2206"/>
    <mergeCell ref="O2206:P2206"/>
    <mergeCell ref="A2205:B2205"/>
    <mergeCell ref="C2205:D2205"/>
    <mergeCell ref="E2205:F2205"/>
    <mergeCell ref="G2205:H2205"/>
    <mergeCell ref="I2205:J2205"/>
    <mergeCell ref="K2205:L2205"/>
    <mergeCell ref="M2203:N2203"/>
    <mergeCell ref="O2203:P2203"/>
    <mergeCell ref="A2204:B2204"/>
    <mergeCell ref="C2204:D2204"/>
    <mergeCell ref="E2204:F2204"/>
    <mergeCell ref="G2204:H2204"/>
    <mergeCell ref="I2204:J2204"/>
    <mergeCell ref="K2204:L2204"/>
    <mergeCell ref="M2204:N2204"/>
    <mergeCell ref="O2204:P2204"/>
    <mergeCell ref="A2203:B2203"/>
    <mergeCell ref="C2203:D2203"/>
    <mergeCell ref="E2203:F2203"/>
    <mergeCell ref="G2203:H2203"/>
    <mergeCell ref="I2203:J2203"/>
    <mergeCell ref="K2203:L2203"/>
    <mergeCell ref="M2213:N2213"/>
    <mergeCell ref="O2213:P2213"/>
    <mergeCell ref="A2214:B2214"/>
    <mergeCell ref="C2214:D2214"/>
    <mergeCell ref="E2214:F2214"/>
    <mergeCell ref="G2214:H2214"/>
    <mergeCell ref="I2214:J2214"/>
    <mergeCell ref="K2214:L2214"/>
    <mergeCell ref="M2214:N2214"/>
    <mergeCell ref="O2214:P2214"/>
    <mergeCell ref="A2213:B2213"/>
    <mergeCell ref="C2213:D2213"/>
    <mergeCell ref="E2213:F2213"/>
    <mergeCell ref="G2213:H2213"/>
    <mergeCell ref="I2213:J2213"/>
    <mergeCell ref="K2213:L2213"/>
    <mergeCell ref="M2211:N2211"/>
    <mergeCell ref="O2211:P2211"/>
    <mergeCell ref="A2212:B2212"/>
    <mergeCell ref="C2212:D2212"/>
    <mergeCell ref="E2212:F2212"/>
    <mergeCell ref="G2212:H2212"/>
    <mergeCell ref="I2212:J2212"/>
    <mergeCell ref="K2212:L2212"/>
    <mergeCell ref="M2212:N2212"/>
    <mergeCell ref="O2212:P2212"/>
    <mergeCell ref="A2211:B2211"/>
    <mergeCell ref="C2211:D2211"/>
    <mergeCell ref="E2211:F2211"/>
    <mergeCell ref="G2211:H2211"/>
    <mergeCell ref="I2211:J2211"/>
    <mergeCell ref="K2211:L2211"/>
    <mergeCell ref="M2209:N2209"/>
    <mergeCell ref="O2209:P2209"/>
    <mergeCell ref="A2210:B2210"/>
    <mergeCell ref="C2210:D2210"/>
    <mergeCell ref="E2210:F2210"/>
    <mergeCell ref="G2210:H2210"/>
    <mergeCell ref="I2210:J2210"/>
    <mergeCell ref="K2210:L2210"/>
    <mergeCell ref="M2210:N2210"/>
    <mergeCell ref="O2210:P2210"/>
    <mergeCell ref="A2209:B2209"/>
    <mergeCell ref="C2209:D2209"/>
    <mergeCell ref="E2209:F2209"/>
    <mergeCell ref="G2209:H2209"/>
    <mergeCell ref="I2209:J2209"/>
    <mergeCell ref="K2209:L2209"/>
    <mergeCell ref="M2219:N2219"/>
    <mergeCell ref="O2219:P2219"/>
    <mergeCell ref="A2220:B2220"/>
    <mergeCell ref="C2220:D2220"/>
    <mergeCell ref="E2220:F2220"/>
    <mergeCell ref="G2220:H2220"/>
    <mergeCell ref="I2220:J2220"/>
    <mergeCell ref="K2220:L2220"/>
    <mergeCell ref="M2220:N2220"/>
    <mergeCell ref="O2220:P2220"/>
    <mergeCell ref="A2219:B2219"/>
    <mergeCell ref="C2219:D2219"/>
    <mergeCell ref="E2219:F2219"/>
    <mergeCell ref="G2219:H2219"/>
    <mergeCell ref="I2219:J2219"/>
    <mergeCell ref="K2219:L2219"/>
    <mergeCell ref="M2217:N2217"/>
    <mergeCell ref="O2217:P2217"/>
    <mergeCell ref="A2218:B2218"/>
    <mergeCell ref="C2218:D2218"/>
    <mergeCell ref="E2218:F2218"/>
    <mergeCell ref="G2218:H2218"/>
    <mergeCell ref="I2218:J2218"/>
    <mergeCell ref="K2218:L2218"/>
    <mergeCell ref="M2218:N2218"/>
    <mergeCell ref="O2218:P2218"/>
    <mergeCell ref="A2217:B2217"/>
    <mergeCell ref="C2217:D2217"/>
    <mergeCell ref="E2217:F2217"/>
    <mergeCell ref="G2217:H2217"/>
    <mergeCell ref="I2217:J2217"/>
    <mergeCell ref="K2217:L2217"/>
    <mergeCell ref="M2215:N2215"/>
    <mergeCell ref="O2215:P2215"/>
    <mergeCell ref="A2216:B2216"/>
    <mergeCell ref="C2216:D2216"/>
    <mergeCell ref="E2216:F2216"/>
    <mergeCell ref="G2216:H2216"/>
    <mergeCell ref="I2216:J2216"/>
    <mergeCell ref="K2216:L2216"/>
    <mergeCell ref="M2216:N2216"/>
    <mergeCell ref="O2216:P2216"/>
    <mergeCell ref="A2215:B2215"/>
    <mergeCell ref="C2215:D2215"/>
    <mergeCell ref="E2215:F2215"/>
    <mergeCell ref="G2215:H2215"/>
    <mergeCell ref="I2215:J2215"/>
    <mergeCell ref="K2215:L2215"/>
    <mergeCell ref="M2225:N2225"/>
    <mergeCell ref="O2225:P2225"/>
    <mergeCell ref="A2226:B2226"/>
    <mergeCell ref="C2226:D2226"/>
    <mergeCell ref="E2226:F2226"/>
    <mergeCell ref="G2226:H2226"/>
    <mergeCell ref="I2226:J2226"/>
    <mergeCell ref="K2226:L2226"/>
    <mergeCell ref="M2226:N2226"/>
    <mergeCell ref="O2226:P2226"/>
    <mergeCell ref="A2225:B2225"/>
    <mergeCell ref="C2225:D2225"/>
    <mergeCell ref="E2225:F2225"/>
    <mergeCell ref="G2225:H2225"/>
    <mergeCell ref="I2225:J2225"/>
    <mergeCell ref="K2225:L2225"/>
    <mergeCell ref="M2223:N2223"/>
    <mergeCell ref="O2223:P2223"/>
    <mergeCell ref="A2224:B2224"/>
    <mergeCell ref="C2224:D2224"/>
    <mergeCell ref="E2224:F2224"/>
    <mergeCell ref="G2224:H2224"/>
    <mergeCell ref="I2224:J2224"/>
    <mergeCell ref="K2224:L2224"/>
    <mergeCell ref="M2224:N2224"/>
    <mergeCell ref="O2224:P2224"/>
    <mergeCell ref="A2223:B2223"/>
    <mergeCell ref="C2223:D2223"/>
    <mergeCell ref="E2223:F2223"/>
    <mergeCell ref="G2223:H2223"/>
    <mergeCell ref="I2223:J2223"/>
    <mergeCell ref="K2223:L2223"/>
    <mergeCell ref="M2221:N2221"/>
    <mergeCell ref="O2221:P2221"/>
    <mergeCell ref="A2222:B2222"/>
    <mergeCell ref="C2222:D2222"/>
    <mergeCell ref="E2222:F2222"/>
    <mergeCell ref="G2222:H2222"/>
    <mergeCell ref="I2222:J2222"/>
    <mergeCell ref="K2222:L2222"/>
    <mergeCell ref="M2222:N2222"/>
    <mergeCell ref="O2222:P2222"/>
    <mergeCell ref="A2221:B2221"/>
    <mergeCell ref="C2221:D2221"/>
    <mergeCell ref="E2221:F2221"/>
    <mergeCell ref="G2221:H2221"/>
    <mergeCell ref="I2221:J2221"/>
    <mergeCell ref="K2221:L2221"/>
    <mergeCell ref="M2231:N2231"/>
    <mergeCell ref="O2231:P2231"/>
    <mergeCell ref="A2232:B2232"/>
    <mergeCell ref="C2232:D2232"/>
    <mergeCell ref="E2232:F2232"/>
    <mergeCell ref="G2232:H2232"/>
    <mergeCell ref="I2232:J2232"/>
    <mergeCell ref="K2232:L2232"/>
    <mergeCell ref="M2232:N2232"/>
    <mergeCell ref="O2232:P2232"/>
    <mergeCell ref="A2231:B2231"/>
    <mergeCell ref="C2231:D2231"/>
    <mergeCell ref="E2231:F2231"/>
    <mergeCell ref="G2231:H2231"/>
    <mergeCell ref="I2231:J2231"/>
    <mergeCell ref="K2231:L2231"/>
    <mergeCell ref="M2229:N2229"/>
    <mergeCell ref="O2229:P2229"/>
    <mergeCell ref="A2230:B2230"/>
    <mergeCell ref="C2230:D2230"/>
    <mergeCell ref="E2230:F2230"/>
    <mergeCell ref="G2230:H2230"/>
    <mergeCell ref="I2230:J2230"/>
    <mergeCell ref="K2230:L2230"/>
    <mergeCell ref="M2230:N2230"/>
    <mergeCell ref="O2230:P2230"/>
    <mergeCell ref="A2229:B2229"/>
    <mergeCell ref="C2229:D2229"/>
    <mergeCell ref="E2229:F2229"/>
    <mergeCell ref="G2229:H2229"/>
    <mergeCell ref="I2229:J2229"/>
    <mergeCell ref="K2229:L2229"/>
    <mergeCell ref="M2227:N2227"/>
    <mergeCell ref="O2227:P2227"/>
    <mergeCell ref="A2228:B2228"/>
    <mergeCell ref="C2228:D2228"/>
    <mergeCell ref="E2228:F2228"/>
    <mergeCell ref="G2228:H2228"/>
    <mergeCell ref="I2228:J2228"/>
    <mergeCell ref="K2228:L2228"/>
    <mergeCell ref="M2228:N2228"/>
    <mergeCell ref="O2228:P2228"/>
    <mergeCell ref="A2227:B2227"/>
    <mergeCell ref="C2227:D2227"/>
    <mergeCell ref="E2227:F2227"/>
    <mergeCell ref="G2227:H2227"/>
    <mergeCell ref="I2227:J2227"/>
    <mergeCell ref="K2227:L2227"/>
    <mergeCell ref="M2237:N2237"/>
    <mergeCell ref="O2237:P2237"/>
    <mergeCell ref="A2238:B2238"/>
    <mergeCell ref="C2238:D2238"/>
    <mergeCell ref="E2238:F2238"/>
    <mergeCell ref="G2238:H2238"/>
    <mergeCell ref="I2238:J2238"/>
    <mergeCell ref="K2238:L2238"/>
    <mergeCell ref="M2238:N2238"/>
    <mergeCell ref="O2238:P2238"/>
    <mergeCell ref="A2237:B2237"/>
    <mergeCell ref="C2237:D2237"/>
    <mergeCell ref="E2237:F2237"/>
    <mergeCell ref="G2237:H2237"/>
    <mergeCell ref="I2237:J2237"/>
    <mergeCell ref="K2237:L2237"/>
    <mergeCell ref="M2235:N2235"/>
    <mergeCell ref="O2235:P2235"/>
    <mergeCell ref="A2236:B2236"/>
    <mergeCell ref="C2236:D2236"/>
    <mergeCell ref="E2236:F2236"/>
    <mergeCell ref="G2236:H2236"/>
    <mergeCell ref="I2236:J2236"/>
    <mergeCell ref="K2236:L2236"/>
    <mergeCell ref="M2236:N2236"/>
    <mergeCell ref="O2236:P2236"/>
    <mergeCell ref="A2235:B2235"/>
    <mergeCell ref="C2235:D2235"/>
    <mergeCell ref="E2235:F2235"/>
    <mergeCell ref="G2235:H2235"/>
    <mergeCell ref="I2235:J2235"/>
    <mergeCell ref="K2235:L2235"/>
    <mergeCell ref="M2233:N2233"/>
    <mergeCell ref="O2233:P2233"/>
    <mergeCell ref="A2234:B2234"/>
    <mergeCell ref="C2234:D2234"/>
    <mergeCell ref="E2234:F2234"/>
    <mergeCell ref="G2234:H2234"/>
    <mergeCell ref="I2234:J2234"/>
    <mergeCell ref="K2234:L2234"/>
    <mergeCell ref="M2234:N2234"/>
    <mergeCell ref="O2234:P2234"/>
    <mergeCell ref="A2233:B2233"/>
    <mergeCell ref="C2233:D2233"/>
    <mergeCell ref="E2233:F2233"/>
    <mergeCell ref="G2233:H2233"/>
    <mergeCell ref="I2233:J2233"/>
    <mergeCell ref="K2233:L2233"/>
    <mergeCell ref="M2243:N2243"/>
    <mergeCell ref="O2243:P2243"/>
    <mergeCell ref="A2244:B2244"/>
    <mergeCell ref="C2244:D2244"/>
    <mergeCell ref="E2244:F2244"/>
    <mergeCell ref="G2244:H2244"/>
    <mergeCell ref="I2244:J2244"/>
    <mergeCell ref="K2244:L2244"/>
    <mergeCell ref="M2244:N2244"/>
    <mergeCell ref="O2244:P2244"/>
    <mergeCell ref="A2243:B2243"/>
    <mergeCell ref="C2243:D2243"/>
    <mergeCell ref="E2243:F2243"/>
    <mergeCell ref="G2243:H2243"/>
    <mergeCell ref="I2243:J2243"/>
    <mergeCell ref="K2243:L2243"/>
    <mergeCell ref="M2241:N2241"/>
    <mergeCell ref="O2241:P2241"/>
    <mergeCell ref="A2242:B2242"/>
    <mergeCell ref="C2242:D2242"/>
    <mergeCell ref="E2242:F2242"/>
    <mergeCell ref="G2242:H2242"/>
    <mergeCell ref="I2242:J2242"/>
    <mergeCell ref="K2242:L2242"/>
    <mergeCell ref="M2242:N2242"/>
    <mergeCell ref="O2242:P2242"/>
    <mergeCell ref="A2241:B2241"/>
    <mergeCell ref="C2241:D2241"/>
    <mergeCell ref="E2241:F2241"/>
    <mergeCell ref="G2241:H2241"/>
    <mergeCell ref="I2241:J2241"/>
    <mergeCell ref="K2241:L2241"/>
    <mergeCell ref="M2239:N2239"/>
    <mergeCell ref="O2239:P2239"/>
    <mergeCell ref="A2240:B2240"/>
    <mergeCell ref="C2240:D2240"/>
    <mergeCell ref="E2240:F2240"/>
    <mergeCell ref="G2240:H2240"/>
    <mergeCell ref="I2240:J2240"/>
    <mergeCell ref="K2240:L2240"/>
    <mergeCell ref="M2240:N2240"/>
    <mergeCell ref="O2240:P2240"/>
    <mergeCell ref="A2239:B2239"/>
    <mergeCell ref="C2239:D2239"/>
    <mergeCell ref="E2239:F2239"/>
    <mergeCell ref="G2239:H2239"/>
    <mergeCell ref="I2239:J2239"/>
    <mergeCell ref="K2239:L2239"/>
    <mergeCell ref="M2249:N2249"/>
    <mergeCell ref="O2249:P2249"/>
    <mergeCell ref="A2250:B2250"/>
    <mergeCell ref="C2250:D2250"/>
    <mergeCell ref="E2250:F2250"/>
    <mergeCell ref="G2250:H2250"/>
    <mergeCell ref="I2250:J2250"/>
    <mergeCell ref="K2250:L2250"/>
    <mergeCell ref="M2250:N2250"/>
    <mergeCell ref="O2250:P2250"/>
    <mergeCell ref="A2249:B2249"/>
    <mergeCell ref="C2249:D2249"/>
    <mergeCell ref="E2249:F2249"/>
    <mergeCell ref="G2249:H2249"/>
    <mergeCell ref="I2249:J2249"/>
    <mergeCell ref="K2249:L2249"/>
    <mergeCell ref="M2247:N2247"/>
    <mergeCell ref="O2247:P2247"/>
    <mergeCell ref="A2248:B2248"/>
    <mergeCell ref="C2248:D2248"/>
    <mergeCell ref="E2248:F2248"/>
    <mergeCell ref="G2248:H2248"/>
    <mergeCell ref="I2248:J2248"/>
    <mergeCell ref="K2248:L2248"/>
    <mergeCell ref="M2248:N2248"/>
    <mergeCell ref="O2248:P2248"/>
    <mergeCell ref="A2247:B2247"/>
    <mergeCell ref="C2247:D2247"/>
    <mergeCell ref="E2247:F2247"/>
    <mergeCell ref="G2247:H2247"/>
    <mergeCell ref="I2247:J2247"/>
    <mergeCell ref="K2247:L2247"/>
    <mergeCell ref="M2245:N2245"/>
    <mergeCell ref="O2245:P2245"/>
    <mergeCell ref="A2246:B2246"/>
    <mergeCell ref="C2246:D2246"/>
    <mergeCell ref="E2246:F2246"/>
    <mergeCell ref="G2246:H2246"/>
    <mergeCell ref="I2246:J2246"/>
    <mergeCell ref="K2246:L2246"/>
    <mergeCell ref="M2246:N2246"/>
    <mergeCell ref="O2246:P2246"/>
    <mergeCell ref="A2245:B2245"/>
    <mergeCell ref="C2245:D2245"/>
    <mergeCell ref="E2245:F2245"/>
    <mergeCell ref="G2245:H2245"/>
    <mergeCell ref="I2245:J2245"/>
    <mergeCell ref="K2245:L2245"/>
    <mergeCell ref="M2255:N2255"/>
    <mergeCell ref="O2255:P2255"/>
    <mergeCell ref="A2256:B2256"/>
    <mergeCell ref="C2256:D2256"/>
    <mergeCell ref="E2256:F2256"/>
    <mergeCell ref="G2256:H2256"/>
    <mergeCell ref="I2256:J2256"/>
    <mergeCell ref="K2256:L2256"/>
    <mergeCell ref="M2256:N2256"/>
    <mergeCell ref="O2256:P2256"/>
    <mergeCell ref="A2255:B2255"/>
    <mergeCell ref="C2255:D2255"/>
    <mergeCell ref="E2255:F2255"/>
    <mergeCell ref="G2255:H2255"/>
    <mergeCell ref="I2255:J2255"/>
    <mergeCell ref="K2255:L2255"/>
    <mergeCell ref="M2253:N2253"/>
    <mergeCell ref="O2253:P2253"/>
    <mergeCell ref="A2254:B2254"/>
    <mergeCell ref="C2254:D2254"/>
    <mergeCell ref="E2254:F2254"/>
    <mergeCell ref="G2254:H2254"/>
    <mergeCell ref="I2254:J2254"/>
    <mergeCell ref="K2254:L2254"/>
    <mergeCell ref="M2254:N2254"/>
    <mergeCell ref="O2254:P2254"/>
    <mergeCell ref="A2253:B2253"/>
    <mergeCell ref="C2253:D2253"/>
    <mergeCell ref="E2253:F2253"/>
    <mergeCell ref="G2253:H2253"/>
    <mergeCell ref="I2253:J2253"/>
    <mergeCell ref="K2253:L2253"/>
    <mergeCell ref="M2251:N2251"/>
    <mergeCell ref="O2251:P2251"/>
    <mergeCell ref="A2252:B2252"/>
    <mergeCell ref="C2252:D2252"/>
    <mergeCell ref="E2252:F2252"/>
    <mergeCell ref="G2252:H2252"/>
    <mergeCell ref="I2252:J2252"/>
    <mergeCell ref="K2252:L2252"/>
    <mergeCell ref="M2252:N2252"/>
    <mergeCell ref="O2252:P2252"/>
    <mergeCell ref="A2251:B2251"/>
    <mergeCell ref="C2251:D2251"/>
    <mergeCell ref="E2251:F2251"/>
    <mergeCell ref="G2251:H2251"/>
    <mergeCell ref="I2251:J2251"/>
    <mergeCell ref="K2251:L2251"/>
    <mergeCell ref="M2261:N2261"/>
    <mergeCell ref="O2261:P2261"/>
    <mergeCell ref="A2262:B2262"/>
    <mergeCell ref="C2262:D2262"/>
    <mergeCell ref="E2262:F2262"/>
    <mergeCell ref="G2262:H2262"/>
    <mergeCell ref="I2262:J2262"/>
    <mergeCell ref="K2262:L2262"/>
    <mergeCell ref="M2262:N2262"/>
    <mergeCell ref="O2262:P2262"/>
    <mergeCell ref="A2261:B2261"/>
    <mergeCell ref="C2261:D2261"/>
    <mergeCell ref="E2261:F2261"/>
    <mergeCell ref="G2261:H2261"/>
    <mergeCell ref="I2261:J2261"/>
    <mergeCell ref="K2261:L2261"/>
    <mergeCell ref="M2259:N2259"/>
    <mergeCell ref="O2259:P2259"/>
    <mergeCell ref="A2260:B2260"/>
    <mergeCell ref="C2260:D2260"/>
    <mergeCell ref="E2260:F2260"/>
    <mergeCell ref="G2260:H2260"/>
    <mergeCell ref="I2260:J2260"/>
    <mergeCell ref="K2260:L2260"/>
    <mergeCell ref="M2260:N2260"/>
    <mergeCell ref="O2260:P2260"/>
    <mergeCell ref="A2259:B2259"/>
    <mergeCell ref="C2259:D2259"/>
    <mergeCell ref="E2259:F2259"/>
    <mergeCell ref="G2259:H2259"/>
    <mergeCell ref="I2259:J2259"/>
    <mergeCell ref="K2259:L2259"/>
    <mergeCell ref="M2257:N2257"/>
    <mergeCell ref="O2257:P2257"/>
    <mergeCell ref="A2258:B2258"/>
    <mergeCell ref="C2258:D2258"/>
    <mergeCell ref="E2258:F2258"/>
    <mergeCell ref="G2258:H2258"/>
    <mergeCell ref="I2258:J2258"/>
    <mergeCell ref="K2258:L2258"/>
    <mergeCell ref="M2258:N2258"/>
    <mergeCell ref="O2258:P2258"/>
    <mergeCell ref="A2257:B2257"/>
    <mergeCell ref="C2257:D2257"/>
    <mergeCell ref="E2257:F2257"/>
    <mergeCell ref="G2257:H2257"/>
    <mergeCell ref="I2257:J2257"/>
    <mergeCell ref="K2257:L2257"/>
    <mergeCell ref="M2267:N2267"/>
    <mergeCell ref="O2267:P2267"/>
    <mergeCell ref="A2268:B2268"/>
    <mergeCell ref="C2268:D2268"/>
    <mergeCell ref="E2268:F2268"/>
    <mergeCell ref="G2268:H2268"/>
    <mergeCell ref="I2268:J2268"/>
    <mergeCell ref="K2268:L2268"/>
    <mergeCell ref="M2268:N2268"/>
    <mergeCell ref="O2268:P2268"/>
    <mergeCell ref="A2267:B2267"/>
    <mergeCell ref="C2267:D2267"/>
    <mergeCell ref="E2267:F2267"/>
    <mergeCell ref="G2267:H2267"/>
    <mergeCell ref="I2267:J2267"/>
    <mergeCell ref="K2267:L2267"/>
    <mergeCell ref="M2265:N2265"/>
    <mergeCell ref="O2265:P2265"/>
    <mergeCell ref="A2266:B2266"/>
    <mergeCell ref="C2266:D2266"/>
    <mergeCell ref="E2266:F2266"/>
    <mergeCell ref="G2266:H2266"/>
    <mergeCell ref="I2266:J2266"/>
    <mergeCell ref="K2266:L2266"/>
    <mergeCell ref="M2266:N2266"/>
    <mergeCell ref="O2266:P2266"/>
    <mergeCell ref="A2265:B2265"/>
    <mergeCell ref="C2265:D2265"/>
    <mergeCell ref="E2265:F2265"/>
    <mergeCell ref="G2265:H2265"/>
    <mergeCell ref="I2265:J2265"/>
    <mergeCell ref="K2265:L2265"/>
    <mergeCell ref="M2263:N2263"/>
    <mergeCell ref="O2263:P2263"/>
    <mergeCell ref="A2264:B2264"/>
    <mergeCell ref="C2264:D2264"/>
    <mergeCell ref="E2264:F2264"/>
    <mergeCell ref="G2264:H2264"/>
    <mergeCell ref="I2264:J2264"/>
    <mergeCell ref="K2264:L2264"/>
    <mergeCell ref="M2264:N2264"/>
    <mergeCell ref="O2264:P2264"/>
    <mergeCell ref="A2263:B2263"/>
    <mergeCell ref="C2263:D2263"/>
    <mergeCell ref="E2263:F2263"/>
    <mergeCell ref="G2263:H2263"/>
    <mergeCell ref="I2263:J2263"/>
    <mergeCell ref="K2263:L2263"/>
    <mergeCell ref="M2273:N2273"/>
    <mergeCell ref="O2273:P2273"/>
    <mergeCell ref="A2274:B2274"/>
    <mergeCell ref="C2274:D2274"/>
    <mergeCell ref="E2274:F2274"/>
    <mergeCell ref="G2274:H2274"/>
    <mergeCell ref="I2274:J2274"/>
    <mergeCell ref="K2274:L2274"/>
    <mergeCell ref="M2274:N2274"/>
    <mergeCell ref="O2274:P2274"/>
    <mergeCell ref="A2273:B2273"/>
    <mergeCell ref="C2273:D2273"/>
    <mergeCell ref="E2273:F2273"/>
    <mergeCell ref="G2273:H2273"/>
    <mergeCell ref="I2273:J2273"/>
    <mergeCell ref="K2273:L2273"/>
    <mergeCell ref="M2271:N2271"/>
    <mergeCell ref="O2271:P2271"/>
    <mergeCell ref="A2272:B2272"/>
    <mergeCell ref="C2272:D2272"/>
    <mergeCell ref="E2272:F2272"/>
    <mergeCell ref="G2272:H2272"/>
    <mergeCell ref="I2272:J2272"/>
    <mergeCell ref="K2272:L2272"/>
    <mergeCell ref="M2272:N2272"/>
    <mergeCell ref="O2272:P2272"/>
    <mergeCell ref="A2271:B2271"/>
    <mergeCell ref="C2271:D2271"/>
    <mergeCell ref="E2271:F2271"/>
    <mergeCell ref="G2271:H2271"/>
    <mergeCell ref="I2271:J2271"/>
    <mergeCell ref="K2271:L2271"/>
    <mergeCell ref="M2269:N2269"/>
    <mergeCell ref="O2269:P2269"/>
    <mergeCell ref="A2270:B2270"/>
    <mergeCell ref="C2270:D2270"/>
    <mergeCell ref="E2270:F2270"/>
    <mergeCell ref="G2270:H2270"/>
    <mergeCell ref="I2270:J2270"/>
    <mergeCell ref="K2270:L2270"/>
    <mergeCell ref="M2270:N2270"/>
    <mergeCell ref="O2270:P2270"/>
    <mergeCell ref="A2269:B2269"/>
    <mergeCell ref="C2269:D2269"/>
    <mergeCell ref="E2269:F2269"/>
    <mergeCell ref="G2269:H2269"/>
    <mergeCell ref="I2269:J2269"/>
    <mergeCell ref="K2269:L2269"/>
    <mergeCell ref="M2279:N2279"/>
    <mergeCell ref="O2279:P2279"/>
    <mergeCell ref="A2280:B2280"/>
    <mergeCell ref="C2280:D2280"/>
    <mergeCell ref="E2280:F2280"/>
    <mergeCell ref="G2280:H2280"/>
    <mergeCell ref="I2280:J2280"/>
    <mergeCell ref="K2280:L2280"/>
    <mergeCell ref="M2280:N2280"/>
    <mergeCell ref="O2280:P2280"/>
    <mergeCell ref="A2279:B2279"/>
    <mergeCell ref="C2279:D2279"/>
    <mergeCell ref="E2279:F2279"/>
    <mergeCell ref="G2279:H2279"/>
    <mergeCell ref="I2279:J2279"/>
    <mergeCell ref="K2279:L2279"/>
    <mergeCell ref="M2277:N2277"/>
    <mergeCell ref="O2277:P2277"/>
    <mergeCell ref="A2278:B2278"/>
    <mergeCell ref="C2278:D2278"/>
    <mergeCell ref="E2278:F2278"/>
    <mergeCell ref="G2278:H2278"/>
    <mergeCell ref="I2278:J2278"/>
    <mergeCell ref="K2278:L2278"/>
    <mergeCell ref="M2278:N2278"/>
    <mergeCell ref="O2278:P2278"/>
    <mergeCell ref="A2277:B2277"/>
    <mergeCell ref="C2277:D2277"/>
    <mergeCell ref="E2277:F2277"/>
    <mergeCell ref="G2277:H2277"/>
    <mergeCell ref="I2277:J2277"/>
    <mergeCell ref="K2277:L2277"/>
    <mergeCell ref="M2275:N2275"/>
    <mergeCell ref="O2275:P2275"/>
    <mergeCell ref="A2276:B2276"/>
    <mergeCell ref="C2276:D2276"/>
    <mergeCell ref="E2276:F2276"/>
    <mergeCell ref="G2276:H2276"/>
    <mergeCell ref="I2276:J2276"/>
    <mergeCell ref="K2276:L2276"/>
    <mergeCell ref="M2276:N2276"/>
    <mergeCell ref="O2276:P2276"/>
    <mergeCell ref="A2275:B2275"/>
    <mergeCell ref="C2275:D2275"/>
    <mergeCell ref="E2275:F2275"/>
    <mergeCell ref="G2275:H2275"/>
    <mergeCell ref="I2275:J2275"/>
    <mergeCell ref="K2275:L2275"/>
    <mergeCell ref="M2285:N2285"/>
    <mergeCell ref="O2285:P2285"/>
    <mergeCell ref="A2286:B2286"/>
    <mergeCell ref="C2286:D2286"/>
    <mergeCell ref="E2286:F2286"/>
    <mergeCell ref="G2286:H2286"/>
    <mergeCell ref="I2286:J2286"/>
    <mergeCell ref="K2286:L2286"/>
    <mergeCell ref="M2286:N2286"/>
    <mergeCell ref="O2286:P2286"/>
    <mergeCell ref="A2285:B2285"/>
    <mergeCell ref="C2285:D2285"/>
    <mergeCell ref="E2285:F2285"/>
    <mergeCell ref="G2285:H2285"/>
    <mergeCell ref="I2285:J2285"/>
    <mergeCell ref="K2285:L2285"/>
    <mergeCell ref="M2283:N2283"/>
    <mergeCell ref="O2283:P2283"/>
    <mergeCell ref="A2284:B2284"/>
    <mergeCell ref="C2284:D2284"/>
    <mergeCell ref="E2284:F2284"/>
    <mergeCell ref="G2284:H2284"/>
    <mergeCell ref="I2284:J2284"/>
    <mergeCell ref="K2284:L2284"/>
    <mergeCell ref="M2284:N2284"/>
    <mergeCell ref="O2284:P2284"/>
    <mergeCell ref="A2283:B2283"/>
    <mergeCell ref="C2283:D2283"/>
    <mergeCell ref="E2283:F2283"/>
    <mergeCell ref="G2283:H2283"/>
    <mergeCell ref="I2283:J2283"/>
    <mergeCell ref="K2283:L2283"/>
    <mergeCell ref="M2281:N2281"/>
    <mergeCell ref="O2281:P2281"/>
    <mergeCell ref="A2282:B2282"/>
    <mergeCell ref="C2282:D2282"/>
    <mergeCell ref="E2282:F2282"/>
    <mergeCell ref="G2282:H2282"/>
    <mergeCell ref="I2282:J2282"/>
    <mergeCell ref="K2282:L2282"/>
    <mergeCell ref="M2282:N2282"/>
    <mergeCell ref="O2282:P2282"/>
    <mergeCell ref="A2281:B2281"/>
    <mergeCell ref="C2281:D2281"/>
    <mergeCell ref="E2281:F2281"/>
    <mergeCell ref="G2281:H2281"/>
    <mergeCell ref="I2281:J2281"/>
    <mergeCell ref="K2281:L2281"/>
    <mergeCell ref="M2291:N2291"/>
    <mergeCell ref="O2291:P2291"/>
    <mergeCell ref="A2292:B2292"/>
    <mergeCell ref="C2292:D2292"/>
    <mergeCell ref="E2292:F2292"/>
    <mergeCell ref="G2292:H2292"/>
    <mergeCell ref="I2292:J2292"/>
    <mergeCell ref="K2292:L2292"/>
    <mergeCell ref="M2292:N2292"/>
    <mergeCell ref="O2292:P2292"/>
    <mergeCell ref="A2291:B2291"/>
    <mergeCell ref="C2291:D2291"/>
    <mergeCell ref="E2291:F2291"/>
    <mergeCell ref="G2291:H2291"/>
    <mergeCell ref="I2291:J2291"/>
    <mergeCell ref="K2291:L2291"/>
    <mergeCell ref="M2289:N2289"/>
    <mergeCell ref="O2289:P2289"/>
    <mergeCell ref="A2290:B2290"/>
    <mergeCell ref="C2290:D2290"/>
    <mergeCell ref="E2290:F2290"/>
    <mergeCell ref="G2290:H2290"/>
    <mergeCell ref="I2290:J2290"/>
    <mergeCell ref="K2290:L2290"/>
    <mergeCell ref="M2290:N2290"/>
    <mergeCell ref="O2290:P2290"/>
    <mergeCell ref="A2289:B2289"/>
    <mergeCell ref="C2289:D2289"/>
    <mergeCell ref="E2289:F2289"/>
    <mergeCell ref="G2289:H2289"/>
    <mergeCell ref="I2289:J2289"/>
    <mergeCell ref="K2289:L2289"/>
    <mergeCell ref="M2287:N2287"/>
    <mergeCell ref="O2287:P2287"/>
    <mergeCell ref="A2288:B2288"/>
    <mergeCell ref="C2288:D2288"/>
    <mergeCell ref="E2288:F2288"/>
    <mergeCell ref="G2288:H2288"/>
    <mergeCell ref="I2288:J2288"/>
    <mergeCell ref="K2288:L2288"/>
    <mergeCell ref="M2288:N2288"/>
    <mergeCell ref="O2288:P2288"/>
    <mergeCell ref="A2287:B2287"/>
    <mergeCell ref="C2287:D2287"/>
    <mergeCell ref="E2287:F2287"/>
    <mergeCell ref="G2287:H2287"/>
    <mergeCell ref="I2287:J2287"/>
    <mergeCell ref="K2287:L2287"/>
    <mergeCell ref="M2297:N2297"/>
    <mergeCell ref="O2297:P2297"/>
    <mergeCell ref="A2298:B2298"/>
    <mergeCell ref="C2298:D2298"/>
    <mergeCell ref="E2298:F2298"/>
    <mergeCell ref="G2298:H2298"/>
    <mergeCell ref="I2298:J2298"/>
    <mergeCell ref="K2298:L2298"/>
    <mergeCell ref="M2298:N2298"/>
    <mergeCell ref="O2298:P2298"/>
    <mergeCell ref="A2297:B2297"/>
    <mergeCell ref="C2297:D2297"/>
    <mergeCell ref="E2297:F2297"/>
    <mergeCell ref="G2297:H2297"/>
    <mergeCell ref="I2297:J2297"/>
    <mergeCell ref="K2297:L2297"/>
    <mergeCell ref="M2295:N2295"/>
    <mergeCell ref="O2295:P2295"/>
    <mergeCell ref="A2296:B2296"/>
    <mergeCell ref="C2296:D2296"/>
    <mergeCell ref="E2296:F2296"/>
    <mergeCell ref="G2296:H2296"/>
    <mergeCell ref="I2296:J2296"/>
    <mergeCell ref="K2296:L2296"/>
    <mergeCell ref="M2296:N2296"/>
    <mergeCell ref="O2296:P2296"/>
    <mergeCell ref="A2295:B2295"/>
    <mergeCell ref="C2295:D2295"/>
    <mergeCell ref="E2295:F2295"/>
    <mergeCell ref="G2295:H2295"/>
    <mergeCell ref="I2295:J2295"/>
    <mergeCell ref="K2295:L2295"/>
    <mergeCell ref="M2293:N2293"/>
    <mergeCell ref="O2293:P2293"/>
    <mergeCell ref="A2294:B2294"/>
    <mergeCell ref="C2294:D2294"/>
    <mergeCell ref="E2294:F2294"/>
    <mergeCell ref="G2294:H2294"/>
    <mergeCell ref="I2294:J2294"/>
    <mergeCell ref="K2294:L2294"/>
    <mergeCell ref="M2294:N2294"/>
    <mergeCell ref="O2294:P2294"/>
    <mergeCell ref="A2293:B2293"/>
    <mergeCell ref="C2293:D2293"/>
    <mergeCell ref="E2293:F2293"/>
    <mergeCell ref="G2293:H2293"/>
    <mergeCell ref="I2293:J2293"/>
    <mergeCell ref="K2293:L2293"/>
    <mergeCell ref="M2303:N2303"/>
    <mergeCell ref="O2303:P2303"/>
    <mergeCell ref="A2304:B2304"/>
    <mergeCell ref="C2304:D2304"/>
    <mergeCell ref="E2304:F2304"/>
    <mergeCell ref="G2304:H2304"/>
    <mergeCell ref="I2304:J2304"/>
    <mergeCell ref="K2304:L2304"/>
    <mergeCell ref="M2304:N2304"/>
    <mergeCell ref="O2304:P2304"/>
    <mergeCell ref="A2303:B2303"/>
    <mergeCell ref="C2303:D2303"/>
    <mergeCell ref="E2303:F2303"/>
    <mergeCell ref="G2303:H2303"/>
    <mergeCell ref="I2303:J2303"/>
    <mergeCell ref="K2303:L2303"/>
    <mergeCell ref="M2301:N2301"/>
    <mergeCell ref="O2301:P2301"/>
    <mergeCell ref="A2302:B2302"/>
    <mergeCell ref="C2302:D2302"/>
    <mergeCell ref="E2302:F2302"/>
    <mergeCell ref="G2302:H2302"/>
    <mergeCell ref="I2302:J2302"/>
    <mergeCell ref="K2302:L2302"/>
    <mergeCell ref="M2302:N2302"/>
    <mergeCell ref="O2302:P2302"/>
    <mergeCell ref="A2301:B2301"/>
    <mergeCell ref="C2301:D2301"/>
    <mergeCell ref="E2301:F2301"/>
    <mergeCell ref="G2301:H2301"/>
    <mergeCell ref="I2301:J2301"/>
    <mergeCell ref="K2301:L2301"/>
    <mergeCell ref="M2299:N2299"/>
    <mergeCell ref="O2299:P2299"/>
    <mergeCell ref="A2300:B2300"/>
    <mergeCell ref="C2300:D2300"/>
    <mergeCell ref="E2300:F2300"/>
    <mergeCell ref="G2300:H2300"/>
    <mergeCell ref="I2300:J2300"/>
    <mergeCell ref="K2300:L2300"/>
    <mergeCell ref="M2300:N2300"/>
    <mergeCell ref="O2300:P2300"/>
    <mergeCell ref="A2299:B2299"/>
    <mergeCell ref="C2299:D2299"/>
    <mergeCell ref="E2299:F2299"/>
    <mergeCell ref="G2299:H2299"/>
    <mergeCell ref="I2299:J2299"/>
    <mergeCell ref="K2299:L2299"/>
    <mergeCell ref="M2309:N2309"/>
    <mergeCell ref="O2309:P2309"/>
    <mergeCell ref="A2310:B2310"/>
    <mergeCell ref="C2310:D2310"/>
    <mergeCell ref="E2310:F2310"/>
    <mergeCell ref="G2310:H2310"/>
    <mergeCell ref="I2310:J2310"/>
    <mergeCell ref="K2310:L2310"/>
    <mergeCell ref="M2310:N2310"/>
    <mergeCell ref="O2310:P2310"/>
    <mergeCell ref="A2309:B2309"/>
    <mergeCell ref="C2309:D2309"/>
    <mergeCell ref="E2309:F2309"/>
    <mergeCell ref="G2309:H2309"/>
    <mergeCell ref="I2309:J2309"/>
    <mergeCell ref="K2309:L2309"/>
    <mergeCell ref="M2307:N2307"/>
    <mergeCell ref="O2307:P2307"/>
    <mergeCell ref="A2308:B2308"/>
    <mergeCell ref="C2308:D2308"/>
    <mergeCell ref="E2308:F2308"/>
    <mergeCell ref="G2308:H2308"/>
    <mergeCell ref="I2308:J2308"/>
    <mergeCell ref="K2308:L2308"/>
    <mergeCell ref="M2308:N2308"/>
    <mergeCell ref="O2308:P2308"/>
    <mergeCell ref="A2307:B2307"/>
    <mergeCell ref="C2307:D2307"/>
    <mergeCell ref="E2307:F2307"/>
    <mergeCell ref="G2307:H2307"/>
    <mergeCell ref="I2307:J2307"/>
    <mergeCell ref="K2307:L2307"/>
    <mergeCell ref="M2305:N2305"/>
    <mergeCell ref="O2305:P2305"/>
    <mergeCell ref="A2306:B2306"/>
    <mergeCell ref="C2306:D2306"/>
    <mergeCell ref="E2306:F2306"/>
    <mergeCell ref="G2306:H2306"/>
    <mergeCell ref="I2306:J2306"/>
    <mergeCell ref="K2306:L2306"/>
    <mergeCell ref="M2306:N2306"/>
    <mergeCell ref="O2306:P2306"/>
    <mergeCell ref="A2305:B2305"/>
    <mergeCell ref="C2305:D2305"/>
    <mergeCell ref="E2305:F2305"/>
    <mergeCell ref="G2305:H2305"/>
    <mergeCell ref="I2305:J2305"/>
    <mergeCell ref="K2305:L2305"/>
    <mergeCell ref="M2315:N2315"/>
    <mergeCell ref="O2315:P2315"/>
    <mergeCell ref="A2316:B2316"/>
    <mergeCell ref="C2316:D2316"/>
    <mergeCell ref="E2316:F2316"/>
    <mergeCell ref="G2316:H2316"/>
    <mergeCell ref="I2316:J2316"/>
    <mergeCell ref="K2316:L2316"/>
    <mergeCell ref="M2316:N2316"/>
    <mergeCell ref="O2316:P2316"/>
    <mergeCell ref="A2315:B2315"/>
    <mergeCell ref="C2315:D2315"/>
    <mergeCell ref="E2315:F2315"/>
    <mergeCell ref="G2315:H2315"/>
    <mergeCell ref="I2315:J2315"/>
    <mergeCell ref="K2315:L2315"/>
    <mergeCell ref="M2313:N2313"/>
    <mergeCell ref="O2313:P2313"/>
    <mergeCell ref="A2314:B2314"/>
    <mergeCell ref="C2314:D2314"/>
    <mergeCell ref="E2314:F2314"/>
    <mergeCell ref="G2314:H2314"/>
    <mergeCell ref="I2314:J2314"/>
    <mergeCell ref="K2314:L2314"/>
    <mergeCell ref="M2314:N2314"/>
    <mergeCell ref="O2314:P2314"/>
    <mergeCell ref="A2313:B2313"/>
    <mergeCell ref="C2313:D2313"/>
    <mergeCell ref="E2313:F2313"/>
    <mergeCell ref="G2313:H2313"/>
    <mergeCell ref="I2313:J2313"/>
    <mergeCell ref="K2313:L2313"/>
    <mergeCell ref="M2311:N2311"/>
    <mergeCell ref="O2311:P2311"/>
    <mergeCell ref="A2312:B2312"/>
    <mergeCell ref="C2312:D2312"/>
    <mergeCell ref="E2312:F2312"/>
    <mergeCell ref="G2312:H2312"/>
    <mergeCell ref="I2312:J2312"/>
    <mergeCell ref="K2312:L2312"/>
    <mergeCell ref="M2312:N2312"/>
    <mergeCell ref="O2312:P2312"/>
    <mergeCell ref="A2311:B2311"/>
    <mergeCell ref="C2311:D2311"/>
    <mergeCell ref="E2311:F2311"/>
    <mergeCell ref="G2311:H2311"/>
    <mergeCell ref="I2311:J2311"/>
    <mergeCell ref="K2311:L2311"/>
    <mergeCell ref="M2321:N2321"/>
    <mergeCell ref="O2321:P2321"/>
    <mergeCell ref="A2322:B2322"/>
    <mergeCell ref="C2322:D2322"/>
    <mergeCell ref="E2322:F2322"/>
    <mergeCell ref="G2322:H2322"/>
    <mergeCell ref="I2322:J2322"/>
    <mergeCell ref="K2322:L2322"/>
    <mergeCell ref="M2322:N2322"/>
    <mergeCell ref="O2322:P2322"/>
    <mergeCell ref="A2321:B2321"/>
    <mergeCell ref="C2321:D2321"/>
    <mergeCell ref="E2321:F2321"/>
    <mergeCell ref="G2321:H2321"/>
    <mergeCell ref="I2321:J2321"/>
    <mergeCell ref="K2321:L2321"/>
    <mergeCell ref="M2319:N2319"/>
    <mergeCell ref="O2319:P2319"/>
    <mergeCell ref="A2320:B2320"/>
    <mergeCell ref="C2320:D2320"/>
    <mergeCell ref="E2320:F2320"/>
    <mergeCell ref="G2320:H2320"/>
    <mergeCell ref="I2320:J2320"/>
    <mergeCell ref="K2320:L2320"/>
    <mergeCell ref="M2320:N2320"/>
    <mergeCell ref="O2320:P2320"/>
    <mergeCell ref="A2319:B2319"/>
    <mergeCell ref="C2319:D2319"/>
    <mergeCell ref="E2319:F2319"/>
    <mergeCell ref="G2319:H2319"/>
    <mergeCell ref="I2319:J2319"/>
    <mergeCell ref="K2319:L2319"/>
    <mergeCell ref="M2317:N2317"/>
    <mergeCell ref="O2317:P2317"/>
    <mergeCell ref="A2318:B2318"/>
    <mergeCell ref="C2318:D2318"/>
    <mergeCell ref="E2318:F2318"/>
    <mergeCell ref="G2318:H2318"/>
    <mergeCell ref="I2318:J2318"/>
    <mergeCell ref="K2318:L2318"/>
    <mergeCell ref="M2318:N2318"/>
    <mergeCell ref="O2318:P2318"/>
    <mergeCell ref="A2317:B2317"/>
    <mergeCell ref="C2317:D2317"/>
    <mergeCell ref="E2317:F2317"/>
    <mergeCell ref="G2317:H2317"/>
    <mergeCell ref="I2317:J2317"/>
    <mergeCell ref="K2317:L2317"/>
    <mergeCell ref="M2327:N2327"/>
    <mergeCell ref="O2327:P2327"/>
    <mergeCell ref="A2328:B2328"/>
    <mergeCell ref="C2328:D2328"/>
    <mergeCell ref="E2328:F2328"/>
    <mergeCell ref="G2328:H2328"/>
    <mergeCell ref="I2328:J2328"/>
    <mergeCell ref="K2328:L2328"/>
    <mergeCell ref="M2328:N2328"/>
    <mergeCell ref="O2328:P2328"/>
    <mergeCell ref="A2327:B2327"/>
    <mergeCell ref="C2327:D2327"/>
    <mergeCell ref="E2327:F2327"/>
    <mergeCell ref="G2327:H2327"/>
    <mergeCell ref="I2327:J2327"/>
    <mergeCell ref="K2327:L2327"/>
    <mergeCell ref="M2325:N2325"/>
    <mergeCell ref="O2325:P2325"/>
    <mergeCell ref="A2326:B2326"/>
    <mergeCell ref="C2326:D2326"/>
    <mergeCell ref="E2326:F2326"/>
    <mergeCell ref="G2326:H2326"/>
    <mergeCell ref="I2326:J2326"/>
    <mergeCell ref="K2326:L2326"/>
    <mergeCell ref="M2326:N2326"/>
    <mergeCell ref="O2326:P2326"/>
    <mergeCell ref="A2325:B2325"/>
    <mergeCell ref="C2325:D2325"/>
    <mergeCell ref="E2325:F2325"/>
    <mergeCell ref="G2325:H2325"/>
    <mergeCell ref="I2325:J2325"/>
    <mergeCell ref="K2325:L2325"/>
    <mergeCell ref="M2323:N2323"/>
    <mergeCell ref="O2323:P2323"/>
    <mergeCell ref="A2324:B2324"/>
    <mergeCell ref="C2324:D2324"/>
    <mergeCell ref="E2324:F2324"/>
    <mergeCell ref="G2324:H2324"/>
    <mergeCell ref="I2324:J2324"/>
    <mergeCell ref="K2324:L2324"/>
    <mergeCell ref="M2324:N2324"/>
    <mergeCell ref="O2324:P2324"/>
    <mergeCell ref="A2323:B2323"/>
    <mergeCell ref="C2323:D2323"/>
    <mergeCell ref="E2323:F2323"/>
    <mergeCell ref="G2323:H2323"/>
    <mergeCell ref="I2323:J2323"/>
    <mergeCell ref="K2323:L2323"/>
    <mergeCell ref="M2333:N2333"/>
    <mergeCell ref="O2333:P2333"/>
    <mergeCell ref="A2334:B2334"/>
    <mergeCell ref="C2334:D2334"/>
    <mergeCell ref="E2334:F2334"/>
    <mergeCell ref="G2334:H2334"/>
    <mergeCell ref="I2334:J2334"/>
    <mergeCell ref="K2334:L2334"/>
    <mergeCell ref="M2334:N2334"/>
    <mergeCell ref="O2334:P2334"/>
    <mergeCell ref="A2333:B2333"/>
    <mergeCell ref="C2333:D2333"/>
    <mergeCell ref="E2333:F2333"/>
    <mergeCell ref="G2333:H2333"/>
    <mergeCell ref="I2333:J2333"/>
    <mergeCell ref="K2333:L2333"/>
    <mergeCell ref="M2331:N2331"/>
    <mergeCell ref="O2331:P2331"/>
    <mergeCell ref="A2332:B2332"/>
    <mergeCell ref="C2332:D2332"/>
    <mergeCell ref="E2332:F2332"/>
    <mergeCell ref="G2332:H2332"/>
    <mergeCell ref="I2332:J2332"/>
    <mergeCell ref="K2332:L2332"/>
    <mergeCell ref="M2332:N2332"/>
    <mergeCell ref="O2332:P2332"/>
    <mergeCell ref="A2331:B2331"/>
    <mergeCell ref="C2331:D2331"/>
    <mergeCell ref="E2331:F2331"/>
    <mergeCell ref="G2331:H2331"/>
    <mergeCell ref="I2331:J2331"/>
    <mergeCell ref="K2331:L2331"/>
    <mergeCell ref="M2329:N2329"/>
    <mergeCell ref="O2329:P2329"/>
    <mergeCell ref="A2330:B2330"/>
    <mergeCell ref="C2330:D2330"/>
    <mergeCell ref="E2330:F2330"/>
    <mergeCell ref="G2330:H2330"/>
    <mergeCell ref="I2330:J2330"/>
    <mergeCell ref="K2330:L2330"/>
    <mergeCell ref="M2330:N2330"/>
    <mergeCell ref="O2330:P2330"/>
    <mergeCell ref="A2329:B2329"/>
    <mergeCell ref="C2329:D2329"/>
    <mergeCell ref="E2329:F2329"/>
    <mergeCell ref="G2329:H2329"/>
    <mergeCell ref="I2329:J2329"/>
    <mergeCell ref="K2329:L2329"/>
    <mergeCell ref="M2339:N2339"/>
    <mergeCell ref="O2339:P2339"/>
    <mergeCell ref="A2340:B2340"/>
    <mergeCell ref="C2340:D2340"/>
    <mergeCell ref="E2340:F2340"/>
    <mergeCell ref="G2340:H2340"/>
    <mergeCell ref="I2340:J2340"/>
    <mergeCell ref="K2340:L2340"/>
    <mergeCell ref="M2340:N2340"/>
    <mergeCell ref="O2340:P2340"/>
    <mergeCell ref="A2339:B2339"/>
    <mergeCell ref="C2339:D2339"/>
    <mergeCell ref="E2339:F2339"/>
    <mergeCell ref="G2339:H2339"/>
    <mergeCell ref="I2339:J2339"/>
    <mergeCell ref="K2339:L2339"/>
    <mergeCell ref="M2337:N2337"/>
    <mergeCell ref="O2337:P2337"/>
    <mergeCell ref="A2338:B2338"/>
    <mergeCell ref="C2338:D2338"/>
    <mergeCell ref="E2338:F2338"/>
    <mergeCell ref="G2338:H2338"/>
    <mergeCell ref="I2338:J2338"/>
    <mergeCell ref="K2338:L2338"/>
    <mergeCell ref="M2338:N2338"/>
    <mergeCell ref="O2338:P2338"/>
    <mergeCell ref="A2337:B2337"/>
    <mergeCell ref="C2337:D2337"/>
    <mergeCell ref="E2337:F2337"/>
    <mergeCell ref="G2337:H2337"/>
    <mergeCell ref="I2337:J2337"/>
    <mergeCell ref="K2337:L2337"/>
    <mergeCell ref="M2335:N2335"/>
    <mergeCell ref="O2335:P2335"/>
    <mergeCell ref="A2336:B2336"/>
    <mergeCell ref="C2336:D2336"/>
    <mergeCell ref="E2336:F2336"/>
    <mergeCell ref="G2336:H2336"/>
    <mergeCell ref="I2336:J2336"/>
    <mergeCell ref="K2336:L2336"/>
    <mergeCell ref="M2336:N2336"/>
    <mergeCell ref="O2336:P2336"/>
    <mergeCell ref="A2335:B2335"/>
    <mergeCell ref="C2335:D2335"/>
    <mergeCell ref="E2335:F2335"/>
    <mergeCell ref="G2335:H2335"/>
    <mergeCell ref="I2335:J2335"/>
    <mergeCell ref="K2335:L2335"/>
    <mergeCell ref="M2345:N2345"/>
    <mergeCell ref="O2345:P2345"/>
    <mergeCell ref="A2346:B2346"/>
    <mergeCell ref="C2346:D2346"/>
    <mergeCell ref="E2346:F2346"/>
    <mergeCell ref="G2346:H2346"/>
    <mergeCell ref="I2346:J2346"/>
    <mergeCell ref="K2346:L2346"/>
    <mergeCell ref="M2346:N2346"/>
    <mergeCell ref="O2346:P2346"/>
    <mergeCell ref="A2345:B2345"/>
    <mergeCell ref="C2345:D2345"/>
    <mergeCell ref="E2345:F2345"/>
    <mergeCell ref="G2345:H2345"/>
    <mergeCell ref="I2345:J2345"/>
    <mergeCell ref="K2345:L2345"/>
    <mergeCell ref="M2343:N2343"/>
    <mergeCell ref="O2343:P2343"/>
    <mergeCell ref="A2344:B2344"/>
    <mergeCell ref="C2344:D2344"/>
    <mergeCell ref="E2344:F2344"/>
    <mergeCell ref="G2344:H2344"/>
    <mergeCell ref="I2344:J2344"/>
    <mergeCell ref="K2344:L2344"/>
    <mergeCell ref="M2344:N2344"/>
    <mergeCell ref="O2344:P2344"/>
    <mergeCell ref="A2343:B2343"/>
    <mergeCell ref="C2343:D2343"/>
    <mergeCell ref="E2343:F2343"/>
    <mergeCell ref="G2343:H2343"/>
    <mergeCell ref="I2343:J2343"/>
    <mergeCell ref="K2343:L2343"/>
    <mergeCell ref="M2341:N2341"/>
    <mergeCell ref="O2341:P2341"/>
    <mergeCell ref="A2342:B2342"/>
    <mergeCell ref="C2342:D2342"/>
    <mergeCell ref="E2342:F2342"/>
    <mergeCell ref="G2342:H2342"/>
    <mergeCell ref="I2342:J2342"/>
    <mergeCell ref="K2342:L2342"/>
    <mergeCell ref="M2342:N2342"/>
    <mergeCell ref="O2342:P2342"/>
    <mergeCell ref="A2341:B2341"/>
    <mergeCell ref="C2341:D2341"/>
    <mergeCell ref="E2341:F2341"/>
    <mergeCell ref="G2341:H2341"/>
    <mergeCell ref="I2341:J2341"/>
    <mergeCell ref="K2341:L2341"/>
    <mergeCell ref="M2351:N2351"/>
    <mergeCell ref="O2351:P2351"/>
    <mergeCell ref="A2352:B2352"/>
    <mergeCell ref="C2352:D2352"/>
    <mergeCell ref="E2352:F2352"/>
    <mergeCell ref="G2352:H2352"/>
    <mergeCell ref="I2352:J2352"/>
    <mergeCell ref="K2352:L2352"/>
    <mergeCell ref="M2352:N2352"/>
    <mergeCell ref="O2352:P2352"/>
    <mergeCell ref="A2351:B2351"/>
    <mergeCell ref="C2351:D2351"/>
    <mergeCell ref="E2351:F2351"/>
    <mergeCell ref="G2351:H2351"/>
    <mergeCell ref="I2351:J2351"/>
    <mergeCell ref="K2351:L2351"/>
    <mergeCell ref="M2349:N2349"/>
    <mergeCell ref="O2349:P2349"/>
    <mergeCell ref="A2350:B2350"/>
    <mergeCell ref="C2350:D2350"/>
    <mergeCell ref="E2350:F2350"/>
    <mergeCell ref="G2350:H2350"/>
    <mergeCell ref="I2350:J2350"/>
    <mergeCell ref="K2350:L2350"/>
    <mergeCell ref="M2350:N2350"/>
    <mergeCell ref="O2350:P2350"/>
    <mergeCell ref="A2349:B2349"/>
    <mergeCell ref="C2349:D2349"/>
    <mergeCell ref="E2349:F2349"/>
    <mergeCell ref="G2349:H2349"/>
    <mergeCell ref="I2349:J2349"/>
    <mergeCell ref="K2349:L2349"/>
    <mergeCell ref="M2347:N2347"/>
    <mergeCell ref="O2347:P2347"/>
    <mergeCell ref="A2348:B2348"/>
    <mergeCell ref="C2348:D2348"/>
    <mergeCell ref="E2348:F2348"/>
    <mergeCell ref="G2348:H2348"/>
    <mergeCell ref="I2348:J2348"/>
    <mergeCell ref="K2348:L2348"/>
    <mergeCell ref="M2348:N2348"/>
    <mergeCell ref="O2348:P2348"/>
    <mergeCell ref="A2347:B2347"/>
    <mergeCell ref="C2347:D2347"/>
    <mergeCell ref="E2347:F2347"/>
    <mergeCell ref="G2347:H2347"/>
    <mergeCell ref="I2347:J2347"/>
    <mergeCell ref="K2347:L2347"/>
    <mergeCell ref="M2357:N2357"/>
    <mergeCell ref="O2357:P2357"/>
    <mergeCell ref="A2358:B2358"/>
    <mergeCell ref="C2358:D2358"/>
    <mergeCell ref="E2358:F2358"/>
    <mergeCell ref="G2358:H2358"/>
    <mergeCell ref="I2358:J2358"/>
    <mergeCell ref="K2358:L2358"/>
    <mergeCell ref="M2358:N2358"/>
    <mergeCell ref="O2358:P2358"/>
    <mergeCell ref="A2357:B2357"/>
    <mergeCell ref="C2357:D2357"/>
    <mergeCell ref="E2357:F2357"/>
    <mergeCell ref="G2357:H2357"/>
    <mergeCell ref="I2357:J2357"/>
    <mergeCell ref="K2357:L2357"/>
    <mergeCell ref="M2355:N2355"/>
    <mergeCell ref="O2355:P2355"/>
    <mergeCell ref="A2356:B2356"/>
    <mergeCell ref="C2356:D2356"/>
    <mergeCell ref="E2356:F2356"/>
    <mergeCell ref="G2356:H2356"/>
    <mergeCell ref="I2356:J2356"/>
    <mergeCell ref="K2356:L2356"/>
    <mergeCell ref="M2356:N2356"/>
    <mergeCell ref="O2356:P2356"/>
    <mergeCell ref="A2355:B2355"/>
    <mergeCell ref="C2355:D2355"/>
    <mergeCell ref="E2355:F2355"/>
    <mergeCell ref="G2355:H2355"/>
    <mergeCell ref="I2355:J2355"/>
    <mergeCell ref="K2355:L2355"/>
    <mergeCell ref="M2353:N2353"/>
    <mergeCell ref="O2353:P2353"/>
    <mergeCell ref="A2354:B2354"/>
    <mergeCell ref="C2354:D2354"/>
    <mergeCell ref="E2354:F2354"/>
    <mergeCell ref="G2354:H2354"/>
    <mergeCell ref="I2354:J2354"/>
    <mergeCell ref="K2354:L2354"/>
    <mergeCell ref="M2354:N2354"/>
    <mergeCell ref="O2354:P2354"/>
    <mergeCell ref="A2353:B2353"/>
    <mergeCell ref="C2353:D2353"/>
    <mergeCell ref="E2353:F2353"/>
    <mergeCell ref="G2353:H2353"/>
    <mergeCell ref="I2353:J2353"/>
    <mergeCell ref="K2353:L2353"/>
    <mergeCell ref="M2363:N2363"/>
    <mergeCell ref="O2363:P2363"/>
    <mergeCell ref="A2364:B2364"/>
    <mergeCell ref="C2364:D2364"/>
    <mergeCell ref="E2364:F2364"/>
    <mergeCell ref="G2364:H2364"/>
    <mergeCell ref="I2364:J2364"/>
    <mergeCell ref="K2364:L2364"/>
    <mergeCell ref="M2364:N2364"/>
    <mergeCell ref="O2364:P2364"/>
    <mergeCell ref="A2363:B2363"/>
    <mergeCell ref="C2363:D2363"/>
    <mergeCell ref="E2363:F2363"/>
    <mergeCell ref="G2363:H2363"/>
    <mergeCell ref="I2363:J2363"/>
    <mergeCell ref="K2363:L2363"/>
    <mergeCell ref="M2361:N2361"/>
    <mergeCell ref="O2361:P2361"/>
    <mergeCell ref="A2362:B2362"/>
    <mergeCell ref="C2362:D2362"/>
    <mergeCell ref="E2362:F2362"/>
    <mergeCell ref="G2362:H2362"/>
    <mergeCell ref="I2362:J2362"/>
    <mergeCell ref="K2362:L2362"/>
    <mergeCell ref="M2362:N2362"/>
    <mergeCell ref="O2362:P2362"/>
    <mergeCell ref="A2361:B2361"/>
    <mergeCell ref="C2361:D2361"/>
    <mergeCell ref="E2361:F2361"/>
    <mergeCell ref="G2361:H2361"/>
    <mergeCell ref="I2361:J2361"/>
    <mergeCell ref="K2361:L2361"/>
    <mergeCell ref="M2359:N2359"/>
    <mergeCell ref="O2359:P2359"/>
    <mergeCell ref="A2360:B2360"/>
    <mergeCell ref="C2360:D2360"/>
    <mergeCell ref="E2360:F2360"/>
    <mergeCell ref="G2360:H2360"/>
    <mergeCell ref="I2360:J2360"/>
    <mergeCell ref="K2360:L2360"/>
    <mergeCell ref="M2360:N2360"/>
    <mergeCell ref="O2360:P2360"/>
    <mergeCell ref="A2359:B2359"/>
    <mergeCell ref="C2359:D2359"/>
    <mergeCell ref="E2359:F2359"/>
    <mergeCell ref="G2359:H2359"/>
    <mergeCell ref="I2359:J2359"/>
    <mergeCell ref="K2359:L2359"/>
    <mergeCell ref="M2369:N2369"/>
    <mergeCell ref="O2369:P2369"/>
    <mergeCell ref="A2370:B2370"/>
    <mergeCell ref="C2370:D2370"/>
    <mergeCell ref="E2370:F2370"/>
    <mergeCell ref="G2370:H2370"/>
    <mergeCell ref="I2370:J2370"/>
    <mergeCell ref="K2370:L2370"/>
    <mergeCell ref="M2370:N2370"/>
    <mergeCell ref="O2370:P2370"/>
    <mergeCell ref="A2369:B2369"/>
    <mergeCell ref="C2369:D2369"/>
    <mergeCell ref="E2369:F2369"/>
    <mergeCell ref="G2369:H2369"/>
    <mergeCell ref="I2369:J2369"/>
    <mergeCell ref="K2369:L2369"/>
    <mergeCell ref="M2367:N2367"/>
    <mergeCell ref="O2367:P2367"/>
    <mergeCell ref="A2368:B2368"/>
    <mergeCell ref="C2368:D2368"/>
    <mergeCell ref="E2368:F2368"/>
    <mergeCell ref="G2368:H2368"/>
    <mergeCell ref="I2368:J2368"/>
    <mergeCell ref="K2368:L2368"/>
    <mergeCell ref="M2368:N2368"/>
    <mergeCell ref="O2368:P2368"/>
    <mergeCell ref="A2367:B2367"/>
    <mergeCell ref="C2367:D2367"/>
    <mergeCell ref="E2367:F2367"/>
    <mergeCell ref="G2367:H2367"/>
    <mergeCell ref="I2367:J2367"/>
    <mergeCell ref="K2367:L2367"/>
    <mergeCell ref="M2365:N2365"/>
    <mergeCell ref="O2365:P2365"/>
    <mergeCell ref="A2366:B2366"/>
    <mergeCell ref="C2366:D2366"/>
    <mergeCell ref="E2366:F2366"/>
    <mergeCell ref="G2366:H2366"/>
    <mergeCell ref="I2366:J2366"/>
    <mergeCell ref="K2366:L2366"/>
    <mergeCell ref="M2366:N2366"/>
    <mergeCell ref="O2366:P2366"/>
    <mergeCell ref="A2365:B2365"/>
    <mergeCell ref="C2365:D2365"/>
    <mergeCell ref="E2365:F2365"/>
    <mergeCell ref="G2365:H2365"/>
    <mergeCell ref="I2365:J2365"/>
    <mergeCell ref="K2365:L2365"/>
    <mergeCell ref="M2375:N2375"/>
    <mergeCell ref="O2375:P2375"/>
    <mergeCell ref="A2376:B2376"/>
    <mergeCell ref="C2376:D2376"/>
    <mergeCell ref="E2376:F2376"/>
    <mergeCell ref="G2376:H2376"/>
    <mergeCell ref="I2376:J2376"/>
    <mergeCell ref="K2376:L2376"/>
    <mergeCell ref="M2376:N2376"/>
    <mergeCell ref="O2376:P2376"/>
    <mergeCell ref="A2375:B2375"/>
    <mergeCell ref="C2375:D2375"/>
    <mergeCell ref="E2375:F2375"/>
    <mergeCell ref="G2375:H2375"/>
    <mergeCell ref="I2375:J2375"/>
    <mergeCell ref="K2375:L2375"/>
    <mergeCell ref="M2373:N2373"/>
    <mergeCell ref="O2373:P2373"/>
    <mergeCell ref="A2374:B2374"/>
    <mergeCell ref="C2374:D2374"/>
    <mergeCell ref="E2374:F2374"/>
    <mergeCell ref="G2374:H2374"/>
    <mergeCell ref="I2374:J2374"/>
    <mergeCell ref="K2374:L2374"/>
    <mergeCell ref="M2374:N2374"/>
    <mergeCell ref="O2374:P2374"/>
    <mergeCell ref="A2373:B2373"/>
    <mergeCell ref="C2373:D2373"/>
    <mergeCell ref="E2373:F2373"/>
    <mergeCell ref="G2373:H2373"/>
    <mergeCell ref="I2373:J2373"/>
    <mergeCell ref="K2373:L2373"/>
    <mergeCell ref="M2371:N2371"/>
    <mergeCell ref="O2371:P2371"/>
    <mergeCell ref="A2372:B2372"/>
    <mergeCell ref="C2372:D2372"/>
    <mergeCell ref="E2372:F2372"/>
    <mergeCell ref="G2372:H2372"/>
    <mergeCell ref="I2372:J2372"/>
    <mergeCell ref="K2372:L2372"/>
    <mergeCell ref="M2372:N2372"/>
    <mergeCell ref="O2372:P2372"/>
    <mergeCell ref="A2371:B2371"/>
    <mergeCell ref="C2371:D2371"/>
    <mergeCell ref="E2371:F2371"/>
    <mergeCell ref="G2371:H2371"/>
    <mergeCell ref="I2371:J2371"/>
    <mergeCell ref="K2371:L23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9EC1-0893-42A9-936F-FA21213F8C6F}">
  <sheetPr codeName="Sheet4"/>
  <dimension ref="A1:C9"/>
  <sheetViews>
    <sheetView workbookViewId="0">
      <selection activeCell="B4" sqref="B4"/>
    </sheetView>
  </sheetViews>
  <sheetFormatPr defaultRowHeight="15"/>
  <cols>
    <col min="1" max="1" width="19" bestFit="1" customWidth="1"/>
    <col min="2" max="2" width="50.5703125" bestFit="1" customWidth="1"/>
    <col min="3" max="3" width="11.7109375" bestFit="1" customWidth="1"/>
  </cols>
  <sheetData>
    <row r="1" spans="1:3">
      <c r="A1" s="4" t="s">
        <v>76</v>
      </c>
      <c r="B1" t="s">
        <v>77</v>
      </c>
      <c r="C1" t="s">
        <v>78</v>
      </c>
    </row>
    <row r="2" spans="1:3">
      <c r="A2" s="3" t="s">
        <v>54</v>
      </c>
      <c r="B2">
        <v>12934.147801000006</v>
      </c>
      <c r="C2">
        <v>124310</v>
      </c>
    </row>
    <row r="3" spans="1:3">
      <c r="A3" s="3" t="s">
        <v>24</v>
      </c>
      <c r="B3">
        <v>2763.7765884299997</v>
      </c>
      <c r="C3">
        <v>62155</v>
      </c>
    </row>
    <row r="4" spans="1:3">
      <c r="A4" s="3" t="s">
        <v>28</v>
      </c>
      <c r="B4">
        <v>316952.74385205994</v>
      </c>
      <c r="C4">
        <v>745860</v>
      </c>
    </row>
    <row r="5" spans="1:3">
      <c r="A5" s="3" t="s">
        <v>30</v>
      </c>
      <c r="B5">
        <v>169400.86298962028</v>
      </c>
      <c r="C5">
        <v>994480</v>
      </c>
    </row>
    <row r="6" spans="1:3">
      <c r="A6" s="3" t="s">
        <v>39</v>
      </c>
      <c r="B6">
        <v>33825.902658920983</v>
      </c>
      <c r="C6">
        <v>310775</v>
      </c>
    </row>
    <row r="7" spans="1:3">
      <c r="A7" s="3" t="s">
        <v>33</v>
      </c>
      <c r="B7">
        <v>180453.39467060001</v>
      </c>
      <c r="C7">
        <v>124310</v>
      </c>
    </row>
    <row r="8" spans="1:3">
      <c r="A8" s="3" t="s">
        <v>26</v>
      </c>
      <c r="B8">
        <v>34380.914781190011</v>
      </c>
      <c r="C8">
        <v>372930</v>
      </c>
    </row>
    <row r="9" spans="1:3">
      <c r="A9" s="3" t="s">
        <v>79</v>
      </c>
      <c r="B9">
        <v>750711.74334182125</v>
      </c>
      <c r="C9">
        <v>2734820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47E6-B390-41AE-BC61-A650C8C85128}">
  <sheetPr codeName="Sheet5"/>
  <dimension ref="A1:F245"/>
  <sheetViews>
    <sheetView topLeftCell="A136" workbookViewId="0">
      <selection activeCell="H156" sqref="H156"/>
    </sheetView>
  </sheetViews>
  <sheetFormatPr defaultRowHeight="15"/>
  <sheetData>
    <row r="1" spans="1:6">
      <c r="A1" t="s">
        <v>80</v>
      </c>
      <c r="B1" t="s">
        <v>81</v>
      </c>
      <c r="C1" t="s">
        <v>82</v>
      </c>
      <c r="D1" t="s">
        <v>83</v>
      </c>
      <c r="F1" t="s">
        <v>84</v>
      </c>
    </row>
    <row r="2" spans="1:6">
      <c r="A2" t="s">
        <v>85</v>
      </c>
      <c r="B2" t="s">
        <v>86</v>
      </c>
      <c r="C2">
        <v>42.546244999999999</v>
      </c>
      <c r="D2">
        <v>1.6015539999999999</v>
      </c>
      <c r="F2" t="e">
        <f>SUM(VLOOKUP(C2,A1:D245,3,FALSE),VLOOKUP(D2,A1:D245,4,FALSE))</f>
        <v>#N/A</v>
      </c>
    </row>
    <row r="3" spans="1:6">
      <c r="A3" t="s">
        <v>87</v>
      </c>
      <c r="B3" t="s">
        <v>69</v>
      </c>
      <c r="C3">
        <v>23.424075999999999</v>
      </c>
      <c r="D3">
        <v>53.847817999999997</v>
      </c>
      <c r="F3" t="e">
        <f t="shared" ref="F3:F66" si="0">SUM(VLOOKUP(C3,A2:D246,3,FALSE),VLOOKUP(D3,A2:D246,4,FALSE))</f>
        <v>#N/A</v>
      </c>
    </row>
    <row r="4" spans="1:6">
      <c r="A4" t="s">
        <v>88</v>
      </c>
      <c r="B4" t="s">
        <v>89</v>
      </c>
      <c r="C4">
        <v>33.939109999999999</v>
      </c>
      <c r="D4">
        <v>67.709952999999999</v>
      </c>
      <c r="F4" t="e">
        <f t="shared" si="0"/>
        <v>#N/A</v>
      </c>
    </row>
    <row r="5" spans="1:6">
      <c r="A5" t="s">
        <v>90</v>
      </c>
      <c r="B5" t="s">
        <v>91</v>
      </c>
      <c r="C5">
        <v>17.060815999999999</v>
      </c>
      <c r="D5">
        <v>-61.796427999999999</v>
      </c>
      <c r="F5" t="e">
        <f t="shared" si="0"/>
        <v>#N/A</v>
      </c>
    </row>
    <row r="6" spans="1:6">
      <c r="A6" t="s">
        <v>92</v>
      </c>
      <c r="B6" t="s">
        <v>93</v>
      </c>
      <c r="C6">
        <v>18.220554</v>
      </c>
      <c r="D6">
        <v>-63.068615000000001</v>
      </c>
      <c r="F6" t="e">
        <f t="shared" si="0"/>
        <v>#N/A</v>
      </c>
    </row>
    <row r="7" spans="1:6">
      <c r="A7" t="s">
        <v>94</v>
      </c>
      <c r="B7" t="s">
        <v>95</v>
      </c>
      <c r="C7">
        <v>41.153331999999999</v>
      </c>
      <c r="D7">
        <v>20.168330999999998</v>
      </c>
      <c r="F7" t="e">
        <f t="shared" si="0"/>
        <v>#N/A</v>
      </c>
    </row>
    <row r="8" spans="1:6">
      <c r="A8" t="s">
        <v>96</v>
      </c>
      <c r="B8" t="s">
        <v>97</v>
      </c>
      <c r="C8">
        <v>40.069099000000001</v>
      </c>
      <c r="D8">
        <v>45.038189000000003</v>
      </c>
      <c r="F8" t="e">
        <f t="shared" si="0"/>
        <v>#N/A</v>
      </c>
    </row>
    <row r="9" spans="1:6">
      <c r="A9" t="s">
        <v>98</v>
      </c>
      <c r="B9" t="s">
        <v>99</v>
      </c>
      <c r="C9">
        <v>12.226079</v>
      </c>
      <c r="D9">
        <v>-69.060086999999996</v>
      </c>
      <c r="F9" t="e">
        <f t="shared" si="0"/>
        <v>#N/A</v>
      </c>
    </row>
    <row r="10" spans="1:6">
      <c r="A10" t="s">
        <v>100</v>
      </c>
      <c r="B10" t="s">
        <v>101</v>
      </c>
      <c r="C10">
        <v>-11.202692000000001</v>
      </c>
      <c r="D10">
        <v>17.873887</v>
      </c>
      <c r="F10" t="e">
        <f t="shared" si="0"/>
        <v>#N/A</v>
      </c>
    </row>
    <row r="11" spans="1:6">
      <c r="A11" t="s">
        <v>102</v>
      </c>
      <c r="B11" t="s">
        <v>103</v>
      </c>
      <c r="C11">
        <v>-75.250973000000002</v>
      </c>
      <c r="D11">
        <v>-7.1388999999999994E-2</v>
      </c>
      <c r="F11" t="e">
        <f t="shared" si="0"/>
        <v>#N/A</v>
      </c>
    </row>
    <row r="12" spans="1:6">
      <c r="A12" t="s">
        <v>104</v>
      </c>
      <c r="B12" t="s">
        <v>25</v>
      </c>
      <c r="C12">
        <v>-38.416097000000001</v>
      </c>
      <c r="D12">
        <v>-63.616672000000001</v>
      </c>
      <c r="F12" t="e">
        <f t="shared" si="0"/>
        <v>#N/A</v>
      </c>
    </row>
    <row r="13" spans="1:6">
      <c r="A13" t="s">
        <v>105</v>
      </c>
      <c r="B13" t="s">
        <v>106</v>
      </c>
      <c r="C13">
        <v>-14.270972</v>
      </c>
      <c r="D13">
        <v>-170.132217</v>
      </c>
      <c r="F13" t="e">
        <f t="shared" si="0"/>
        <v>#N/A</v>
      </c>
    </row>
    <row r="14" spans="1:6">
      <c r="A14" t="s">
        <v>107</v>
      </c>
      <c r="B14" t="s">
        <v>108</v>
      </c>
      <c r="C14">
        <v>47.516230999999998</v>
      </c>
      <c r="D14">
        <v>14.550072</v>
      </c>
      <c r="F14" t="e">
        <f t="shared" si="0"/>
        <v>#N/A</v>
      </c>
    </row>
    <row r="15" spans="1:6">
      <c r="A15" t="s">
        <v>109</v>
      </c>
      <c r="B15" t="s">
        <v>27</v>
      </c>
      <c r="C15">
        <v>-25.274398000000001</v>
      </c>
      <c r="D15">
        <v>133.775136</v>
      </c>
      <c r="F15" t="e">
        <f t="shared" si="0"/>
        <v>#N/A</v>
      </c>
    </row>
    <row r="16" spans="1:6">
      <c r="A16" t="s">
        <v>110</v>
      </c>
      <c r="B16" t="s">
        <v>111</v>
      </c>
      <c r="C16">
        <v>12.52111</v>
      </c>
      <c r="D16">
        <v>-69.968338000000003</v>
      </c>
      <c r="F16" t="e">
        <f t="shared" si="0"/>
        <v>#N/A</v>
      </c>
    </row>
    <row r="17" spans="1:6">
      <c r="A17" t="s">
        <v>112</v>
      </c>
      <c r="B17" t="s">
        <v>113</v>
      </c>
      <c r="C17">
        <v>40.143104999999998</v>
      </c>
      <c r="D17">
        <v>47.576926999999998</v>
      </c>
      <c r="F17" t="e">
        <f t="shared" si="0"/>
        <v>#N/A</v>
      </c>
    </row>
    <row r="18" spans="1:6">
      <c r="A18" t="s">
        <v>114</v>
      </c>
      <c r="B18" t="s">
        <v>115</v>
      </c>
      <c r="C18">
        <v>43.915886</v>
      </c>
      <c r="D18">
        <v>17.679075999999998</v>
      </c>
      <c r="F18" t="e">
        <f t="shared" si="0"/>
        <v>#N/A</v>
      </c>
    </row>
    <row r="19" spans="1:6">
      <c r="A19" t="s">
        <v>116</v>
      </c>
      <c r="B19" t="s">
        <v>117</v>
      </c>
      <c r="C19">
        <v>13.193887</v>
      </c>
      <c r="D19">
        <v>-59.543197999999997</v>
      </c>
      <c r="F19" t="e">
        <f t="shared" si="0"/>
        <v>#N/A</v>
      </c>
    </row>
    <row r="20" spans="1:6">
      <c r="A20" t="s">
        <v>118</v>
      </c>
      <c r="B20" t="s">
        <v>119</v>
      </c>
      <c r="C20">
        <v>23.684994</v>
      </c>
      <c r="D20">
        <v>90.356330999999997</v>
      </c>
      <c r="F20" t="e">
        <f t="shared" si="0"/>
        <v>#N/A</v>
      </c>
    </row>
    <row r="21" spans="1:6">
      <c r="A21" t="s">
        <v>120</v>
      </c>
      <c r="B21" t="s">
        <v>29</v>
      </c>
      <c r="C21">
        <v>50.503886999999999</v>
      </c>
      <c r="D21">
        <v>4.4699359999999997</v>
      </c>
      <c r="F21" t="e">
        <f t="shared" si="0"/>
        <v>#N/A</v>
      </c>
    </row>
    <row r="22" spans="1:6">
      <c r="A22" t="s">
        <v>121</v>
      </c>
      <c r="B22" t="s">
        <v>122</v>
      </c>
      <c r="C22">
        <v>12.238333000000001</v>
      </c>
      <c r="D22">
        <v>-1.561593</v>
      </c>
      <c r="F22" t="e">
        <f t="shared" si="0"/>
        <v>#N/A</v>
      </c>
    </row>
    <row r="23" spans="1:6">
      <c r="A23" t="s">
        <v>123</v>
      </c>
      <c r="B23" t="s">
        <v>124</v>
      </c>
      <c r="C23">
        <v>42.733882999999999</v>
      </c>
      <c r="D23">
        <v>25.48583</v>
      </c>
      <c r="F23" t="e">
        <f t="shared" si="0"/>
        <v>#N/A</v>
      </c>
    </row>
    <row r="24" spans="1:6">
      <c r="A24" t="s">
        <v>125</v>
      </c>
      <c r="B24" t="s">
        <v>126</v>
      </c>
      <c r="C24">
        <v>25.930413999999999</v>
      </c>
      <c r="D24">
        <v>50.637771999999998</v>
      </c>
      <c r="F24" t="e">
        <f t="shared" si="0"/>
        <v>#N/A</v>
      </c>
    </row>
    <row r="25" spans="1:6">
      <c r="A25" t="s">
        <v>127</v>
      </c>
      <c r="B25" t="s">
        <v>128</v>
      </c>
      <c r="C25">
        <v>-3.3730560000000001</v>
      </c>
      <c r="D25">
        <v>29.918886000000001</v>
      </c>
      <c r="F25" t="e">
        <f t="shared" si="0"/>
        <v>#N/A</v>
      </c>
    </row>
    <row r="26" spans="1:6">
      <c r="A26" t="s">
        <v>129</v>
      </c>
      <c r="B26" t="s">
        <v>130</v>
      </c>
      <c r="C26">
        <v>9.3076899999999991</v>
      </c>
      <c r="D26">
        <v>2.3158340000000002</v>
      </c>
      <c r="F26" t="e">
        <f t="shared" si="0"/>
        <v>#N/A</v>
      </c>
    </row>
    <row r="27" spans="1:6">
      <c r="A27" t="s">
        <v>131</v>
      </c>
      <c r="B27" t="s">
        <v>132</v>
      </c>
      <c r="C27">
        <v>32.321384000000002</v>
      </c>
      <c r="D27">
        <v>-64.757369999999995</v>
      </c>
      <c r="F27" t="e">
        <f t="shared" si="0"/>
        <v>#N/A</v>
      </c>
    </row>
    <row r="28" spans="1:6">
      <c r="A28" t="s">
        <v>133</v>
      </c>
      <c r="B28" t="s">
        <v>134</v>
      </c>
      <c r="C28">
        <v>4.5352769999999998</v>
      </c>
      <c r="D28">
        <v>114.72766900000001</v>
      </c>
      <c r="F28" t="e">
        <f t="shared" si="0"/>
        <v>#N/A</v>
      </c>
    </row>
    <row r="29" spans="1:6">
      <c r="A29" t="s">
        <v>135</v>
      </c>
      <c r="B29" t="s">
        <v>136</v>
      </c>
      <c r="C29">
        <v>-16.290154000000001</v>
      </c>
      <c r="D29">
        <v>-63.588653000000001</v>
      </c>
      <c r="F29" t="e">
        <f t="shared" si="0"/>
        <v>#N/A</v>
      </c>
    </row>
    <row r="30" spans="1:6">
      <c r="A30" t="s">
        <v>137</v>
      </c>
      <c r="B30" t="s">
        <v>31</v>
      </c>
      <c r="C30">
        <v>-14.235004</v>
      </c>
      <c r="D30">
        <v>-51.925280000000001</v>
      </c>
      <c r="F30" t="e">
        <f t="shared" si="0"/>
        <v>#N/A</v>
      </c>
    </row>
    <row r="31" spans="1:6">
      <c r="A31" t="s">
        <v>138</v>
      </c>
      <c r="B31" t="s">
        <v>139</v>
      </c>
      <c r="C31">
        <v>25.034279999999999</v>
      </c>
      <c r="D31">
        <v>-77.396280000000004</v>
      </c>
      <c r="F31" t="e">
        <f t="shared" si="0"/>
        <v>#N/A</v>
      </c>
    </row>
    <row r="32" spans="1:6">
      <c r="A32" t="s">
        <v>140</v>
      </c>
      <c r="B32" t="s">
        <v>141</v>
      </c>
      <c r="C32">
        <v>27.514161999999999</v>
      </c>
      <c r="D32">
        <v>90.433600999999996</v>
      </c>
      <c r="F32" t="e">
        <f t="shared" si="0"/>
        <v>#N/A</v>
      </c>
    </row>
    <row r="33" spans="1:6">
      <c r="A33" t="s">
        <v>142</v>
      </c>
      <c r="B33" t="s">
        <v>143</v>
      </c>
      <c r="C33">
        <v>-54.423198999999997</v>
      </c>
      <c r="D33">
        <v>3.4131939999999998</v>
      </c>
      <c r="F33" t="e">
        <f t="shared" si="0"/>
        <v>#N/A</v>
      </c>
    </row>
    <row r="34" spans="1:6">
      <c r="A34" t="s">
        <v>144</v>
      </c>
      <c r="B34" t="s">
        <v>145</v>
      </c>
      <c r="C34">
        <v>-22.328474</v>
      </c>
      <c r="D34">
        <v>24.684866</v>
      </c>
      <c r="F34" t="e">
        <f t="shared" si="0"/>
        <v>#N/A</v>
      </c>
    </row>
    <row r="35" spans="1:6">
      <c r="A35" t="s">
        <v>146</v>
      </c>
      <c r="B35" t="s">
        <v>147</v>
      </c>
      <c r="C35">
        <v>53.709806999999998</v>
      </c>
      <c r="D35">
        <v>27.953389000000001</v>
      </c>
      <c r="F35" t="e">
        <f t="shared" si="0"/>
        <v>#N/A</v>
      </c>
    </row>
    <row r="36" spans="1:6">
      <c r="A36" t="s">
        <v>148</v>
      </c>
      <c r="B36" t="s">
        <v>149</v>
      </c>
      <c r="C36">
        <v>17.189876999999999</v>
      </c>
      <c r="D36">
        <v>-88.497649999999993</v>
      </c>
      <c r="F36" t="e">
        <f t="shared" si="0"/>
        <v>#N/A</v>
      </c>
    </row>
    <row r="37" spans="1:6">
      <c r="A37" t="s">
        <v>150</v>
      </c>
      <c r="B37" t="s">
        <v>32</v>
      </c>
      <c r="C37">
        <v>56.130366000000002</v>
      </c>
      <c r="D37">
        <v>-106.346771</v>
      </c>
      <c r="F37" t="e">
        <f t="shared" si="0"/>
        <v>#N/A</v>
      </c>
    </row>
    <row r="38" spans="1:6">
      <c r="A38" t="s">
        <v>151</v>
      </c>
      <c r="B38" t="s">
        <v>152</v>
      </c>
      <c r="C38">
        <v>-12.164165000000001</v>
      </c>
      <c r="D38">
        <v>96.870956000000007</v>
      </c>
      <c r="F38" t="e">
        <f t="shared" si="0"/>
        <v>#N/A</v>
      </c>
    </row>
    <row r="39" spans="1:6">
      <c r="A39" t="s">
        <v>153</v>
      </c>
      <c r="B39" t="s">
        <v>154</v>
      </c>
      <c r="C39">
        <v>-4.0383329999999997</v>
      </c>
      <c r="D39">
        <v>21.758664</v>
      </c>
      <c r="F39" t="e">
        <f t="shared" si="0"/>
        <v>#N/A</v>
      </c>
    </row>
    <row r="40" spans="1:6">
      <c r="A40" t="s">
        <v>155</v>
      </c>
      <c r="B40" t="s">
        <v>156</v>
      </c>
      <c r="C40">
        <v>6.6111110000000002</v>
      </c>
      <c r="D40">
        <v>20.939444000000002</v>
      </c>
      <c r="F40" t="e">
        <f t="shared" si="0"/>
        <v>#N/A</v>
      </c>
    </row>
    <row r="41" spans="1:6">
      <c r="A41" t="s">
        <v>157</v>
      </c>
      <c r="B41" t="s">
        <v>158</v>
      </c>
      <c r="C41">
        <v>-0.228021</v>
      </c>
      <c r="D41">
        <v>15.827659000000001</v>
      </c>
      <c r="F41" t="e">
        <f t="shared" si="0"/>
        <v>#N/A</v>
      </c>
    </row>
    <row r="42" spans="1:6">
      <c r="A42" t="s">
        <v>159</v>
      </c>
      <c r="B42" t="s">
        <v>160</v>
      </c>
      <c r="C42">
        <v>46.818187999999999</v>
      </c>
      <c r="D42">
        <v>8.2275120000000008</v>
      </c>
      <c r="F42" t="e">
        <f t="shared" si="0"/>
        <v>#N/A</v>
      </c>
    </row>
    <row r="43" spans="1:6">
      <c r="A43" t="s">
        <v>161</v>
      </c>
      <c r="B43" t="s">
        <v>162</v>
      </c>
      <c r="C43">
        <v>7.5399890000000003</v>
      </c>
      <c r="D43">
        <v>-5.5470800000000002</v>
      </c>
      <c r="F43" t="e">
        <f t="shared" si="0"/>
        <v>#N/A</v>
      </c>
    </row>
    <row r="44" spans="1:6">
      <c r="A44" t="s">
        <v>163</v>
      </c>
      <c r="B44" t="s">
        <v>164</v>
      </c>
      <c r="C44">
        <v>-21.236736000000001</v>
      </c>
      <c r="D44">
        <v>-159.777671</v>
      </c>
      <c r="F44" t="e">
        <f t="shared" si="0"/>
        <v>#N/A</v>
      </c>
    </row>
    <row r="45" spans="1:6">
      <c r="A45" t="s">
        <v>165</v>
      </c>
      <c r="B45" t="s">
        <v>34</v>
      </c>
      <c r="C45">
        <v>-35.675147000000003</v>
      </c>
      <c r="D45">
        <v>-71.542968999999999</v>
      </c>
      <c r="F45" t="e">
        <f t="shared" si="0"/>
        <v>#N/A</v>
      </c>
    </row>
    <row r="46" spans="1:6">
      <c r="A46" t="s">
        <v>166</v>
      </c>
      <c r="B46" t="s">
        <v>167</v>
      </c>
      <c r="C46">
        <v>7.3697220000000003</v>
      </c>
      <c r="D46">
        <v>12.354722000000001</v>
      </c>
      <c r="F46" t="e">
        <f t="shared" si="0"/>
        <v>#N/A</v>
      </c>
    </row>
    <row r="47" spans="1:6">
      <c r="A47" t="s">
        <v>168</v>
      </c>
      <c r="B47" t="s">
        <v>35</v>
      </c>
      <c r="C47">
        <v>35.861660000000001</v>
      </c>
      <c r="D47">
        <v>104.195397</v>
      </c>
      <c r="F47" t="e">
        <f t="shared" si="0"/>
        <v>#N/A</v>
      </c>
    </row>
    <row r="48" spans="1:6">
      <c r="A48" t="s">
        <v>169</v>
      </c>
      <c r="B48" t="s">
        <v>36</v>
      </c>
      <c r="C48">
        <v>4.5708679999999999</v>
      </c>
      <c r="D48">
        <v>-74.297332999999995</v>
      </c>
      <c r="F48" t="e">
        <f t="shared" si="0"/>
        <v>#N/A</v>
      </c>
    </row>
    <row r="49" spans="1:6">
      <c r="A49" t="s">
        <v>170</v>
      </c>
      <c r="B49" t="s">
        <v>171</v>
      </c>
      <c r="C49">
        <v>9.7489170000000005</v>
      </c>
      <c r="D49">
        <v>-83.753428</v>
      </c>
      <c r="F49" t="e">
        <f t="shared" si="0"/>
        <v>#N/A</v>
      </c>
    </row>
    <row r="50" spans="1:6">
      <c r="A50" t="s">
        <v>172</v>
      </c>
      <c r="B50" t="s">
        <v>173</v>
      </c>
      <c r="C50">
        <v>21.521757000000001</v>
      </c>
      <c r="D50">
        <v>-77.781166999999996</v>
      </c>
      <c r="F50" t="e">
        <f t="shared" si="0"/>
        <v>#N/A</v>
      </c>
    </row>
    <row r="51" spans="1:6">
      <c r="A51" t="s">
        <v>174</v>
      </c>
      <c r="B51" t="s">
        <v>175</v>
      </c>
      <c r="C51">
        <v>16.002082000000001</v>
      </c>
      <c r="D51">
        <v>-24.013197000000002</v>
      </c>
      <c r="F51" t="e">
        <f t="shared" si="0"/>
        <v>#N/A</v>
      </c>
    </row>
    <row r="52" spans="1:6">
      <c r="A52" t="s">
        <v>176</v>
      </c>
      <c r="B52" t="s">
        <v>177</v>
      </c>
      <c r="C52">
        <v>-10.447525000000001</v>
      </c>
      <c r="D52">
        <v>105.690449</v>
      </c>
      <c r="F52" t="e">
        <f t="shared" si="0"/>
        <v>#N/A</v>
      </c>
    </row>
    <row r="53" spans="1:6">
      <c r="A53" t="s">
        <v>178</v>
      </c>
      <c r="B53" t="s">
        <v>179</v>
      </c>
      <c r="C53">
        <v>35.126412999999999</v>
      </c>
      <c r="D53">
        <v>33.429859</v>
      </c>
      <c r="F53" t="e">
        <f t="shared" si="0"/>
        <v>#N/A</v>
      </c>
    </row>
    <row r="54" spans="1:6">
      <c r="A54" t="s">
        <v>180</v>
      </c>
      <c r="B54" t="s">
        <v>181</v>
      </c>
      <c r="C54">
        <v>49.817492000000001</v>
      </c>
      <c r="D54">
        <v>15.472962000000001</v>
      </c>
      <c r="F54" t="e">
        <f t="shared" si="0"/>
        <v>#N/A</v>
      </c>
    </row>
    <row r="55" spans="1:6">
      <c r="A55" t="s">
        <v>182</v>
      </c>
      <c r="B55" t="s">
        <v>41</v>
      </c>
      <c r="C55">
        <v>51.165691000000002</v>
      </c>
      <c r="D55">
        <v>10.451525999999999</v>
      </c>
      <c r="F55" t="e">
        <f t="shared" si="0"/>
        <v>#N/A</v>
      </c>
    </row>
    <row r="56" spans="1:6">
      <c r="A56" t="s">
        <v>183</v>
      </c>
      <c r="B56" t="s">
        <v>184</v>
      </c>
      <c r="C56">
        <v>11.825138000000001</v>
      </c>
      <c r="D56">
        <v>42.590274999999998</v>
      </c>
      <c r="F56" t="e">
        <f t="shared" si="0"/>
        <v>#N/A</v>
      </c>
    </row>
    <row r="57" spans="1:6">
      <c r="A57" t="s">
        <v>185</v>
      </c>
      <c r="B57" t="s">
        <v>186</v>
      </c>
      <c r="C57">
        <v>56.263919999999999</v>
      </c>
      <c r="D57">
        <v>9.5017849999999999</v>
      </c>
      <c r="F57" t="e">
        <f t="shared" si="0"/>
        <v>#N/A</v>
      </c>
    </row>
    <row r="58" spans="1:6">
      <c r="A58" t="s">
        <v>187</v>
      </c>
      <c r="B58" t="s">
        <v>188</v>
      </c>
      <c r="C58">
        <v>15.414999</v>
      </c>
      <c r="D58">
        <v>-61.370975999999999</v>
      </c>
      <c r="F58" t="e">
        <f t="shared" si="0"/>
        <v>#N/A</v>
      </c>
    </row>
    <row r="59" spans="1:6">
      <c r="A59" t="s">
        <v>189</v>
      </c>
      <c r="B59" t="s">
        <v>190</v>
      </c>
      <c r="C59">
        <v>18.735693000000001</v>
      </c>
      <c r="D59">
        <v>-70.162650999999997</v>
      </c>
      <c r="F59" t="e">
        <f t="shared" si="0"/>
        <v>#N/A</v>
      </c>
    </row>
    <row r="60" spans="1:6">
      <c r="A60" t="s">
        <v>191</v>
      </c>
      <c r="B60" t="s">
        <v>23</v>
      </c>
      <c r="C60">
        <v>28.033885999999999</v>
      </c>
      <c r="D60">
        <v>1.659626</v>
      </c>
      <c r="F60" t="e">
        <f t="shared" si="0"/>
        <v>#N/A</v>
      </c>
    </row>
    <row r="61" spans="1:6">
      <c r="A61" t="s">
        <v>192</v>
      </c>
      <c r="B61" t="s">
        <v>193</v>
      </c>
      <c r="C61">
        <v>-1.8312390000000001</v>
      </c>
      <c r="D61">
        <v>-78.183406000000005</v>
      </c>
      <c r="F61" t="e">
        <f t="shared" si="0"/>
        <v>#N/A</v>
      </c>
    </row>
    <row r="62" spans="1:6">
      <c r="A62" t="s">
        <v>194</v>
      </c>
      <c r="B62" t="s">
        <v>195</v>
      </c>
      <c r="C62">
        <v>58.595272000000001</v>
      </c>
      <c r="D62">
        <v>25.013607</v>
      </c>
      <c r="F62" t="e">
        <f t="shared" si="0"/>
        <v>#N/A</v>
      </c>
    </row>
    <row r="63" spans="1:6">
      <c r="A63" t="s">
        <v>196</v>
      </c>
      <c r="B63" t="s">
        <v>38</v>
      </c>
      <c r="C63">
        <v>26.820553</v>
      </c>
      <c r="D63">
        <v>30.802498</v>
      </c>
      <c r="F63" t="e">
        <f>SUM(VLOOKUP(C63,A62:D306,3,FALSE),VLOOKUP(D63,A62:D306,4,FALSE))</f>
        <v>#N/A</v>
      </c>
    </row>
    <row r="64" spans="1:6">
      <c r="A64" t="s">
        <v>197</v>
      </c>
      <c r="B64" t="s">
        <v>198</v>
      </c>
      <c r="C64">
        <v>24.215527000000002</v>
      </c>
      <c r="D64">
        <v>-12.885833999999999</v>
      </c>
      <c r="F64" t="e">
        <f t="shared" si="0"/>
        <v>#N/A</v>
      </c>
    </row>
    <row r="65" spans="1:6">
      <c r="A65" t="s">
        <v>199</v>
      </c>
      <c r="B65" t="s">
        <v>200</v>
      </c>
      <c r="C65">
        <v>15.179384000000001</v>
      </c>
      <c r="D65">
        <v>39.782333999999999</v>
      </c>
      <c r="F65" t="e">
        <f t="shared" si="0"/>
        <v>#N/A</v>
      </c>
    </row>
    <row r="66" spans="1:6">
      <c r="A66" t="s">
        <v>201</v>
      </c>
      <c r="B66" t="s">
        <v>63</v>
      </c>
      <c r="C66">
        <v>40.463667000000001</v>
      </c>
      <c r="D66">
        <v>-3.7492200000000002</v>
      </c>
      <c r="F66" t="e">
        <f t="shared" si="0"/>
        <v>#N/A</v>
      </c>
    </row>
    <row r="67" spans="1:6">
      <c r="A67" t="s">
        <v>202</v>
      </c>
      <c r="B67" t="s">
        <v>203</v>
      </c>
      <c r="C67">
        <v>9.1449999999999996</v>
      </c>
      <c r="D67">
        <v>40.489673000000003</v>
      </c>
      <c r="F67" t="e">
        <f t="shared" ref="F67:F130" si="1">SUM(VLOOKUP(C67,A66:D310,3,FALSE),VLOOKUP(D67,A66:D310,4,FALSE))</f>
        <v>#N/A</v>
      </c>
    </row>
    <row r="68" spans="1:6">
      <c r="A68" t="s">
        <v>204</v>
      </c>
      <c r="B68" t="s">
        <v>205</v>
      </c>
      <c r="C68">
        <v>61.924109999999999</v>
      </c>
      <c r="D68">
        <v>25.748151</v>
      </c>
      <c r="F68" t="e">
        <f t="shared" si="1"/>
        <v>#N/A</v>
      </c>
    </row>
    <row r="69" spans="1:6">
      <c r="A69" t="s">
        <v>206</v>
      </c>
      <c r="B69" t="s">
        <v>207</v>
      </c>
      <c r="C69">
        <v>-16.578192999999999</v>
      </c>
      <c r="D69">
        <v>179.414413</v>
      </c>
      <c r="F69" t="e">
        <f t="shared" si="1"/>
        <v>#N/A</v>
      </c>
    </row>
    <row r="70" spans="1:6">
      <c r="A70" t="s">
        <v>208</v>
      </c>
      <c r="B70" t="s">
        <v>209</v>
      </c>
      <c r="C70">
        <v>-51.796253</v>
      </c>
      <c r="D70">
        <v>-59.523612999999997</v>
      </c>
      <c r="F70" t="e">
        <f t="shared" si="1"/>
        <v>#N/A</v>
      </c>
    </row>
    <row r="71" spans="1:6">
      <c r="A71" t="s">
        <v>210</v>
      </c>
      <c r="B71" t="s">
        <v>211</v>
      </c>
      <c r="C71">
        <v>7.425554</v>
      </c>
      <c r="D71">
        <v>150.55081200000001</v>
      </c>
      <c r="F71" t="e">
        <f t="shared" si="1"/>
        <v>#N/A</v>
      </c>
    </row>
    <row r="72" spans="1:6">
      <c r="A72" t="s">
        <v>212</v>
      </c>
      <c r="B72" t="s">
        <v>213</v>
      </c>
      <c r="C72">
        <v>61.892634999999999</v>
      </c>
      <c r="D72">
        <v>-6.9118060000000003</v>
      </c>
      <c r="F72" t="e">
        <f t="shared" si="1"/>
        <v>#N/A</v>
      </c>
    </row>
    <row r="73" spans="1:6">
      <c r="A73" t="s">
        <v>214</v>
      </c>
      <c r="B73" t="s">
        <v>40</v>
      </c>
      <c r="C73">
        <v>46.227637999999999</v>
      </c>
      <c r="D73">
        <v>2.213749</v>
      </c>
      <c r="F73" t="e">
        <f t="shared" si="1"/>
        <v>#N/A</v>
      </c>
    </row>
    <row r="74" spans="1:6">
      <c r="A74" t="s">
        <v>215</v>
      </c>
      <c r="B74" t="s">
        <v>216</v>
      </c>
      <c r="C74">
        <v>-0.80368899999999999</v>
      </c>
      <c r="D74">
        <v>11.609444</v>
      </c>
      <c r="F74" t="e">
        <f t="shared" si="1"/>
        <v>#N/A</v>
      </c>
    </row>
    <row r="75" spans="1:6">
      <c r="A75" t="s">
        <v>217</v>
      </c>
      <c r="B75" t="s">
        <v>218</v>
      </c>
      <c r="C75">
        <v>55.378050999999999</v>
      </c>
      <c r="D75">
        <v>-3.4359730000000002</v>
      </c>
      <c r="F75" t="e">
        <f t="shared" si="1"/>
        <v>#N/A</v>
      </c>
    </row>
    <row r="76" spans="1:6">
      <c r="A76" t="s">
        <v>219</v>
      </c>
      <c r="B76" t="s">
        <v>220</v>
      </c>
      <c r="C76">
        <v>12.262776000000001</v>
      </c>
      <c r="D76">
        <v>-61.604171000000001</v>
      </c>
      <c r="F76" t="e">
        <f t="shared" si="1"/>
        <v>#N/A</v>
      </c>
    </row>
    <row r="77" spans="1:6">
      <c r="A77" t="s">
        <v>221</v>
      </c>
      <c r="B77" t="s">
        <v>222</v>
      </c>
      <c r="C77">
        <v>42.315407</v>
      </c>
      <c r="D77">
        <v>43.356892000000002</v>
      </c>
      <c r="F77" t="e">
        <f t="shared" si="1"/>
        <v>#N/A</v>
      </c>
    </row>
    <row r="78" spans="1:6">
      <c r="A78" t="s">
        <v>223</v>
      </c>
      <c r="B78" t="s">
        <v>224</v>
      </c>
      <c r="C78">
        <v>3.9338890000000002</v>
      </c>
      <c r="D78">
        <v>-53.125782000000001</v>
      </c>
      <c r="F78" t="e">
        <f t="shared" si="1"/>
        <v>#N/A</v>
      </c>
    </row>
    <row r="79" spans="1:6">
      <c r="A79" t="s">
        <v>225</v>
      </c>
      <c r="B79" t="s">
        <v>226</v>
      </c>
      <c r="C79">
        <v>49.465691</v>
      </c>
      <c r="D79">
        <v>-2.5852780000000002</v>
      </c>
      <c r="F79" t="e">
        <f t="shared" si="1"/>
        <v>#N/A</v>
      </c>
    </row>
    <row r="80" spans="1:6">
      <c r="A80" t="s">
        <v>227</v>
      </c>
      <c r="B80" t="s">
        <v>228</v>
      </c>
      <c r="C80">
        <v>7.9465269999999997</v>
      </c>
      <c r="D80">
        <v>-1.0231939999999999</v>
      </c>
      <c r="F80" t="e">
        <f t="shared" si="1"/>
        <v>#N/A</v>
      </c>
    </row>
    <row r="81" spans="1:6">
      <c r="A81" t="s">
        <v>229</v>
      </c>
      <c r="B81" t="s">
        <v>230</v>
      </c>
      <c r="C81">
        <v>36.137740999999998</v>
      </c>
      <c r="D81">
        <v>-5.3453739999999996</v>
      </c>
      <c r="F81" t="e">
        <f t="shared" si="1"/>
        <v>#N/A</v>
      </c>
    </row>
    <row r="82" spans="1:6">
      <c r="A82" t="s">
        <v>231</v>
      </c>
      <c r="B82" t="s">
        <v>232</v>
      </c>
      <c r="C82">
        <v>71.706935999999999</v>
      </c>
      <c r="D82">
        <v>-42.604303000000002</v>
      </c>
      <c r="F82" t="e">
        <f t="shared" si="1"/>
        <v>#N/A</v>
      </c>
    </row>
    <row r="83" spans="1:6">
      <c r="A83" t="s">
        <v>233</v>
      </c>
      <c r="B83" t="s">
        <v>234</v>
      </c>
      <c r="C83">
        <v>13.443182</v>
      </c>
      <c r="D83">
        <v>-15.310138999999999</v>
      </c>
      <c r="F83" t="e">
        <f t="shared" si="1"/>
        <v>#N/A</v>
      </c>
    </row>
    <row r="84" spans="1:6">
      <c r="A84" t="s">
        <v>235</v>
      </c>
      <c r="B84" t="s">
        <v>236</v>
      </c>
      <c r="C84">
        <v>9.9455869999999997</v>
      </c>
      <c r="D84">
        <v>-9.6966450000000002</v>
      </c>
      <c r="F84" t="e">
        <f t="shared" si="1"/>
        <v>#N/A</v>
      </c>
    </row>
    <row r="85" spans="1:6">
      <c r="A85" t="s">
        <v>237</v>
      </c>
      <c r="B85" t="s">
        <v>238</v>
      </c>
      <c r="C85">
        <v>16.995971000000001</v>
      </c>
      <c r="D85">
        <v>-62.067641000000002</v>
      </c>
      <c r="F85" t="e">
        <f t="shared" si="1"/>
        <v>#N/A</v>
      </c>
    </row>
    <row r="86" spans="1:6">
      <c r="A86" t="s">
        <v>239</v>
      </c>
      <c r="B86" t="s">
        <v>240</v>
      </c>
      <c r="C86">
        <v>1.650801</v>
      </c>
      <c r="D86">
        <v>10.267894999999999</v>
      </c>
      <c r="F86" t="e">
        <f t="shared" si="1"/>
        <v>#N/A</v>
      </c>
    </row>
    <row r="87" spans="1:6">
      <c r="A87" t="s">
        <v>241</v>
      </c>
      <c r="B87" t="s">
        <v>242</v>
      </c>
      <c r="C87">
        <v>39.074207999999999</v>
      </c>
      <c r="D87">
        <v>21.824311999999999</v>
      </c>
      <c r="F87" t="e">
        <f t="shared" si="1"/>
        <v>#N/A</v>
      </c>
    </row>
    <row r="88" spans="1:6">
      <c r="A88" t="s">
        <v>243</v>
      </c>
      <c r="B88" t="s">
        <v>244</v>
      </c>
      <c r="C88">
        <v>-54.429578999999997</v>
      </c>
      <c r="D88">
        <v>-36.587909000000003</v>
      </c>
      <c r="F88" t="e">
        <f t="shared" si="1"/>
        <v>#N/A</v>
      </c>
    </row>
    <row r="89" spans="1:6">
      <c r="A89" t="s">
        <v>245</v>
      </c>
      <c r="B89" t="s">
        <v>246</v>
      </c>
      <c r="C89">
        <v>15.783471</v>
      </c>
      <c r="D89">
        <v>-90.230759000000006</v>
      </c>
      <c r="F89" t="e">
        <f t="shared" si="1"/>
        <v>#N/A</v>
      </c>
    </row>
    <row r="90" spans="1:6">
      <c r="A90" t="s">
        <v>247</v>
      </c>
      <c r="B90" t="s">
        <v>248</v>
      </c>
      <c r="C90">
        <v>13.444304000000001</v>
      </c>
      <c r="D90">
        <v>144.79373100000001</v>
      </c>
      <c r="F90" t="e">
        <f t="shared" si="1"/>
        <v>#N/A</v>
      </c>
    </row>
    <row r="91" spans="1:6">
      <c r="A91" t="s">
        <v>249</v>
      </c>
      <c r="B91" t="s">
        <v>250</v>
      </c>
      <c r="C91">
        <v>11.803749</v>
      </c>
      <c r="D91">
        <v>-15.180413</v>
      </c>
      <c r="F91" t="e">
        <f t="shared" si="1"/>
        <v>#N/A</v>
      </c>
    </row>
    <row r="92" spans="1:6">
      <c r="A92" t="s">
        <v>251</v>
      </c>
      <c r="B92" t="s">
        <v>252</v>
      </c>
      <c r="C92">
        <v>4.8604159999999998</v>
      </c>
      <c r="D92">
        <v>-58.93018</v>
      </c>
      <c r="F92" t="e">
        <f t="shared" si="1"/>
        <v>#N/A</v>
      </c>
    </row>
    <row r="93" spans="1:6">
      <c r="A93" t="s">
        <v>253</v>
      </c>
      <c r="B93" t="s">
        <v>254</v>
      </c>
      <c r="C93">
        <v>31.354676000000001</v>
      </c>
      <c r="D93">
        <v>34.308824999999999</v>
      </c>
      <c r="F93" t="e">
        <f t="shared" si="1"/>
        <v>#N/A</v>
      </c>
    </row>
    <row r="94" spans="1:6">
      <c r="A94" t="s">
        <v>255</v>
      </c>
      <c r="B94" t="s">
        <v>256</v>
      </c>
      <c r="C94">
        <v>22.396428</v>
      </c>
      <c r="D94">
        <v>114.109497</v>
      </c>
      <c r="F94" t="e">
        <f t="shared" si="1"/>
        <v>#N/A</v>
      </c>
    </row>
    <row r="95" spans="1:6">
      <c r="A95" t="s">
        <v>257</v>
      </c>
      <c r="B95" t="s">
        <v>258</v>
      </c>
      <c r="C95">
        <v>-53.081809999999997</v>
      </c>
      <c r="D95">
        <v>73.504158000000004</v>
      </c>
      <c r="F95" t="e">
        <f t="shared" si="1"/>
        <v>#N/A</v>
      </c>
    </row>
    <row r="96" spans="1:6">
      <c r="A96" t="s">
        <v>259</v>
      </c>
      <c r="B96" t="s">
        <v>260</v>
      </c>
      <c r="C96">
        <v>15.199999</v>
      </c>
      <c r="D96">
        <v>-86.241905000000003</v>
      </c>
      <c r="F96" t="e">
        <f t="shared" si="1"/>
        <v>#N/A</v>
      </c>
    </row>
    <row r="97" spans="1:6">
      <c r="A97" t="s">
        <v>261</v>
      </c>
      <c r="B97" t="s">
        <v>262</v>
      </c>
      <c r="C97">
        <v>45.1</v>
      </c>
      <c r="D97">
        <v>15.2</v>
      </c>
      <c r="F97" t="e">
        <f t="shared" si="1"/>
        <v>#N/A</v>
      </c>
    </row>
    <row r="98" spans="1:6">
      <c r="A98" t="s">
        <v>263</v>
      </c>
      <c r="B98" t="s">
        <v>264</v>
      </c>
      <c r="C98">
        <v>18.971187</v>
      </c>
      <c r="D98">
        <v>-72.285214999999994</v>
      </c>
      <c r="F98" t="e">
        <f t="shared" si="1"/>
        <v>#N/A</v>
      </c>
    </row>
    <row r="99" spans="1:6">
      <c r="A99" t="s">
        <v>265</v>
      </c>
      <c r="B99" t="s">
        <v>266</v>
      </c>
      <c r="C99">
        <v>47.162494000000002</v>
      </c>
      <c r="D99">
        <v>19.503304</v>
      </c>
      <c r="F99" t="e">
        <f t="shared" si="1"/>
        <v>#N/A</v>
      </c>
    </row>
    <row r="100" spans="1:6">
      <c r="A100" t="s">
        <v>267</v>
      </c>
      <c r="B100" t="s">
        <v>43</v>
      </c>
      <c r="C100">
        <v>-0.78927499999999995</v>
      </c>
      <c r="D100">
        <v>113.92132700000001</v>
      </c>
      <c r="F100" t="e">
        <f t="shared" si="1"/>
        <v>#N/A</v>
      </c>
    </row>
    <row r="101" spans="1:6">
      <c r="A101" t="s">
        <v>268</v>
      </c>
      <c r="B101" t="s">
        <v>269</v>
      </c>
      <c r="C101">
        <v>53.412909999999997</v>
      </c>
      <c r="D101">
        <v>-8.2438900000000004</v>
      </c>
      <c r="F101" t="e">
        <f t="shared" si="1"/>
        <v>#N/A</v>
      </c>
    </row>
    <row r="102" spans="1:6">
      <c r="A102" t="s">
        <v>270</v>
      </c>
      <c r="B102" t="s">
        <v>271</v>
      </c>
      <c r="C102">
        <v>31.046050999999999</v>
      </c>
      <c r="D102">
        <v>34.851612000000003</v>
      </c>
      <c r="F102" t="e">
        <f t="shared" si="1"/>
        <v>#N/A</v>
      </c>
    </row>
    <row r="103" spans="1:6">
      <c r="A103" t="s">
        <v>272</v>
      </c>
      <c r="B103" t="s">
        <v>273</v>
      </c>
      <c r="C103">
        <v>54.236106999999997</v>
      </c>
      <c r="D103">
        <v>-4.5480559999999999</v>
      </c>
      <c r="F103" t="e">
        <f t="shared" si="1"/>
        <v>#N/A</v>
      </c>
    </row>
    <row r="104" spans="1:6">
      <c r="A104" t="s">
        <v>274</v>
      </c>
      <c r="B104" t="s">
        <v>42</v>
      </c>
      <c r="C104">
        <v>20.593684</v>
      </c>
      <c r="D104">
        <v>78.962879999999998</v>
      </c>
      <c r="F104" t="e">
        <f t="shared" si="1"/>
        <v>#N/A</v>
      </c>
    </row>
    <row r="105" spans="1:6">
      <c r="A105" t="s">
        <v>275</v>
      </c>
      <c r="B105" t="s">
        <v>276</v>
      </c>
      <c r="C105">
        <v>-6.3431940000000004</v>
      </c>
      <c r="D105">
        <v>71.876519000000002</v>
      </c>
      <c r="F105" t="e">
        <f t="shared" si="1"/>
        <v>#N/A</v>
      </c>
    </row>
    <row r="106" spans="1:6">
      <c r="A106" t="s">
        <v>277</v>
      </c>
      <c r="B106" t="s">
        <v>278</v>
      </c>
      <c r="C106">
        <v>33.223191</v>
      </c>
      <c r="D106">
        <v>43.679290999999999</v>
      </c>
      <c r="F106" t="e">
        <f t="shared" si="1"/>
        <v>#N/A</v>
      </c>
    </row>
    <row r="107" spans="1:6">
      <c r="A107" t="s">
        <v>279</v>
      </c>
      <c r="B107" t="s">
        <v>44</v>
      </c>
      <c r="C107">
        <v>32.427908000000002</v>
      </c>
      <c r="D107">
        <v>53.688046</v>
      </c>
      <c r="F107" t="e">
        <f t="shared" si="1"/>
        <v>#N/A</v>
      </c>
    </row>
    <row r="108" spans="1:6">
      <c r="A108" t="s">
        <v>280</v>
      </c>
      <c r="B108" t="s">
        <v>281</v>
      </c>
      <c r="C108">
        <v>64.963050999999993</v>
      </c>
      <c r="D108">
        <v>-19.020835000000002</v>
      </c>
      <c r="F108" t="e">
        <f t="shared" si="1"/>
        <v>#N/A</v>
      </c>
    </row>
    <row r="109" spans="1:6">
      <c r="A109" t="s">
        <v>282</v>
      </c>
      <c r="B109" t="s">
        <v>45</v>
      </c>
      <c r="C109">
        <v>41.871940000000002</v>
      </c>
      <c r="D109">
        <v>12.56738</v>
      </c>
      <c r="F109" t="e">
        <f t="shared" si="1"/>
        <v>#N/A</v>
      </c>
    </row>
    <row r="110" spans="1:6">
      <c r="A110" t="s">
        <v>283</v>
      </c>
      <c r="B110" t="s">
        <v>284</v>
      </c>
      <c r="C110">
        <v>49.214438999999999</v>
      </c>
      <c r="D110">
        <v>-2.1312500000000001</v>
      </c>
      <c r="F110" t="e">
        <f t="shared" si="1"/>
        <v>#N/A</v>
      </c>
    </row>
    <row r="111" spans="1:6">
      <c r="A111" t="s">
        <v>285</v>
      </c>
      <c r="B111" t="s">
        <v>286</v>
      </c>
      <c r="C111">
        <v>18.109580999999999</v>
      </c>
      <c r="D111">
        <v>-77.297507999999993</v>
      </c>
      <c r="F111" t="e">
        <f t="shared" si="1"/>
        <v>#N/A</v>
      </c>
    </row>
    <row r="112" spans="1:6">
      <c r="A112" t="s">
        <v>287</v>
      </c>
      <c r="B112" t="s">
        <v>288</v>
      </c>
      <c r="C112">
        <v>30.585163999999999</v>
      </c>
      <c r="D112">
        <v>36.238413999999999</v>
      </c>
      <c r="F112" t="e">
        <f t="shared" si="1"/>
        <v>#N/A</v>
      </c>
    </row>
    <row r="113" spans="1:6">
      <c r="A113" t="s">
        <v>289</v>
      </c>
      <c r="B113" t="s">
        <v>46</v>
      </c>
      <c r="C113">
        <v>36.204824000000002</v>
      </c>
      <c r="D113">
        <v>138.25292400000001</v>
      </c>
      <c r="F113" t="e">
        <f t="shared" si="1"/>
        <v>#N/A</v>
      </c>
    </row>
    <row r="114" spans="1:6">
      <c r="A114" t="s">
        <v>290</v>
      </c>
      <c r="B114" t="s">
        <v>291</v>
      </c>
      <c r="C114">
        <v>-2.3559E-2</v>
      </c>
      <c r="D114">
        <v>37.906193000000002</v>
      </c>
      <c r="F114" t="e">
        <f t="shared" si="1"/>
        <v>#N/A</v>
      </c>
    </row>
    <row r="115" spans="1:6">
      <c r="A115" t="s">
        <v>292</v>
      </c>
      <c r="B115" t="s">
        <v>293</v>
      </c>
      <c r="C115">
        <v>41.20438</v>
      </c>
      <c r="D115">
        <v>74.766098</v>
      </c>
      <c r="F115" t="e">
        <f t="shared" si="1"/>
        <v>#N/A</v>
      </c>
    </row>
    <row r="116" spans="1:6">
      <c r="A116" t="s">
        <v>294</v>
      </c>
      <c r="B116" t="s">
        <v>295</v>
      </c>
      <c r="C116">
        <v>12.565678999999999</v>
      </c>
      <c r="D116">
        <v>104.99096299999999</v>
      </c>
      <c r="F116" t="e">
        <f t="shared" si="1"/>
        <v>#N/A</v>
      </c>
    </row>
    <row r="117" spans="1:6">
      <c r="A117" t="s">
        <v>296</v>
      </c>
      <c r="B117" t="s">
        <v>297</v>
      </c>
      <c r="C117">
        <v>-3.3704170000000002</v>
      </c>
      <c r="D117">
        <v>-168.734039</v>
      </c>
      <c r="F117" t="e">
        <f t="shared" si="1"/>
        <v>#N/A</v>
      </c>
    </row>
    <row r="118" spans="1:6">
      <c r="A118" t="s">
        <v>298</v>
      </c>
      <c r="B118" t="s">
        <v>299</v>
      </c>
      <c r="C118">
        <v>-11.875000999999999</v>
      </c>
      <c r="D118">
        <v>43.872219000000001</v>
      </c>
      <c r="F118" t="e">
        <f t="shared" si="1"/>
        <v>#N/A</v>
      </c>
    </row>
    <row r="119" spans="1:6">
      <c r="A119" t="s">
        <v>300</v>
      </c>
      <c r="B119" t="s">
        <v>301</v>
      </c>
      <c r="C119">
        <v>17.357821999999999</v>
      </c>
      <c r="D119">
        <v>-62.782997999999999</v>
      </c>
      <c r="F119" t="e">
        <f t="shared" si="1"/>
        <v>#N/A</v>
      </c>
    </row>
    <row r="120" spans="1:6">
      <c r="A120" t="s">
        <v>302</v>
      </c>
      <c r="B120" t="s">
        <v>303</v>
      </c>
      <c r="C120">
        <v>40.339852</v>
      </c>
      <c r="D120">
        <v>127.510093</v>
      </c>
      <c r="F120" t="e">
        <f t="shared" si="1"/>
        <v>#N/A</v>
      </c>
    </row>
    <row r="121" spans="1:6">
      <c r="A121" t="s">
        <v>304</v>
      </c>
      <c r="B121" t="s">
        <v>62</v>
      </c>
      <c r="C121">
        <v>35.907756999999997</v>
      </c>
      <c r="D121">
        <v>127.76692199999999</v>
      </c>
      <c r="F121" t="e">
        <f t="shared" si="1"/>
        <v>#N/A</v>
      </c>
    </row>
    <row r="122" spans="1:6">
      <c r="A122" t="s">
        <v>305</v>
      </c>
      <c r="B122" t="s">
        <v>48</v>
      </c>
      <c r="C122">
        <v>29.31166</v>
      </c>
      <c r="D122">
        <v>47.481766</v>
      </c>
      <c r="F122" t="e">
        <f t="shared" si="1"/>
        <v>#N/A</v>
      </c>
    </row>
    <row r="123" spans="1:6">
      <c r="A123" t="s">
        <v>306</v>
      </c>
      <c r="B123" t="s">
        <v>307</v>
      </c>
      <c r="C123">
        <v>19.513469000000001</v>
      </c>
      <c r="D123">
        <v>-80.566956000000005</v>
      </c>
      <c r="F123" t="e">
        <f t="shared" si="1"/>
        <v>#N/A</v>
      </c>
    </row>
    <row r="124" spans="1:6">
      <c r="A124" t="s">
        <v>308</v>
      </c>
      <c r="B124" t="s">
        <v>47</v>
      </c>
      <c r="C124">
        <v>48.019573000000001</v>
      </c>
      <c r="D124">
        <v>66.923683999999994</v>
      </c>
      <c r="F124" t="e">
        <f t="shared" si="1"/>
        <v>#N/A</v>
      </c>
    </row>
    <row r="125" spans="1:6">
      <c r="A125" t="s">
        <v>309</v>
      </c>
      <c r="B125" t="s">
        <v>310</v>
      </c>
      <c r="C125">
        <v>19.856269999999999</v>
      </c>
      <c r="D125">
        <v>102.495496</v>
      </c>
      <c r="F125" t="e">
        <f t="shared" si="1"/>
        <v>#N/A</v>
      </c>
    </row>
    <row r="126" spans="1:6">
      <c r="A126" t="s">
        <v>311</v>
      </c>
      <c r="B126" t="s">
        <v>312</v>
      </c>
      <c r="C126">
        <v>33.854720999999998</v>
      </c>
      <c r="D126">
        <v>35.862285</v>
      </c>
      <c r="F126" t="e">
        <f t="shared" si="1"/>
        <v>#N/A</v>
      </c>
    </row>
    <row r="127" spans="1:6">
      <c r="A127" t="s">
        <v>313</v>
      </c>
      <c r="B127" t="s">
        <v>314</v>
      </c>
      <c r="C127">
        <v>13.909444000000001</v>
      </c>
      <c r="D127">
        <v>-60.978892999999999</v>
      </c>
      <c r="F127" t="e">
        <f t="shared" si="1"/>
        <v>#N/A</v>
      </c>
    </row>
    <row r="128" spans="1:6">
      <c r="A128" t="s">
        <v>315</v>
      </c>
      <c r="B128" t="s">
        <v>316</v>
      </c>
      <c r="C128">
        <v>47.165999999999997</v>
      </c>
      <c r="D128">
        <v>9.5553729999999995</v>
      </c>
      <c r="F128" t="e">
        <f t="shared" si="1"/>
        <v>#N/A</v>
      </c>
    </row>
    <row r="129" spans="1:6">
      <c r="A129" t="s">
        <v>317</v>
      </c>
      <c r="B129" t="s">
        <v>318</v>
      </c>
      <c r="C129">
        <v>7.8730539999999998</v>
      </c>
      <c r="D129">
        <v>80.771797000000007</v>
      </c>
      <c r="F129" t="e">
        <f t="shared" si="1"/>
        <v>#N/A</v>
      </c>
    </row>
    <row r="130" spans="1:6">
      <c r="A130" t="s">
        <v>319</v>
      </c>
      <c r="B130" t="s">
        <v>320</v>
      </c>
      <c r="C130">
        <v>6.4280549999999996</v>
      </c>
      <c r="D130">
        <v>-9.4294989999999999</v>
      </c>
      <c r="F130" t="e">
        <f t="shared" si="1"/>
        <v>#N/A</v>
      </c>
    </row>
    <row r="131" spans="1:6">
      <c r="A131" t="s">
        <v>321</v>
      </c>
      <c r="B131" t="s">
        <v>322</v>
      </c>
      <c r="C131">
        <v>-29.609988000000001</v>
      </c>
      <c r="D131">
        <v>28.233608</v>
      </c>
      <c r="F131" t="e">
        <f t="shared" ref="F131:F194" si="2">SUM(VLOOKUP(C131,A130:D374,3,FALSE),VLOOKUP(D131,A130:D374,4,FALSE))</f>
        <v>#N/A</v>
      </c>
    </row>
    <row r="132" spans="1:6">
      <c r="A132" t="s">
        <v>323</v>
      </c>
      <c r="B132" t="s">
        <v>324</v>
      </c>
      <c r="C132">
        <v>55.169438</v>
      </c>
      <c r="D132">
        <v>23.881274999999999</v>
      </c>
      <c r="F132" t="e">
        <f t="shared" si="2"/>
        <v>#N/A</v>
      </c>
    </row>
    <row r="133" spans="1:6">
      <c r="A133" t="s">
        <v>325</v>
      </c>
      <c r="B133" t="s">
        <v>326</v>
      </c>
      <c r="C133">
        <v>49.815272999999998</v>
      </c>
      <c r="D133">
        <v>6.1295830000000002</v>
      </c>
      <c r="F133" t="e">
        <f t="shared" si="2"/>
        <v>#N/A</v>
      </c>
    </row>
    <row r="134" spans="1:6">
      <c r="A134" t="s">
        <v>327</v>
      </c>
      <c r="B134" t="s">
        <v>328</v>
      </c>
      <c r="C134">
        <v>56.879635</v>
      </c>
      <c r="D134">
        <v>24.603189</v>
      </c>
      <c r="F134" t="e">
        <f t="shared" si="2"/>
        <v>#N/A</v>
      </c>
    </row>
    <row r="135" spans="1:6">
      <c r="A135" t="s">
        <v>329</v>
      </c>
      <c r="B135" t="s">
        <v>330</v>
      </c>
      <c r="C135">
        <v>26.335100000000001</v>
      </c>
      <c r="D135">
        <v>17.228331000000001</v>
      </c>
      <c r="F135" t="e">
        <f t="shared" si="2"/>
        <v>#N/A</v>
      </c>
    </row>
    <row r="136" spans="1:6">
      <c r="A136" t="s">
        <v>331</v>
      </c>
      <c r="B136" t="s">
        <v>332</v>
      </c>
      <c r="C136">
        <v>31.791702000000001</v>
      </c>
      <c r="D136">
        <v>-7.0926200000000001</v>
      </c>
      <c r="F136" t="e">
        <f t="shared" si="2"/>
        <v>#N/A</v>
      </c>
    </row>
    <row r="137" spans="1:6">
      <c r="A137" t="s">
        <v>333</v>
      </c>
      <c r="B137" t="s">
        <v>334</v>
      </c>
      <c r="C137">
        <v>43.750298000000001</v>
      </c>
      <c r="D137">
        <v>7.4128410000000002</v>
      </c>
      <c r="F137" t="e">
        <f t="shared" si="2"/>
        <v>#N/A</v>
      </c>
    </row>
    <row r="138" spans="1:6">
      <c r="A138" t="s">
        <v>335</v>
      </c>
      <c r="B138" t="s">
        <v>336</v>
      </c>
      <c r="C138">
        <v>47.411631</v>
      </c>
      <c r="D138">
        <v>28.369885</v>
      </c>
      <c r="F138" t="e">
        <f t="shared" si="2"/>
        <v>#N/A</v>
      </c>
    </row>
    <row r="139" spans="1:6">
      <c r="A139" t="s">
        <v>337</v>
      </c>
      <c r="B139" t="s">
        <v>338</v>
      </c>
      <c r="C139">
        <v>42.708677999999999</v>
      </c>
      <c r="D139">
        <v>19.374389999999998</v>
      </c>
      <c r="F139" t="e">
        <f t="shared" si="2"/>
        <v>#N/A</v>
      </c>
    </row>
    <row r="140" spans="1:6">
      <c r="A140" t="s">
        <v>339</v>
      </c>
      <c r="B140" t="s">
        <v>340</v>
      </c>
      <c r="C140">
        <v>-18.766946999999998</v>
      </c>
      <c r="D140">
        <v>46.869107</v>
      </c>
      <c r="F140" t="e">
        <f t="shared" si="2"/>
        <v>#N/A</v>
      </c>
    </row>
    <row r="141" spans="1:6">
      <c r="A141" t="s">
        <v>341</v>
      </c>
      <c r="B141" t="s">
        <v>342</v>
      </c>
      <c r="C141">
        <v>7.1314739999999999</v>
      </c>
      <c r="D141">
        <v>171.18447800000001</v>
      </c>
      <c r="F141" t="e">
        <f t="shared" si="2"/>
        <v>#N/A</v>
      </c>
    </row>
    <row r="142" spans="1:6">
      <c r="A142" t="s">
        <v>343</v>
      </c>
      <c r="B142" t="s">
        <v>344</v>
      </c>
      <c r="C142">
        <v>41.608635</v>
      </c>
      <c r="D142">
        <v>21.745274999999999</v>
      </c>
      <c r="F142" t="e">
        <f t="shared" si="2"/>
        <v>#N/A</v>
      </c>
    </row>
    <row r="143" spans="1:6">
      <c r="A143" t="s">
        <v>345</v>
      </c>
      <c r="B143" t="s">
        <v>346</v>
      </c>
      <c r="C143">
        <v>17.570692000000001</v>
      </c>
      <c r="D143">
        <v>-3.9961660000000001</v>
      </c>
      <c r="F143" t="e">
        <f t="shared" si="2"/>
        <v>#N/A</v>
      </c>
    </row>
    <row r="144" spans="1:6">
      <c r="A144" t="s">
        <v>347</v>
      </c>
      <c r="B144" t="s">
        <v>348</v>
      </c>
      <c r="C144">
        <v>21.913965000000001</v>
      </c>
      <c r="D144">
        <v>95.956222999999994</v>
      </c>
      <c r="F144" t="e">
        <f t="shared" si="2"/>
        <v>#N/A</v>
      </c>
    </row>
    <row r="145" spans="1:6">
      <c r="A145" t="s">
        <v>349</v>
      </c>
      <c r="B145" t="s">
        <v>350</v>
      </c>
      <c r="C145">
        <v>46.862496</v>
      </c>
      <c r="D145">
        <v>103.846656</v>
      </c>
      <c r="F145" t="e">
        <f t="shared" si="2"/>
        <v>#N/A</v>
      </c>
    </row>
    <row r="146" spans="1:6">
      <c r="A146" t="s">
        <v>351</v>
      </c>
      <c r="B146" t="s">
        <v>352</v>
      </c>
      <c r="C146">
        <v>22.198744999999999</v>
      </c>
      <c r="D146">
        <v>113.543873</v>
      </c>
      <c r="F146" t="e">
        <f t="shared" si="2"/>
        <v>#N/A</v>
      </c>
    </row>
    <row r="147" spans="1:6">
      <c r="A147" t="s">
        <v>353</v>
      </c>
      <c r="B147" t="s">
        <v>354</v>
      </c>
      <c r="C147">
        <v>17.330829999999999</v>
      </c>
      <c r="D147">
        <v>145.38469000000001</v>
      </c>
      <c r="F147" t="e">
        <f t="shared" si="2"/>
        <v>#N/A</v>
      </c>
    </row>
    <row r="148" spans="1:6">
      <c r="A148" t="s">
        <v>355</v>
      </c>
      <c r="B148" t="s">
        <v>356</v>
      </c>
      <c r="C148">
        <v>14.641527999999999</v>
      </c>
      <c r="D148">
        <v>-61.024174000000002</v>
      </c>
      <c r="F148" t="e">
        <f t="shared" si="2"/>
        <v>#N/A</v>
      </c>
    </row>
    <row r="149" spans="1:6">
      <c r="A149" t="s">
        <v>357</v>
      </c>
      <c r="B149" t="s">
        <v>358</v>
      </c>
      <c r="C149">
        <v>21.00789</v>
      </c>
      <c r="D149">
        <v>-10.940835</v>
      </c>
      <c r="F149" t="e">
        <f t="shared" si="2"/>
        <v>#N/A</v>
      </c>
    </row>
    <row r="150" spans="1:6">
      <c r="A150" t="s">
        <v>359</v>
      </c>
      <c r="B150" t="s">
        <v>360</v>
      </c>
      <c r="C150">
        <v>16.742498000000001</v>
      </c>
      <c r="D150">
        <v>-62.187365999999997</v>
      </c>
      <c r="F150" t="e">
        <f t="shared" si="2"/>
        <v>#N/A</v>
      </c>
    </row>
    <row r="151" spans="1:6">
      <c r="A151" t="s">
        <v>361</v>
      </c>
      <c r="B151" t="s">
        <v>362</v>
      </c>
      <c r="C151">
        <v>35.937496000000003</v>
      </c>
      <c r="D151">
        <v>14.375416</v>
      </c>
      <c r="F151" t="e">
        <f>SUM(VLOOKUP(C151,A150:D394,3,FALSE),VLOOKUP(D151,A150:D394,4,FALSE))</f>
        <v>#N/A</v>
      </c>
    </row>
    <row r="152" spans="1:6">
      <c r="A152" t="s">
        <v>363</v>
      </c>
      <c r="B152" t="s">
        <v>364</v>
      </c>
      <c r="C152">
        <v>-20.348403999999999</v>
      </c>
      <c r="D152">
        <v>57.552152</v>
      </c>
      <c r="F152" t="e">
        <f t="shared" si="2"/>
        <v>#N/A</v>
      </c>
    </row>
    <row r="153" spans="1:6">
      <c r="A153" t="s">
        <v>365</v>
      </c>
      <c r="B153" t="s">
        <v>366</v>
      </c>
      <c r="C153">
        <v>3.2027779999999999</v>
      </c>
      <c r="D153">
        <v>73.220680000000002</v>
      </c>
      <c r="F153" t="e">
        <f t="shared" si="2"/>
        <v>#N/A</v>
      </c>
    </row>
    <row r="154" spans="1:6">
      <c r="A154" t="s">
        <v>367</v>
      </c>
      <c r="B154" t="s">
        <v>368</v>
      </c>
      <c r="C154">
        <v>-13.254308</v>
      </c>
      <c r="D154">
        <v>34.301524999999998</v>
      </c>
      <c r="F154" t="e">
        <f t="shared" si="2"/>
        <v>#N/A</v>
      </c>
    </row>
    <row r="155" spans="1:6">
      <c r="A155" t="s">
        <v>369</v>
      </c>
      <c r="B155" t="s">
        <v>50</v>
      </c>
      <c r="C155">
        <v>23.634501</v>
      </c>
      <c r="D155">
        <v>-102.552784</v>
      </c>
      <c r="F155" t="e">
        <f t="shared" si="2"/>
        <v>#N/A</v>
      </c>
    </row>
    <row r="156" spans="1:6">
      <c r="A156" t="s">
        <v>370</v>
      </c>
      <c r="B156" t="s">
        <v>49</v>
      </c>
      <c r="C156">
        <v>4.2104840000000001</v>
      </c>
      <c r="D156">
        <v>101.97576599999999</v>
      </c>
      <c r="F156" t="e">
        <f t="shared" si="2"/>
        <v>#N/A</v>
      </c>
    </row>
    <row r="157" spans="1:6">
      <c r="A157" t="s">
        <v>371</v>
      </c>
      <c r="B157" t="s">
        <v>372</v>
      </c>
      <c r="C157">
        <v>-18.665694999999999</v>
      </c>
      <c r="D157">
        <v>35.529561999999999</v>
      </c>
      <c r="F157" t="e">
        <f t="shared" si="2"/>
        <v>#N/A</v>
      </c>
    </row>
    <row r="158" spans="1:6">
      <c r="A158" t="s">
        <v>373</v>
      </c>
      <c r="B158" t="s">
        <v>374</v>
      </c>
      <c r="C158">
        <v>-22.957640000000001</v>
      </c>
      <c r="D158">
        <v>18.490410000000001</v>
      </c>
      <c r="F158" t="e">
        <f t="shared" si="2"/>
        <v>#N/A</v>
      </c>
    </row>
    <row r="159" spans="1:6">
      <c r="A159" t="s">
        <v>375</v>
      </c>
      <c r="B159" t="s">
        <v>376</v>
      </c>
      <c r="C159">
        <v>-20.904305000000001</v>
      </c>
      <c r="D159">
        <v>165.618042</v>
      </c>
      <c r="F159" t="e">
        <f t="shared" si="2"/>
        <v>#N/A</v>
      </c>
    </row>
    <row r="160" spans="1:6">
      <c r="A160" t="s">
        <v>377</v>
      </c>
      <c r="B160" t="s">
        <v>378</v>
      </c>
      <c r="C160">
        <v>17.607789</v>
      </c>
      <c r="D160">
        <v>8.0816660000000002</v>
      </c>
      <c r="F160" t="e">
        <f t="shared" si="2"/>
        <v>#N/A</v>
      </c>
    </row>
    <row r="161" spans="1:6">
      <c r="A161" t="s">
        <v>379</v>
      </c>
      <c r="B161" t="s">
        <v>380</v>
      </c>
      <c r="C161">
        <v>-29.040835000000001</v>
      </c>
      <c r="D161">
        <v>167.954712</v>
      </c>
      <c r="F161" t="e">
        <f t="shared" si="2"/>
        <v>#N/A</v>
      </c>
    </row>
    <row r="162" spans="1:6">
      <c r="A162" t="s">
        <v>381</v>
      </c>
      <c r="B162" t="s">
        <v>53</v>
      </c>
      <c r="C162">
        <v>9.0819989999999997</v>
      </c>
      <c r="D162">
        <v>8.6752769999999995</v>
      </c>
      <c r="F162" t="e">
        <f t="shared" si="2"/>
        <v>#N/A</v>
      </c>
    </row>
    <row r="163" spans="1:6">
      <c r="A163" t="s">
        <v>382</v>
      </c>
      <c r="B163" t="s">
        <v>383</v>
      </c>
      <c r="C163">
        <v>12.865416</v>
      </c>
      <c r="D163">
        <v>-85.207228999999998</v>
      </c>
      <c r="F163" t="e">
        <f t="shared" si="2"/>
        <v>#N/A</v>
      </c>
    </row>
    <row r="164" spans="1:6">
      <c r="A164" t="s">
        <v>384</v>
      </c>
      <c r="B164" t="s">
        <v>51</v>
      </c>
      <c r="C164">
        <v>52.132632999999998</v>
      </c>
      <c r="D164">
        <v>5.2912660000000002</v>
      </c>
      <c r="F164" t="e">
        <f t="shared" si="2"/>
        <v>#N/A</v>
      </c>
    </row>
    <row r="165" spans="1:6">
      <c r="A165" t="s">
        <v>385</v>
      </c>
      <c r="B165" t="s">
        <v>55</v>
      </c>
      <c r="C165">
        <v>60.472023999999998</v>
      </c>
      <c r="D165">
        <v>8.4689460000000008</v>
      </c>
      <c r="F165" t="e">
        <f t="shared" si="2"/>
        <v>#N/A</v>
      </c>
    </row>
    <row r="166" spans="1:6">
      <c r="A166" t="s">
        <v>386</v>
      </c>
      <c r="B166" t="s">
        <v>387</v>
      </c>
      <c r="C166">
        <v>28.394856999999998</v>
      </c>
      <c r="D166">
        <v>84.124008000000003</v>
      </c>
      <c r="F166" t="e">
        <f t="shared" si="2"/>
        <v>#N/A</v>
      </c>
    </row>
    <row r="167" spans="1:6">
      <c r="A167" t="s">
        <v>388</v>
      </c>
      <c r="B167" t="s">
        <v>389</v>
      </c>
      <c r="C167">
        <v>-0.52277799999999996</v>
      </c>
      <c r="D167">
        <v>166.93150299999999</v>
      </c>
      <c r="F167" t="e">
        <f t="shared" si="2"/>
        <v>#N/A</v>
      </c>
    </row>
    <row r="168" spans="1:6">
      <c r="A168" t="s">
        <v>390</v>
      </c>
      <c r="B168" t="s">
        <v>391</v>
      </c>
      <c r="C168">
        <v>-19.054445000000001</v>
      </c>
      <c r="D168">
        <v>-169.867233</v>
      </c>
      <c r="F168" t="e">
        <f t="shared" si="2"/>
        <v>#N/A</v>
      </c>
    </row>
    <row r="169" spans="1:6">
      <c r="A169" t="s">
        <v>392</v>
      </c>
      <c r="B169" t="s">
        <v>52</v>
      </c>
      <c r="C169">
        <v>-40.900556999999999</v>
      </c>
      <c r="D169">
        <v>174.88597100000001</v>
      </c>
      <c r="F169" t="e">
        <f t="shared" si="2"/>
        <v>#N/A</v>
      </c>
    </row>
    <row r="170" spans="1:6">
      <c r="A170" t="s">
        <v>393</v>
      </c>
      <c r="B170" t="s">
        <v>394</v>
      </c>
      <c r="C170">
        <v>21.512582999999999</v>
      </c>
      <c r="D170">
        <v>55.923254999999997</v>
      </c>
      <c r="F170" t="e">
        <f t="shared" si="2"/>
        <v>#N/A</v>
      </c>
    </row>
    <row r="171" spans="1:6">
      <c r="A171" t="s">
        <v>395</v>
      </c>
      <c r="B171" t="s">
        <v>396</v>
      </c>
      <c r="C171">
        <v>8.5379810000000003</v>
      </c>
      <c r="D171">
        <v>-80.782127000000003</v>
      </c>
      <c r="F171" t="e">
        <f t="shared" si="2"/>
        <v>#N/A</v>
      </c>
    </row>
    <row r="172" spans="1:6">
      <c r="A172" t="s">
        <v>397</v>
      </c>
      <c r="B172" t="s">
        <v>398</v>
      </c>
      <c r="C172">
        <v>-9.1899669999999993</v>
      </c>
      <c r="D172">
        <v>-75.015152</v>
      </c>
      <c r="F172" t="e">
        <f t="shared" si="2"/>
        <v>#N/A</v>
      </c>
    </row>
    <row r="173" spans="1:6">
      <c r="A173" t="s">
        <v>399</v>
      </c>
      <c r="B173" t="s">
        <v>400</v>
      </c>
      <c r="C173">
        <v>-17.679742000000001</v>
      </c>
      <c r="D173">
        <v>-149.40684300000001</v>
      </c>
      <c r="F173" t="e">
        <f t="shared" si="2"/>
        <v>#N/A</v>
      </c>
    </row>
    <row r="174" spans="1:6">
      <c r="A174" t="s">
        <v>401</v>
      </c>
      <c r="B174" t="s">
        <v>402</v>
      </c>
      <c r="C174">
        <v>-6.3149930000000003</v>
      </c>
      <c r="D174">
        <v>143.95554999999999</v>
      </c>
      <c r="F174" t="e">
        <f t="shared" si="2"/>
        <v>#N/A</v>
      </c>
    </row>
    <row r="175" spans="1:6">
      <c r="A175" t="s">
        <v>403</v>
      </c>
      <c r="B175" t="s">
        <v>404</v>
      </c>
      <c r="C175">
        <v>12.879721</v>
      </c>
      <c r="D175">
        <v>121.774017</v>
      </c>
      <c r="F175" t="e">
        <f t="shared" si="2"/>
        <v>#N/A</v>
      </c>
    </row>
    <row r="176" spans="1:6">
      <c r="A176" t="s">
        <v>405</v>
      </c>
      <c r="B176" t="s">
        <v>406</v>
      </c>
      <c r="C176">
        <v>30.375321</v>
      </c>
      <c r="D176">
        <v>69.345116000000004</v>
      </c>
      <c r="F176" t="e">
        <f t="shared" si="2"/>
        <v>#N/A</v>
      </c>
    </row>
    <row r="177" spans="1:6">
      <c r="A177" t="s">
        <v>407</v>
      </c>
      <c r="B177" t="s">
        <v>56</v>
      </c>
      <c r="C177">
        <v>51.919438</v>
      </c>
      <c r="D177">
        <v>19.145136000000001</v>
      </c>
      <c r="F177" t="e">
        <f t="shared" si="2"/>
        <v>#N/A</v>
      </c>
    </row>
    <row r="178" spans="1:6">
      <c r="A178" t="s">
        <v>408</v>
      </c>
      <c r="B178" t="s">
        <v>409</v>
      </c>
      <c r="C178">
        <v>46.941935999999998</v>
      </c>
      <c r="D178">
        <v>-56.27111</v>
      </c>
      <c r="F178" t="e">
        <f t="shared" si="2"/>
        <v>#N/A</v>
      </c>
    </row>
    <row r="179" spans="1:6">
      <c r="A179" t="s">
        <v>410</v>
      </c>
      <c r="B179" t="s">
        <v>411</v>
      </c>
      <c r="C179">
        <v>-24.703614999999999</v>
      </c>
      <c r="D179">
        <v>-127.439308</v>
      </c>
      <c r="F179" t="e">
        <f t="shared" si="2"/>
        <v>#N/A</v>
      </c>
    </row>
    <row r="180" spans="1:6">
      <c r="A180" t="s">
        <v>412</v>
      </c>
      <c r="B180" t="s">
        <v>413</v>
      </c>
      <c r="C180">
        <v>18.220832999999999</v>
      </c>
      <c r="D180">
        <v>-66.590148999999997</v>
      </c>
      <c r="F180" t="e">
        <f t="shared" si="2"/>
        <v>#N/A</v>
      </c>
    </row>
    <row r="181" spans="1:6">
      <c r="A181" t="s">
        <v>414</v>
      </c>
      <c r="B181" t="s">
        <v>415</v>
      </c>
      <c r="C181">
        <v>31.952162000000001</v>
      </c>
      <c r="D181">
        <v>35.233153999999999</v>
      </c>
      <c r="F181" t="e">
        <f t="shared" si="2"/>
        <v>#N/A</v>
      </c>
    </row>
    <row r="182" spans="1:6">
      <c r="A182" t="s">
        <v>416</v>
      </c>
      <c r="B182" t="s">
        <v>57</v>
      </c>
      <c r="C182">
        <v>39.399872000000002</v>
      </c>
      <c r="D182">
        <v>-8.2244539999999997</v>
      </c>
      <c r="F182" t="e">
        <f t="shared" si="2"/>
        <v>#N/A</v>
      </c>
    </row>
    <row r="183" spans="1:6">
      <c r="A183" t="s">
        <v>417</v>
      </c>
      <c r="B183" t="s">
        <v>418</v>
      </c>
      <c r="C183">
        <v>7.5149800000000004</v>
      </c>
      <c r="D183">
        <v>134.58251999999999</v>
      </c>
      <c r="F183" t="e">
        <f t="shared" si="2"/>
        <v>#N/A</v>
      </c>
    </row>
    <row r="184" spans="1:6">
      <c r="A184" t="s">
        <v>419</v>
      </c>
      <c r="B184" t="s">
        <v>420</v>
      </c>
      <c r="C184">
        <v>-23.442502999999999</v>
      </c>
      <c r="D184">
        <v>-58.443832</v>
      </c>
      <c r="F184" t="e">
        <f t="shared" si="2"/>
        <v>#N/A</v>
      </c>
    </row>
    <row r="185" spans="1:6">
      <c r="A185" t="s">
        <v>421</v>
      </c>
      <c r="B185" t="s">
        <v>422</v>
      </c>
      <c r="C185">
        <v>25.354825999999999</v>
      </c>
      <c r="D185">
        <v>51.183883999999999</v>
      </c>
      <c r="F185" t="e">
        <f t="shared" si="2"/>
        <v>#N/A</v>
      </c>
    </row>
    <row r="186" spans="1:6">
      <c r="A186" t="s">
        <v>423</v>
      </c>
      <c r="B186" t="s">
        <v>424</v>
      </c>
      <c r="C186">
        <v>-21.115141000000001</v>
      </c>
      <c r="D186">
        <v>55.536383999999998</v>
      </c>
      <c r="F186" t="e">
        <f t="shared" si="2"/>
        <v>#N/A</v>
      </c>
    </row>
    <row r="187" spans="1:6">
      <c r="A187" t="s">
        <v>425</v>
      </c>
      <c r="B187" t="s">
        <v>58</v>
      </c>
      <c r="C187">
        <v>45.943161000000003</v>
      </c>
      <c r="D187">
        <v>24.966760000000001</v>
      </c>
      <c r="F187" t="e">
        <f t="shared" si="2"/>
        <v>#N/A</v>
      </c>
    </row>
    <row r="188" spans="1:6">
      <c r="A188" t="s">
        <v>426</v>
      </c>
      <c r="B188" t="s">
        <v>427</v>
      </c>
      <c r="C188">
        <v>44.016520999999997</v>
      </c>
      <c r="D188">
        <v>21.005859000000001</v>
      </c>
      <c r="F188" t="e">
        <f t="shared" si="2"/>
        <v>#N/A</v>
      </c>
    </row>
    <row r="189" spans="1:6">
      <c r="A189" t="s">
        <v>428</v>
      </c>
      <c r="B189" t="s">
        <v>59</v>
      </c>
      <c r="C189">
        <v>61.524009999999997</v>
      </c>
      <c r="D189">
        <v>105.31875599999999</v>
      </c>
      <c r="F189" t="e">
        <f t="shared" si="2"/>
        <v>#N/A</v>
      </c>
    </row>
    <row r="190" spans="1:6">
      <c r="A190" t="s">
        <v>429</v>
      </c>
      <c r="B190" t="s">
        <v>430</v>
      </c>
      <c r="C190">
        <v>-1.9402779999999999</v>
      </c>
      <c r="D190">
        <v>29.873888000000001</v>
      </c>
      <c r="F190" t="e">
        <f t="shared" si="2"/>
        <v>#N/A</v>
      </c>
    </row>
    <row r="191" spans="1:6">
      <c r="A191" t="s">
        <v>431</v>
      </c>
      <c r="B191" t="s">
        <v>60</v>
      </c>
      <c r="C191">
        <v>23.885942</v>
      </c>
      <c r="D191">
        <v>45.079161999999997</v>
      </c>
      <c r="F191" t="e">
        <f t="shared" si="2"/>
        <v>#N/A</v>
      </c>
    </row>
    <row r="192" spans="1:6">
      <c r="A192" t="s">
        <v>432</v>
      </c>
      <c r="B192" t="s">
        <v>433</v>
      </c>
      <c r="C192">
        <v>-9.6457099999999993</v>
      </c>
      <c r="D192">
        <v>160.156194</v>
      </c>
      <c r="F192" t="e">
        <f t="shared" si="2"/>
        <v>#N/A</v>
      </c>
    </row>
    <row r="193" spans="1:6">
      <c r="A193" t="s">
        <v>434</v>
      </c>
      <c r="B193" t="s">
        <v>435</v>
      </c>
      <c r="C193">
        <v>-4.6795739999999997</v>
      </c>
      <c r="D193">
        <v>55.491976999999999</v>
      </c>
      <c r="F193" t="e">
        <f t="shared" si="2"/>
        <v>#N/A</v>
      </c>
    </row>
    <row r="194" spans="1:6">
      <c r="A194" t="s">
        <v>436</v>
      </c>
      <c r="B194" t="s">
        <v>437</v>
      </c>
      <c r="C194">
        <v>12.862807</v>
      </c>
      <c r="D194">
        <v>30.217635999999999</v>
      </c>
      <c r="F194" t="e">
        <f t="shared" si="2"/>
        <v>#N/A</v>
      </c>
    </row>
    <row r="195" spans="1:6">
      <c r="A195" t="s">
        <v>438</v>
      </c>
      <c r="B195" t="s">
        <v>64</v>
      </c>
      <c r="C195">
        <v>60.128160999999999</v>
      </c>
      <c r="D195">
        <v>18.643501000000001</v>
      </c>
      <c r="F195" t="e">
        <f t="shared" ref="F195:F245" si="3">SUM(VLOOKUP(C195,A194:D438,3,FALSE),VLOOKUP(D195,A194:D438,4,FALSE))</f>
        <v>#N/A</v>
      </c>
    </row>
    <row r="196" spans="1:6">
      <c r="A196" t="s">
        <v>439</v>
      </c>
      <c r="B196" t="s">
        <v>440</v>
      </c>
      <c r="C196">
        <v>1.3520829999999999</v>
      </c>
      <c r="D196">
        <v>103.819836</v>
      </c>
      <c r="F196" t="e">
        <f t="shared" si="3"/>
        <v>#N/A</v>
      </c>
    </row>
    <row r="197" spans="1:6">
      <c r="A197" t="s">
        <v>441</v>
      </c>
      <c r="B197" t="s">
        <v>442</v>
      </c>
      <c r="C197">
        <v>-24.143474000000001</v>
      </c>
      <c r="D197">
        <v>-10.030696000000001</v>
      </c>
      <c r="F197" t="e">
        <f t="shared" si="3"/>
        <v>#N/A</v>
      </c>
    </row>
    <row r="198" spans="1:6">
      <c r="A198" t="s">
        <v>443</v>
      </c>
      <c r="B198" t="s">
        <v>444</v>
      </c>
      <c r="C198">
        <v>46.151240999999999</v>
      </c>
      <c r="D198">
        <v>14.995463000000001</v>
      </c>
      <c r="F198" t="e">
        <f t="shared" si="3"/>
        <v>#N/A</v>
      </c>
    </row>
    <row r="199" spans="1:6">
      <c r="A199" t="s">
        <v>445</v>
      </c>
      <c r="B199" t="s">
        <v>446</v>
      </c>
      <c r="C199">
        <v>77.553604000000007</v>
      </c>
      <c r="D199">
        <v>23.670272000000001</v>
      </c>
      <c r="F199" t="e">
        <f t="shared" si="3"/>
        <v>#N/A</v>
      </c>
    </row>
    <row r="200" spans="1:6">
      <c r="A200" t="s">
        <v>447</v>
      </c>
      <c r="B200" t="s">
        <v>448</v>
      </c>
      <c r="C200">
        <v>48.669026000000002</v>
      </c>
      <c r="D200">
        <v>19.699024000000001</v>
      </c>
      <c r="F200" t="e">
        <f t="shared" si="3"/>
        <v>#N/A</v>
      </c>
    </row>
    <row r="201" spans="1:6">
      <c r="A201" t="s">
        <v>449</v>
      </c>
      <c r="B201" t="s">
        <v>450</v>
      </c>
      <c r="C201">
        <v>8.4605549999999994</v>
      </c>
      <c r="D201">
        <v>-11.779889000000001</v>
      </c>
      <c r="F201" t="e">
        <f t="shared" si="3"/>
        <v>#N/A</v>
      </c>
    </row>
    <row r="202" spans="1:6">
      <c r="A202" t="s">
        <v>451</v>
      </c>
      <c r="B202" t="s">
        <v>452</v>
      </c>
      <c r="C202">
        <v>43.942360000000001</v>
      </c>
      <c r="D202">
        <v>12.457777</v>
      </c>
      <c r="F202" t="e">
        <f t="shared" si="3"/>
        <v>#N/A</v>
      </c>
    </row>
    <row r="203" spans="1:6">
      <c r="A203" t="s">
        <v>453</v>
      </c>
      <c r="B203" t="s">
        <v>454</v>
      </c>
      <c r="C203">
        <v>14.497401</v>
      </c>
      <c r="D203">
        <v>-14.452362000000001</v>
      </c>
      <c r="F203" t="e">
        <f t="shared" si="3"/>
        <v>#N/A</v>
      </c>
    </row>
    <row r="204" spans="1:6">
      <c r="A204" t="s">
        <v>455</v>
      </c>
      <c r="B204" t="s">
        <v>456</v>
      </c>
      <c r="C204">
        <v>5.1521489999999996</v>
      </c>
      <c r="D204">
        <v>46.199615999999999</v>
      </c>
      <c r="F204" t="e">
        <f t="shared" si="3"/>
        <v>#N/A</v>
      </c>
    </row>
    <row r="205" spans="1:6">
      <c r="A205" t="s">
        <v>457</v>
      </c>
      <c r="B205" t="s">
        <v>458</v>
      </c>
      <c r="C205">
        <v>3.919305</v>
      </c>
      <c r="D205">
        <v>-56.027782999999999</v>
      </c>
      <c r="F205" t="e">
        <f t="shared" si="3"/>
        <v>#N/A</v>
      </c>
    </row>
    <row r="206" spans="1:6">
      <c r="A206" t="s">
        <v>459</v>
      </c>
      <c r="B206" t="s">
        <v>460</v>
      </c>
      <c r="C206">
        <v>0.18636</v>
      </c>
      <c r="D206">
        <v>6.6130810000000002</v>
      </c>
      <c r="F206" t="e">
        <f t="shared" si="3"/>
        <v>#N/A</v>
      </c>
    </row>
    <row r="207" spans="1:6">
      <c r="A207" t="s">
        <v>461</v>
      </c>
      <c r="B207" t="s">
        <v>462</v>
      </c>
      <c r="C207">
        <v>13.794185000000001</v>
      </c>
      <c r="D207">
        <v>-88.896529999999998</v>
      </c>
      <c r="F207" t="e">
        <f t="shared" si="3"/>
        <v>#N/A</v>
      </c>
    </row>
    <row r="208" spans="1:6">
      <c r="A208" t="s">
        <v>463</v>
      </c>
      <c r="B208" t="s">
        <v>464</v>
      </c>
      <c r="C208">
        <v>34.802075000000002</v>
      </c>
      <c r="D208">
        <v>38.996814999999998</v>
      </c>
      <c r="F208" t="e">
        <f t="shared" si="3"/>
        <v>#N/A</v>
      </c>
    </row>
    <row r="209" spans="1:6">
      <c r="A209" t="s">
        <v>465</v>
      </c>
      <c r="B209" t="s">
        <v>466</v>
      </c>
      <c r="C209">
        <v>-26.522503</v>
      </c>
      <c r="D209">
        <v>31.465865999999998</v>
      </c>
      <c r="F209" t="e">
        <f t="shared" si="3"/>
        <v>#N/A</v>
      </c>
    </row>
    <row r="210" spans="1:6">
      <c r="A210" t="s">
        <v>467</v>
      </c>
      <c r="B210" t="s">
        <v>468</v>
      </c>
      <c r="C210">
        <v>21.694025</v>
      </c>
      <c r="D210">
        <v>-71.797927999999999</v>
      </c>
      <c r="F210" t="e">
        <f t="shared" si="3"/>
        <v>#N/A</v>
      </c>
    </row>
    <row r="211" spans="1:6">
      <c r="A211" t="s">
        <v>469</v>
      </c>
      <c r="B211" t="s">
        <v>470</v>
      </c>
      <c r="C211">
        <v>15.454166000000001</v>
      </c>
      <c r="D211">
        <v>18.732206999999999</v>
      </c>
      <c r="F211" t="e">
        <f t="shared" si="3"/>
        <v>#N/A</v>
      </c>
    </row>
    <row r="212" spans="1:6">
      <c r="A212" t="s">
        <v>471</v>
      </c>
      <c r="B212" t="s">
        <v>472</v>
      </c>
      <c r="C212">
        <v>-49.280366000000001</v>
      </c>
      <c r="D212">
        <v>69.348557</v>
      </c>
      <c r="F212" t="e">
        <f t="shared" si="3"/>
        <v>#N/A</v>
      </c>
    </row>
    <row r="213" spans="1:6">
      <c r="A213" t="s">
        <v>473</v>
      </c>
      <c r="B213" t="s">
        <v>474</v>
      </c>
      <c r="C213">
        <v>8.6195430000000002</v>
      </c>
      <c r="D213">
        <v>0.82478200000000002</v>
      </c>
      <c r="F213" t="e">
        <f t="shared" si="3"/>
        <v>#N/A</v>
      </c>
    </row>
    <row r="214" spans="1:6">
      <c r="A214" t="s">
        <v>475</v>
      </c>
      <c r="B214" t="s">
        <v>66</v>
      </c>
      <c r="C214">
        <v>15.870032</v>
      </c>
      <c r="D214">
        <v>100.992541</v>
      </c>
      <c r="F214" t="e">
        <f t="shared" si="3"/>
        <v>#N/A</v>
      </c>
    </row>
    <row r="215" spans="1:6">
      <c r="A215" t="s">
        <v>476</v>
      </c>
      <c r="B215" t="s">
        <v>477</v>
      </c>
      <c r="C215">
        <v>38.861033999999997</v>
      </c>
      <c r="D215">
        <v>71.276093000000003</v>
      </c>
      <c r="F215" t="e">
        <f t="shared" si="3"/>
        <v>#N/A</v>
      </c>
    </row>
    <row r="216" spans="1:6">
      <c r="A216" t="s">
        <v>478</v>
      </c>
      <c r="B216" t="s">
        <v>479</v>
      </c>
      <c r="C216">
        <v>-8.9673630000000006</v>
      </c>
      <c r="D216">
        <v>-171.85588100000001</v>
      </c>
      <c r="F216" t="e">
        <f t="shared" si="3"/>
        <v>#N/A</v>
      </c>
    </row>
    <row r="217" spans="1:6">
      <c r="A217" t="s">
        <v>480</v>
      </c>
      <c r="B217" t="s">
        <v>481</v>
      </c>
      <c r="C217">
        <v>-8.8742169999999998</v>
      </c>
      <c r="D217">
        <v>125.72753899999999</v>
      </c>
      <c r="F217" t="e">
        <f t="shared" si="3"/>
        <v>#N/A</v>
      </c>
    </row>
    <row r="218" spans="1:6">
      <c r="A218" t="s">
        <v>482</v>
      </c>
      <c r="B218" t="s">
        <v>483</v>
      </c>
      <c r="C218">
        <v>38.969718999999998</v>
      </c>
      <c r="D218">
        <v>59.556277999999999</v>
      </c>
      <c r="F218" t="e">
        <f t="shared" si="3"/>
        <v>#N/A</v>
      </c>
    </row>
    <row r="219" spans="1:6">
      <c r="A219" t="s">
        <v>484</v>
      </c>
      <c r="B219" t="s">
        <v>485</v>
      </c>
      <c r="C219">
        <v>33.886916999999997</v>
      </c>
      <c r="D219">
        <v>9.5374990000000004</v>
      </c>
      <c r="F219" t="e">
        <f t="shared" si="3"/>
        <v>#N/A</v>
      </c>
    </row>
    <row r="220" spans="1:6">
      <c r="A220" t="s">
        <v>486</v>
      </c>
      <c r="B220" t="s">
        <v>487</v>
      </c>
      <c r="C220">
        <v>-21.178985999999998</v>
      </c>
      <c r="D220">
        <v>-175.19824199999999</v>
      </c>
      <c r="F220" t="e">
        <f t="shared" si="3"/>
        <v>#N/A</v>
      </c>
    </row>
    <row r="221" spans="1:6">
      <c r="A221" t="s">
        <v>488</v>
      </c>
      <c r="B221" t="s">
        <v>67</v>
      </c>
      <c r="C221">
        <v>38.963745000000003</v>
      </c>
      <c r="D221">
        <v>35.243321999999999</v>
      </c>
      <c r="F221" t="e">
        <f t="shared" si="3"/>
        <v>#N/A</v>
      </c>
    </row>
    <row r="222" spans="1:6">
      <c r="A222" t="s">
        <v>489</v>
      </c>
      <c r="B222" t="s">
        <v>490</v>
      </c>
      <c r="C222">
        <v>10.691803</v>
      </c>
      <c r="D222">
        <v>-61.222503000000003</v>
      </c>
      <c r="F222" t="e">
        <f t="shared" si="3"/>
        <v>#N/A</v>
      </c>
    </row>
    <row r="223" spans="1:6">
      <c r="A223" t="s">
        <v>491</v>
      </c>
      <c r="B223" t="s">
        <v>492</v>
      </c>
      <c r="C223">
        <v>-7.1095350000000002</v>
      </c>
      <c r="D223">
        <v>177.64932999999999</v>
      </c>
      <c r="F223" t="e">
        <f t="shared" si="3"/>
        <v>#N/A</v>
      </c>
    </row>
    <row r="224" spans="1:6">
      <c r="A224" t="s">
        <v>493</v>
      </c>
      <c r="B224" t="s">
        <v>65</v>
      </c>
      <c r="C224">
        <v>23.69781</v>
      </c>
      <c r="D224">
        <v>120.960515</v>
      </c>
      <c r="F224" t="e">
        <f t="shared" si="3"/>
        <v>#N/A</v>
      </c>
    </row>
    <row r="225" spans="1:6">
      <c r="A225" t="s">
        <v>494</v>
      </c>
      <c r="B225" t="s">
        <v>495</v>
      </c>
      <c r="C225">
        <v>-6.3690280000000001</v>
      </c>
      <c r="D225">
        <v>34.888821999999998</v>
      </c>
      <c r="F225" t="e">
        <f t="shared" si="3"/>
        <v>#N/A</v>
      </c>
    </row>
    <row r="226" spans="1:6">
      <c r="A226" t="s">
        <v>496</v>
      </c>
      <c r="B226" t="s">
        <v>68</v>
      </c>
      <c r="C226">
        <v>48.379432999999999</v>
      </c>
      <c r="D226">
        <v>31.165579999999999</v>
      </c>
      <c r="F226" t="e">
        <f t="shared" si="3"/>
        <v>#N/A</v>
      </c>
    </row>
    <row r="227" spans="1:6">
      <c r="A227" t="s">
        <v>497</v>
      </c>
      <c r="B227" t="s">
        <v>498</v>
      </c>
      <c r="C227">
        <v>1.3733329999999999</v>
      </c>
      <c r="D227">
        <v>32.290275000000001</v>
      </c>
      <c r="F227" t="e">
        <f t="shared" si="3"/>
        <v>#N/A</v>
      </c>
    </row>
    <row r="228" spans="1:6">
      <c r="A228" t="s">
        <v>499</v>
      </c>
      <c r="B228" t="s">
        <v>499</v>
      </c>
      <c r="C228">
        <v>37.090240000000001</v>
      </c>
      <c r="D228">
        <v>-95.712890999999999</v>
      </c>
      <c r="F228" t="e">
        <f t="shared" si="3"/>
        <v>#N/A</v>
      </c>
    </row>
    <row r="229" spans="1:6">
      <c r="A229" t="s">
        <v>500</v>
      </c>
      <c r="B229" t="s">
        <v>501</v>
      </c>
      <c r="C229">
        <v>-32.522779</v>
      </c>
      <c r="D229">
        <v>-55.765835000000003</v>
      </c>
      <c r="F229" t="e">
        <f t="shared" si="3"/>
        <v>#N/A</v>
      </c>
    </row>
    <row r="230" spans="1:6">
      <c r="A230" t="s">
        <v>502</v>
      </c>
      <c r="B230" t="s">
        <v>72</v>
      </c>
      <c r="C230">
        <v>41.377490999999999</v>
      </c>
      <c r="D230">
        <v>64.585262</v>
      </c>
      <c r="F230" t="e">
        <f t="shared" si="3"/>
        <v>#N/A</v>
      </c>
    </row>
    <row r="231" spans="1:6">
      <c r="A231" t="s">
        <v>503</v>
      </c>
      <c r="B231" t="s">
        <v>504</v>
      </c>
      <c r="C231">
        <v>41.902915999999998</v>
      </c>
      <c r="D231">
        <v>12.453389</v>
      </c>
      <c r="F231" t="e">
        <f t="shared" si="3"/>
        <v>#N/A</v>
      </c>
    </row>
    <row r="232" spans="1:6">
      <c r="A232" t="s">
        <v>505</v>
      </c>
      <c r="B232" t="s">
        <v>506</v>
      </c>
      <c r="C232">
        <v>12.984305000000001</v>
      </c>
      <c r="D232">
        <v>-61.287227999999999</v>
      </c>
      <c r="F232" t="e">
        <f t="shared" si="3"/>
        <v>#N/A</v>
      </c>
    </row>
    <row r="233" spans="1:6">
      <c r="A233" t="s">
        <v>507</v>
      </c>
      <c r="B233" t="s">
        <v>73</v>
      </c>
      <c r="C233">
        <v>6.4237500000000001</v>
      </c>
      <c r="D233">
        <v>-66.589730000000003</v>
      </c>
      <c r="F233" t="e">
        <f t="shared" si="3"/>
        <v>#N/A</v>
      </c>
    </row>
    <row r="234" spans="1:6">
      <c r="A234" t="s">
        <v>508</v>
      </c>
      <c r="B234" t="s">
        <v>509</v>
      </c>
      <c r="C234">
        <v>18.420694999999998</v>
      </c>
      <c r="D234">
        <v>-64.639967999999996</v>
      </c>
      <c r="F234" t="e">
        <f t="shared" si="3"/>
        <v>#N/A</v>
      </c>
    </row>
    <row r="235" spans="1:6">
      <c r="A235" t="s">
        <v>510</v>
      </c>
      <c r="B235" t="s">
        <v>511</v>
      </c>
      <c r="C235">
        <v>18.335764999999999</v>
      </c>
      <c r="D235">
        <v>-64.896334999999993</v>
      </c>
      <c r="F235" t="e">
        <f t="shared" si="3"/>
        <v>#N/A</v>
      </c>
    </row>
    <row r="236" spans="1:6">
      <c r="A236" t="s">
        <v>512</v>
      </c>
      <c r="B236" t="s">
        <v>513</v>
      </c>
      <c r="C236">
        <v>14.058324000000001</v>
      </c>
      <c r="D236">
        <v>108.277199</v>
      </c>
      <c r="F236" t="e">
        <f t="shared" si="3"/>
        <v>#N/A</v>
      </c>
    </row>
    <row r="237" spans="1:6">
      <c r="A237" t="s">
        <v>514</v>
      </c>
      <c r="B237" t="s">
        <v>515</v>
      </c>
      <c r="C237">
        <v>-15.376706</v>
      </c>
      <c r="D237">
        <v>166.959158</v>
      </c>
      <c r="F237" t="e">
        <f t="shared" si="3"/>
        <v>#N/A</v>
      </c>
    </row>
    <row r="238" spans="1:6">
      <c r="A238" t="s">
        <v>516</v>
      </c>
      <c r="B238" t="s">
        <v>517</v>
      </c>
      <c r="C238">
        <v>-13.768751999999999</v>
      </c>
      <c r="D238">
        <v>-177.15609699999999</v>
      </c>
      <c r="F238" t="e">
        <f t="shared" si="3"/>
        <v>#N/A</v>
      </c>
    </row>
    <row r="239" spans="1:6">
      <c r="A239" t="s">
        <v>518</v>
      </c>
      <c r="B239" t="s">
        <v>519</v>
      </c>
      <c r="C239">
        <v>-13.759029</v>
      </c>
      <c r="D239">
        <v>-172.10462899999999</v>
      </c>
      <c r="F239" t="e">
        <f t="shared" si="3"/>
        <v>#N/A</v>
      </c>
    </row>
    <row r="240" spans="1:6">
      <c r="A240" t="s">
        <v>520</v>
      </c>
      <c r="B240" t="s">
        <v>521</v>
      </c>
      <c r="C240">
        <v>42.602635999999997</v>
      </c>
      <c r="D240">
        <v>20.902977</v>
      </c>
      <c r="F240" t="e">
        <f t="shared" si="3"/>
        <v>#N/A</v>
      </c>
    </row>
    <row r="241" spans="1:6">
      <c r="A241" t="s">
        <v>522</v>
      </c>
      <c r="B241" t="s">
        <v>523</v>
      </c>
      <c r="C241">
        <v>15.552727000000001</v>
      </c>
      <c r="D241">
        <v>48.516387999999999</v>
      </c>
      <c r="F241" t="e">
        <f t="shared" si="3"/>
        <v>#N/A</v>
      </c>
    </row>
    <row r="242" spans="1:6">
      <c r="A242" t="s">
        <v>524</v>
      </c>
      <c r="B242" t="s">
        <v>525</v>
      </c>
      <c r="C242">
        <v>-12.827500000000001</v>
      </c>
      <c r="D242">
        <v>45.166243999999999</v>
      </c>
      <c r="F242" t="e">
        <f t="shared" si="3"/>
        <v>#N/A</v>
      </c>
    </row>
    <row r="243" spans="1:6">
      <c r="A243" t="s">
        <v>526</v>
      </c>
      <c r="B243" t="s">
        <v>61</v>
      </c>
      <c r="C243">
        <v>-30.559481999999999</v>
      </c>
      <c r="D243">
        <v>22.937505999999999</v>
      </c>
      <c r="F243" t="e">
        <f t="shared" si="3"/>
        <v>#N/A</v>
      </c>
    </row>
    <row r="244" spans="1:6">
      <c r="A244" t="s">
        <v>527</v>
      </c>
      <c r="B244" t="s">
        <v>528</v>
      </c>
      <c r="C244">
        <v>-13.133896999999999</v>
      </c>
      <c r="D244">
        <v>27.849332</v>
      </c>
      <c r="F244" t="e">
        <f t="shared" si="3"/>
        <v>#N/A</v>
      </c>
    </row>
    <row r="245" spans="1:6">
      <c r="A245" t="s">
        <v>529</v>
      </c>
      <c r="B245" t="s">
        <v>530</v>
      </c>
      <c r="C245">
        <v>-19.015438</v>
      </c>
      <c r="D245">
        <v>29.154857</v>
      </c>
      <c r="F245" t="e">
        <f t="shared" si="3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8972-50B3-4F5C-935A-F81DE94C5217}">
  <sheetPr codeName="Sheet6"/>
  <dimension ref="A1:W1366"/>
  <sheetViews>
    <sheetView topLeftCell="A31" zoomScale="84" workbookViewId="0">
      <selection activeCell="C49" sqref="C49"/>
    </sheetView>
  </sheetViews>
  <sheetFormatPr defaultRowHeight="15"/>
  <cols>
    <col min="1" max="1" width="19.7109375" bestFit="1" customWidth="1"/>
    <col min="2" max="2" width="7.28515625" bestFit="1" customWidth="1"/>
    <col min="3" max="3" width="19" bestFit="1" customWidth="1"/>
    <col min="4" max="4" width="45.85546875" bestFit="1" customWidth="1"/>
    <col min="5" max="5" width="40.28515625" bestFit="1" customWidth="1"/>
    <col min="6" max="6" width="62.85546875" bestFit="1" customWidth="1"/>
    <col min="7" max="7" width="31.5703125" bestFit="1" customWidth="1"/>
    <col min="8" max="8" width="33.7109375" bestFit="1" customWidth="1"/>
    <col min="9" max="9" width="48.140625" bestFit="1" customWidth="1"/>
    <col min="10" max="10" width="55.140625" bestFit="1" customWidth="1"/>
    <col min="11" max="11" width="40.5703125" bestFit="1" customWidth="1"/>
    <col min="12" max="12" width="36.85546875" bestFit="1" customWidth="1"/>
    <col min="13" max="13" width="29.85546875" bestFit="1" customWidth="1"/>
    <col min="14" max="14" width="41.140625" bestFit="1" customWidth="1"/>
    <col min="15" max="15" width="70.5703125" bestFit="1" customWidth="1"/>
    <col min="16" max="16" width="29.140625" bestFit="1" customWidth="1"/>
    <col min="17" max="17" width="40.42578125" bestFit="1" customWidth="1"/>
    <col min="18" max="18" width="43.5703125" bestFit="1" customWidth="1"/>
    <col min="19" max="19" width="50.7109375" bestFit="1" customWidth="1"/>
    <col min="20" max="20" width="26.42578125" bestFit="1" customWidth="1"/>
    <col min="21" max="21" width="32.42578125" bestFit="1" customWidth="1"/>
    <col min="22" max="23" width="32.42578125" style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s="2" t="s">
        <v>22</v>
      </c>
    </row>
    <row r="2" spans="1:23">
      <c r="A2" t="s">
        <v>23</v>
      </c>
      <c r="B2">
        <v>1990</v>
      </c>
      <c r="C2" t="s">
        <v>24</v>
      </c>
      <c r="D2">
        <v>52.981921100000001</v>
      </c>
      <c r="E2">
        <v>2.3878553419999999</v>
      </c>
      <c r="F2">
        <v>0.22888934</v>
      </c>
      <c r="G2">
        <v>100.1127486</v>
      </c>
      <c r="H2">
        <v>22.188078220000001</v>
      </c>
      <c r="I2">
        <v>0.78297181299999996</v>
      </c>
      <c r="J2">
        <v>8.3765920509999994</v>
      </c>
      <c r="K2">
        <v>8.08</v>
      </c>
      <c r="L2">
        <v>25.395</v>
      </c>
      <c r="M2">
        <v>45.684035469999998</v>
      </c>
      <c r="N2">
        <v>14.301991129999999</v>
      </c>
      <c r="O2">
        <v>9.5855614000000006E-2</v>
      </c>
      <c r="P2">
        <v>17.242000000000001</v>
      </c>
      <c r="Q2">
        <v>13.693</v>
      </c>
      <c r="R2">
        <v>0.94</v>
      </c>
      <c r="S2">
        <v>0</v>
      </c>
      <c r="T2">
        <v>57.85</v>
      </c>
      <c r="U2">
        <v>0</v>
      </c>
      <c r="V2" s="1" t="str">
        <f>IF(#REF!&gt;#REF!,"Above Average","")</f>
        <v/>
      </c>
      <c r="W2" s="1">
        <f>SUM(#REF!-#REF!)</f>
        <v>-0.94</v>
      </c>
    </row>
    <row r="3" spans="1:23">
      <c r="A3" t="s">
        <v>25</v>
      </c>
      <c r="B3">
        <v>1990</v>
      </c>
      <c r="C3" t="s">
        <v>26</v>
      </c>
      <c r="D3">
        <v>93.453461450000006</v>
      </c>
      <c r="E3">
        <v>2.1297610009999999</v>
      </c>
      <c r="F3">
        <v>0.24215048</v>
      </c>
      <c r="G3">
        <v>47.107338400000003</v>
      </c>
      <c r="H3">
        <v>43.879788099999999</v>
      </c>
      <c r="I3">
        <v>35.81957894</v>
      </c>
      <c r="J3">
        <v>11.628868260000001</v>
      </c>
      <c r="K3">
        <v>18.37</v>
      </c>
      <c r="L3">
        <v>23.585999999999999</v>
      </c>
      <c r="M3">
        <v>18.6280058</v>
      </c>
      <c r="N3">
        <v>20.570993519999998</v>
      </c>
      <c r="O3">
        <v>0.113698429</v>
      </c>
      <c r="P3">
        <v>51.014000000000003</v>
      </c>
      <c r="Q3">
        <v>40.463999999999999</v>
      </c>
      <c r="R3">
        <v>1.304015519</v>
      </c>
      <c r="S3">
        <v>0</v>
      </c>
      <c r="T3">
        <v>26.318999999999999</v>
      </c>
      <c r="U3">
        <v>0.27400000000000002</v>
      </c>
      <c r="V3" s="1" t="str">
        <f>IF(#REF!&gt;#REF!,"Above Average","")</f>
        <v/>
      </c>
      <c r="W3" s="1">
        <f>SUM(#REF!-#REF!)</f>
        <v>-1.030015519</v>
      </c>
    </row>
    <row r="4" spans="1:23">
      <c r="A4" t="s">
        <v>27</v>
      </c>
      <c r="B4">
        <v>1990</v>
      </c>
      <c r="C4" t="s">
        <v>28</v>
      </c>
      <c r="D4">
        <v>261.38501869999999</v>
      </c>
      <c r="E4">
        <v>3.0342179979999999</v>
      </c>
      <c r="F4">
        <v>0.50765139800000003</v>
      </c>
      <c r="G4">
        <v>157.52583960000001</v>
      </c>
      <c r="H4">
        <v>86.145761059999998</v>
      </c>
      <c r="I4">
        <v>10.08263503</v>
      </c>
      <c r="J4">
        <v>19.27076083</v>
      </c>
      <c r="K4">
        <v>31.085999999999999</v>
      </c>
      <c r="L4">
        <v>32.781999999999996</v>
      </c>
      <c r="M4">
        <v>20.475012899999999</v>
      </c>
      <c r="N4">
        <v>17.683994089999999</v>
      </c>
      <c r="O4">
        <v>0.167308808</v>
      </c>
      <c r="P4">
        <v>155.01900000000001</v>
      </c>
      <c r="Q4">
        <v>134.339</v>
      </c>
      <c r="R4">
        <v>94.1</v>
      </c>
      <c r="S4">
        <v>0</v>
      </c>
      <c r="T4">
        <v>27.492999999999999</v>
      </c>
      <c r="U4">
        <v>204.56200000000001</v>
      </c>
      <c r="V4" s="1" t="str">
        <f>IF(#REF!&gt;#REF!,"Above Average","")</f>
        <v/>
      </c>
      <c r="W4" s="1">
        <f>SUM(#REF!-#REF!)</f>
        <v>110.46200000000002</v>
      </c>
    </row>
    <row r="5" spans="1:23">
      <c r="A5" t="s">
        <v>29</v>
      </c>
      <c r="B5">
        <v>1990</v>
      </c>
      <c r="C5" t="s">
        <v>30</v>
      </c>
      <c r="D5">
        <v>106.4454169</v>
      </c>
      <c r="E5">
        <v>2.2227658250000002</v>
      </c>
      <c r="F5">
        <v>0.32184878</v>
      </c>
      <c r="G5">
        <v>13.10412024</v>
      </c>
      <c r="H5">
        <v>47.888722989999998</v>
      </c>
      <c r="I5">
        <v>1.6722360869999999</v>
      </c>
      <c r="J5">
        <v>14.70290453</v>
      </c>
      <c r="K5">
        <v>17.597000000000001</v>
      </c>
      <c r="L5">
        <v>29.37</v>
      </c>
      <c r="M5">
        <v>1.2E-2</v>
      </c>
      <c r="N5">
        <v>9.6082976599999999</v>
      </c>
      <c r="O5">
        <v>0.14479653000000001</v>
      </c>
      <c r="P5">
        <v>70.923000000000002</v>
      </c>
      <c r="Q5">
        <v>59.107999999999997</v>
      </c>
      <c r="R5">
        <v>16.620146479999999</v>
      </c>
      <c r="S5">
        <v>9.8698589999999999E-3</v>
      </c>
      <c r="T5">
        <v>0</v>
      </c>
      <c r="U5">
        <v>0</v>
      </c>
      <c r="V5" s="1" t="str">
        <f>IF(#REF!&gt;#REF!,"Above Average","")</f>
        <v/>
      </c>
      <c r="W5" s="1">
        <f>SUM(#REF!-#REF!)</f>
        <v>-16.620146479999999</v>
      </c>
    </row>
    <row r="6" spans="1:23">
      <c r="A6" t="s">
        <v>31</v>
      </c>
      <c r="B6">
        <v>1990</v>
      </c>
      <c r="C6" t="s">
        <v>26</v>
      </c>
      <c r="D6">
        <v>193.76575220000001</v>
      </c>
      <c r="E6">
        <v>1.377371897</v>
      </c>
      <c r="F6">
        <v>0.12628651599999999</v>
      </c>
      <c r="G6">
        <v>104.5932097</v>
      </c>
      <c r="H6">
        <v>140.6778754</v>
      </c>
      <c r="I6">
        <v>94.500518349999993</v>
      </c>
      <c r="J6">
        <v>15.86749271</v>
      </c>
      <c r="K6">
        <v>57.32</v>
      </c>
      <c r="L6">
        <v>61.121000000000002</v>
      </c>
      <c r="M6">
        <v>3.9289981360000001</v>
      </c>
      <c r="N6">
        <v>3.9719978189999998</v>
      </c>
      <c r="O6">
        <v>9.1686578000000005E-2</v>
      </c>
      <c r="P6">
        <v>222.821</v>
      </c>
      <c r="Q6">
        <v>215.79499999999999</v>
      </c>
      <c r="R6">
        <v>15.374000000000001</v>
      </c>
      <c r="S6">
        <v>0</v>
      </c>
      <c r="T6">
        <v>32.723999999999997</v>
      </c>
      <c r="U6">
        <v>4.5949999999999998</v>
      </c>
      <c r="V6" s="1" t="str">
        <f>IF(#REF!&gt;#REF!,"Above Average","")</f>
        <v/>
      </c>
      <c r="W6" s="1">
        <f>SUM(#REF!-#REF!)</f>
        <v>-10.779</v>
      </c>
    </row>
    <row r="7" spans="1:23">
      <c r="A7" t="s">
        <v>32</v>
      </c>
      <c r="B7">
        <v>1990</v>
      </c>
      <c r="C7" t="s">
        <v>33</v>
      </c>
      <c r="D7">
        <v>429.73180810000002</v>
      </c>
      <c r="E7">
        <v>1.439730341</v>
      </c>
      <c r="F7">
        <v>0.36726675600000003</v>
      </c>
      <c r="G7">
        <v>276.260492</v>
      </c>
      <c r="H7">
        <v>211.06460680000001</v>
      </c>
      <c r="I7">
        <v>62.38737991</v>
      </c>
      <c r="J7">
        <v>22.715223810000001</v>
      </c>
      <c r="K7">
        <v>76.727000000000004</v>
      </c>
      <c r="L7">
        <v>84.929000000000002</v>
      </c>
      <c r="M7">
        <v>109.0709081</v>
      </c>
      <c r="N7">
        <v>67.318932450000005</v>
      </c>
      <c r="O7">
        <v>0.25509412799999998</v>
      </c>
      <c r="P7">
        <v>482.15199999999999</v>
      </c>
      <c r="Q7">
        <v>441.31400000000002</v>
      </c>
      <c r="R7">
        <v>49.372999999999998</v>
      </c>
      <c r="S7">
        <v>5.3924899999999998E-3</v>
      </c>
      <c r="T7">
        <v>91.61</v>
      </c>
      <c r="U7">
        <v>68.331999999999994</v>
      </c>
      <c r="V7" s="1" t="str">
        <f>IF(#REF!&gt;#REF!,"Above Average","")</f>
        <v>Above Average</v>
      </c>
      <c r="W7" s="1">
        <f>SUM(#REF!-#REF!)</f>
        <v>18.958999999999996</v>
      </c>
    </row>
    <row r="8" spans="1:23">
      <c r="A8" t="s">
        <v>34</v>
      </c>
      <c r="B8">
        <v>1990</v>
      </c>
      <c r="C8" t="s">
        <v>26</v>
      </c>
      <c r="D8">
        <v>30.954349619999999</v>
      </c>
      <c r="E8">
        <v>2.2093639760000001</v>
      </c>
      <c r="F8">
        <v>0.255029956</v>
      </c>
      <c r="G8">
        <v>7.9288174360000001</v>
      </c>
      <c r="H8">
        <v>14.01052518</v>
      </c>
      <c r="I8">
        <v>53.837361199999997</v>
      </c>
      <c r="J8">
        <v>11.83773422</v>
      </c>
      <c r="K8">
        <v>6.2140000000000004</v>
      </c>
      <c r="L8">
        <v>6.3449999999999998</v>
      </c>
      <c r="M8">
        <v>1.679001162</v>
      </c>
      <c r="N8">
        <v>1.36000041</v>
      </c>
      <c r="O8">
        <v>0.11543139099999999</v>
      </c>
      <c r="P8">
        <v>18.372</v>
      </c>
      <c r="Q8">
        <v>15.811</v>
      </c>
      <c r="R8">
        <v>3.7413296890000001</v>
      </c>
      <c r="S8">
        <v>0</v>
      </c>
      <c r="T8">
        <v>1.1020000000000001</v>
      </c>
      <c r="U8">
        <v>2.1829999999999998</v>
      </c>
      <c r="V8" s="1" t="str">
        <f>IF(#REF!&gt;#REF!,"Above Average","")</f>
        <v/>
      </c>
      <c r="W8" s="1">
        <f>SUM(#REF!-#REF!)</f>
        <v>-1.5583296890000002</v>
      </c>
    </row>
    <row r="9" spans="1:23">
      <c r="A9" t="s">
        <v>35</v>
      </c>
      <c r="B9">
        <v>1990</v>
      </c>
      <c r="C9" t="s">
        <v>28</v>
      </c>
      <c r="D9">
        <v>2255.3939049999999</v>
      </c>
      <c r="E9">
        <v>2.5800499280000002</v>
      </c>
      <c r="F9">
        <v>1.367078322</v>
      </c>
      <c r="G9">
        <v>880.92626859999996</v>
      </c>
      <c r="H9">
        <v>874.16676719999998</v>
      </c>
      <c r="I9">
        <v>20.407939890000002</v>
      </c>
      <c r="J9">
        <v>5.5818278709999998</v>
      </c>
      <c r="K9">
        <v>142.88499999999999</v>
      </c>
      <c r="L9">
        <v>146.41900000000001</v>
      </c>
      <c r="M9">
        <v>15.29999229</v>
      </c>
      <c r="N9">
        <v>15.870011379999999</v>
      </c>
      <c r="O9">
        <v>0.52986506499999997</v>
      </c>
      <c r="P9">
        <v>621.26800000000003</v>
      </c>
      <c r="Q9">
        <v>507.05399999999997</v>
      </c>
      <c r="R9">
        <v>1004.80898</v>
      </c>
      <c r="S9">
        <v>1.0945356999999999E-2</v>
      </c>
      <c r="T9">
        <v>138.30600000000001</v>
      </c>
      <c r="U9">
        <v>1039.82</v>
      </c>
      <c r="V9" s="1" t="str">
        <f>IF(#REF!&gt;#REF!,"Above Average","")</f>
        <v>Above Average</v>
      </c>
      <c r="W9" s="1">
        <f>SUM(#REF!-#REF!)</f>
        <v>35.011019999999917</v>
      </c>
    </row>
    <row r="10" spans="1:23">
      <c r="A10" t="s">
        <v>36</v>
      </c>
      <c r="B10">
        <v>1990</v>
      </c>
      <c r="C10" t="s">
        <v>26</v>
      </c>
      <c r="D10">
        <v>46.106290250000001</v>
      </c>
      <c r="E10">
        <v>1.9032818490000001</v>
      </c>
      <c r="F10">
        <v>0.17007186499999999</v>
      </c>
      <c r="G10">
        <v>48.181291829999999</v>
      </c>
      <c r="H10">
        <v>24.224625629999998</v>
      </c>
      <c r="I10">
        <v>76.384190110000006</v>
      </c>
      <c r="J10">
        <v>12.1200169</v>
      </c>
      <c r="K10">
        <v>8.1120000000000001</v>
      </c>
      <c r="L10">
        <v>11.101000000000001</v>
      </c>
      <c r="M10">
        <v>4.5370049249999997</v>
      </c>
      <c r="N10">
        <v>4.3260037689999997</v>
      </c>
      <c r="O10">
        <v>8.9357162000000004E-2</v>
      </c>
      <c r="P10">
        <v>36.356999999999999</v>
      </c>
      <c r="Q10">
        <v>26.866</v>
      </c>
      <c r="R10">
        <v>5.0549999999999997</v>
      </c>
      <c r="S10">
        <v>0</v>
      </c>
      <c r="T10">
        <v>22.824000000000002</v>
      </c>
      <c r="U10">
        <v>21.375</v>
      </c>
      <c r="V10" s="1" t="str">
        <f>IF(#REF!&gt;#REF!,"Above Average","")</f>
        <v/>
      </c>
      <c r="W10" s="1">
        <f>SUM(#REF!-#REF!)</f>
        <v>16.32</v>
      </c>
    </row>
    <row r="11" spans="1:23">
      <c r="A11" t="s">
        <v>37</v>
      </c>
      <c r="B11">
        <v>1990</v>
      </c>
      <c r="C11" t="s">
        <v>30</v>
      </c>
      <c r="D11">
        <v>147.400938</v>
      </c>
      <c r="E11">
        <v>2.9602859210000001</v>
      </c>
      <c r="F11">
        <v>0.64715122999999997</v>
      </c>
      <c r="G11">
        <v>41.166022720000001</v>
      </c>
      <c r="H11">
        <v>49.792804449999998</v>
      </c>
      <c r="I11">
        <v>2.3162134939999999</v>
      </c>
      <c r="J11">
        <v>12.07940582</v>
      </c>
      <c r="K11">
        <v>8.8170000000000002</v>
      </c>
      <c r="L11">
        <v>7.9480000000000004</v>
      </c>
      <c r="M11">
        <v>0.26200003399999999</v>
      </c>
      <c r="N11">
        <v>6.5729948330000001</v>
      </c>
      <c r="O11">
        <v>0.218611056</v>
      </c>
      <c r="P11">
        <v>62.558999999999997</v>
      </c>
      <c r="Q11">
        <v>53.036999999999999</v>
      </c>
      <c r="R11">
        <v>84.787999999999997</v>
      </c>
      <c r="S11">
        <v>0</v>
      </c>
      <c r="T11">
        <v>0.22</v>
      </c>
      <c r="U11">
        <v>101.398</v>
      </c>
      <c r="V11" s="1" t="str">
        <f>IF(#REF!&gt;#REF!,"Above Average","")</f>
        <v/>
      </c>
      <c r="W11" s="1">
        <f>SUM(#REF!-#REF!)</f>
        <v>16.61</v>
      </c>
    </row>
    <row r="12" spans="1:23">
      <c r="A12" t="s">
        <v>38</v>
      </c>
      <c r="B12">
        <v>1990</v>
      </c>
      <c r="C12" t="s">
        <v>39</v>
      </c>
      <c r="D12">
        <v>78.403283349999995</v>
      </c>
      <c r="E12">
        <v>2.3718348749999998</v>
      </c>
      <c r="F12">
        <v>0.213631395</v>
      </c>
      <c r="G12">
        <v>55.672725159999999</v>
      </c>
      <c r="H12">
        <v>33.055961940000003</v>
      </c>
      <c r="I12">
        <v>23.504354410000001</v>
      </c>
      <c r="J12">
        <v>13.144622289999999</v>
      </c>
      <c r="K12">
        <v>20.523</v>
      </c>
      <c r="L12">
        <v>24.045000000000002</v>
      </c>
      <c r="M12">
        <v>8.2420000000000009</v>
      </c>
      <c r="N12">
        <v>8.2420063690000003</v>
      </c>
      <c r="O12">
        <v>9.0070096000000002E-2</v>
      </c>
      <c r="P12">
        <v>42.256</v>
      </c>
      <c r="Q12">
        <v>36.201999999999998</v>
      </c>
      <c r="R12">
        <v>1.1990000000000001</v>
      </c>
      <c r="S12">
        <v>0</v>
      </c>
      <c r="T12">
        <v>45.499000000000002</v>
      </c>
      <c r="U12">
        <v>0</v>
      </c>
      <c r="V12" s="1" t="str">
        <f>IF(#REF!&gt;#REF!,"Above Average","")</f>
        <v/>
      </c>
      <c r="W12" s="1">
        <f>SUM(#REF!-#REF!)</f>
        <v>-1.1990000000000001</v>
      </c>
    </row>
    <row r="13" spans="1:23">
      <c r="A13" t="s">
        <v>40</v>
      </c>
      <c r="B13">
        <v>1990</v>
      </c>
      <c r="C13" t="s">
        <v>30</v>
      </c>
      <c r="D13">
        <v>365.43100779999997</v>
      </c>
      <c r="E13">
        <v>1.626524053</v>
      </c>
      <c r="F13">
        <v>0.19733882599999999</v>
      </c>
      <c r="G13">
        <v>111.9021915</v>
      </c>
      <c r="H13">
        <v>224.66990709999999</v>
      </c>
      <c r="I13">
        <v>14.101214260000001</v>
      </c>
      <c r="J13">
        <v>17.9799513</v>
      </c>
      <c r="K13">
        <v>80.459999999999994</v>
      </c>
      <c r="L13">
        <v>78.477999999999994</v>
      </c>
      <c r="M13">
        <v>2.8570033590000001</v>
      </c>
      <c r="N13">
        <v>28.23198331</v>
      </c>
      <c r="O13">
        <v>0.12132548899999999</v>
      </c>
      <c r="P13">
        <v>420.75099999999998</v>
      </c>
      <c r="Q13">
        <v>323.25200000000001</v>
      </c>
      <c r="R13">
        <v>31.208985989999999</v>
      </c>
      <c r="S13">
        <v>0.119548141</v>
      </c>
      <c r="T13">
        <v>3.47</v>
      </c>
      <c r="U13">
        <v>0</v>
      </c>
      <c r="V13" s="1" t="str">
        <f>IF(#REF!&gt;#REF!,"Above Average","")</f>
        <v/>
      </c>
      <c r="W13" s="1">
        <f>SUM(#REF!-#REF!)</f>
        <v>-31.208985989999999</v>
      </c>
    </row>
    <row r="14" spans="1:23">
      <c r="A14" t="s">
        <v>41</v>
      </c>
      <c r="B14">
        <v>1990</v>
      </c>
      <c r="C14" t="s">
        <v>30</v>
      </c>
      <c r="D14">
        <v>952.76243339999996</v>
      </c>
      <c r="E14">
        <v>2.2982072499999999</v>
      </c>
      <c r="F14">
        <v>0.29773659400000002</v>
      </c>
      <c r="G14">
        <v>186.0512665</v>
      </c>
      <c r="H14">
        <v>351.09397639999997</v>
      </c>
      <c r="I14">
        <v>3.901348145</v>
      </c>
      <c r="J14">
        <v>15.87141901</v>
      </c>
      <c r="K14">
        <v>119.23099999999999</v>
      </c>
      <c r="L14">
        <v>105.785</v>
      </c>
      <c r="M14">
        <v>18.919009079999999</v>
      </c>
      <c r="N14">
        <v>69.723084150000005</v>
      </c>
      <c r="O14">
        <v>0.12955167300000001</v>
      </c>
      <c r="P14">
        <v>550.01499999999999</v>
      </c>
      <c r="Q14">
        <v>481.00099999999998</v>
      </c>
      <c r="R14">
        <v>448.76626019999998</v>
      </c>
      <c r="S14">
        <v>1.3090552E-2</v>
      </c>
      <c r="T14">
        <v>5.52</v>
      </c>
      <c r="U14">
        <v>434.44600000000003</v>
      </c>
      <c r="V14" s="1" t="str">
        <f>IF(#REF!&gt;#REF!,"Above Average","")</f>
        <v>Above Average</v>
      </c>
      <c r="W14" s="1">
        <f>SUM(#REF!-#REF!)</f>
        <v>-14.32026019999995</v>
      </c>
    </row>
    <row r="15" spans="1:23">
      <c r="A15" t="s">
        <v>42</v>
      </c>
      <c r="B15">
        <v>1990</v>
      </c>
      <c r="C15" t="s">
        <v>28</v>
      </c>
      <c r="D15">
        <v>523.09689270000001</v>
      </c>
      <c r="E15">
        <v>1.711269476</v>
      </c>
      <c r="F15">
        <v>0.33034988999999998</v>
      </c>
      <c r="G15">
        <v>280.49120490000001</v>
      </c>
      <c r="H15">
        <v>305.6776855</v>
      </c>
      <c r="I15">
        <v>24.765260649999998</v>
      </c>
      <c r="J15">
        <v>7.3913805440000004</v>
      </c>
      <c r="K15">
        <v>56.448999999999998</v>
      </c>
      <c r="L15">
        <v>52.201000000000001</v>
      </c>
      <c r="M15">
        <v>12.76599169</v>
      </c>
      <c r="N15">
        <v>12.94400166</v>
      </c>
      <c r="O15">
        <v>0.19304375800000001</v>
      </c>
      <c r="P15">
        <v>289.47000000000003</v>
      </c>
      <c r="Q15">
        <v>211.76599999999999</v>
      </c>
      <c r="R15">
        <v>218.23474049999999</v>
      </c>
      <c r="S15">
        <v>1.1054685999999999E-2</v>
      </c>
      <c r="T15">
        <v>34.555</v>
      </c>
      <c r="U15">
        <v>225.25800000000001</v>
      </c>
      <c r="V15" s="1" t="str">
        <f>IF(#REF!&gt;#REF!,"Above Average","")</f>
        <v>Above Average</v>
      </c>
      <c r="W15" s="1">
        <f>SUM(#REF!-#REF!)</f>
        <v>7.0232595000000231</v>
      </c>
    </row>
    <row r="16" spans="1:23">
      <c r="A16" t="s">
        <v>43</v>
      </c>
      <c r="B16">
        <v>1990</v>
      </c>
      <c r="C16" t="s">
        <v>28</v>
      </c>
      <c r="D16">
        <v>144.86537680000001</v>
      </c>
      <c r="E16">
        <v>1.4682971140000001</v>
      </c>
      <c r="F16">
        <v>0.174505946</v>
      </c>
      <c r="G16">
        <v>168.57293150000001</v>
      </c>
      <c r="H16">
        <v>98.662168170000001</v>
      </c>
      <c r="I16">
        <v>20.917133499999998</v>
      </c>
      <c r="J16">
        <v>3.0700727900000002</v>
      </c>
      <c r="K16">
        <v>30.184000000000001</v>
      </c>
      <c r="L16">
        <v>39.436999999999998</v>
      </c>
      <c r="M16">
        <v>48.27998384</v>
      </c>
      <c r="N16">
        <v>16.908002660000001</v>
      </c>
      <c r="O16">
        <v>0.118849206</v>
      </c>
      <c r="P16">
        <v>32.667000000000002</v>
      </c>
      <c r="Q16">
        <v>28.288</v>
      </c>
      <c r="R16">
        <v>7.32</v>
      </c>
      <c r="S16">
        <v>3.4438424099999998</v>
      </c>
      <c r="T16">
        <v>73.194000000000003</v>
      </c>
      <c r="U16">
        <v>10.23</v>
      </c>
      <c r="V16" s="1" t="str">
        <f>IF(#REF!&gt;#REF!,"Above Average","")</f>
        <v/>
      </c>
      <c r="W16" s="1">
        <f>SUM(#REF!-#REF!)</f>
        <v>2.91</v>
      </c>
    </row>
    <row r="17" spans="1:23">
      <c r="A17" t="s">
        <v>44</v>
      </c>
      <c r="B17">
        <v>1990</v>
      </c>
      <c r="C17" t="s">
        <v>39</v>
      </c>
      <c r="D17">
        <v>181.23918520000001</v>
      </c>
      <c r="E17">
        <v>2.6151890419999999</v>
      </c>
      <c r="F17">
        <v>0.35583219100000002</v>
      </c>
      <c r="G17">
        <v>187.83951709999999</v>
      </c>
      <c r="H17">
        <v>69.302517839999993</v>
      </c>
      <c r="I17">
        <v>10.292375890000001</v>
      </c>
      <c r="J17">
        <v>7.7179754809999999</v>
      </c>
      <c r="K17">
        <v>45.625</v>
      </c>
      <c r="L17">
        <v>40.887999999999998</v>
      </c>
      <c r="M17">
        <v>22.602006329999998</v>
      </c>
      <c r="N17">
        <v>20.668013370000001</v>
      </c>
      <c r="O17">
        <v>0.136063659</v>
      </c>
      <c r="P17">
        <v>59.101999999999997</v>
      </c>
      <c r="Q17">
        <v>50.12</v>
      </c>
      <c r="R17">
        <v>1.0609999999999999</v>
      </c>
      <c r="S17">
        <v>0</v>
      </c>
      <c r="T17">
        <v>164.304</v>
      </c>
      <c r="U17">
        <v>0.83499999999999996</v>
      </c>
      <c r="V17" s="1" t="str">
        <f>IF(#REF!&gt;#REF!,"Above Average","")</f>
        <v/>
      </c>
      <c r="W17" s="1">
        <f>SUM(#REF!-#REF!)</f>
        <v>-0.22599999999999998</v>
      </c>
    </row>
    <row r="18" spans="1:23">
      <c r="A18" t="s">
        <v>45</v>
      </c>
      <c r="B18">
        <v>1990</v>
      </c>
      <c r="C18" t="s">
        <v>30</v>
      </c>
      <c r="D18">
        <v>397.81691289999998</v>
      </c>
      <c r="E18">
        <v>2.7105326970000001</v>
      </c>
      <c r="F18">
        <v>0.209048967</v>
      </c>
      <c r="G18">
        <v>25.517565130000001</v>
      </c>
      <c r="H18">
        <v>146.76705920000001</v>
      </c>
      <c r="I18">
        <v>17.70914127</v>
      </c>
      <c r="J18">
        <v>15.78584678</v>
      </c>
      <c r="K18">
        <v>88.028000000000006</v>
      </c>
      <c r="L18">
        <v>90.563999999999993</v>
      </c>
      <c r="M18">
        <v>17.295985160000001</v>
      </c>
      <c r="N18">
        <v>47.404944399999998</v>
      </c>
      <c r="O18">
        <v>7.7124680000000001E-2</v>
      </c>
      <c r="P18">
        <v>216.6</v>
      </c>
      <c r="Q18">
        <v>218.77799999999999</v>
      </c>
      <c r="R18">
        <v>22.485274100000002</v>
      </c>
      <c r="S18">
        <v>1.4903047089999999</v>
      </c>
      <c r="T18">
        <v>4.7229999999999999</v>
      </c>
      <c r="U18">
        <v>0</v>
      </c>
      <c r="V18" s="1" t="str">
        <f>IF(#REF!&gt;#REF!,"Above Average","")</f>
        <v/>
      </c>
      <c r="W18" s="1">
        <f>SUM(#REF!-#REF!)</f>
        <v>-22.485274100000002</v>
      </c>
    </row>
    <row r="19" spans="1:23">
      <c r="A19" t="s">
        <v>46</v>
      </c>
      <c r="B19">
        <v>1990</v>
      </c>
      <c r="C19" t="s">
        <v>28</v>
      </c>
      <c r="D19">
        <v>1055.1401820000001</v>
      </c>
      <c r="E19">
        <v>2.3961507389999999</v>
      </c>
      <c r="F19">
        <v>0.26156705600000002</v>
      </c>
      <c r="G19">
        <v>76.186191410000006</v>
      </c>
      <c r="H19">
        <v>440.34799850000002</v>
      </c>
      <c r="I19">
        <v>12.35389176</v>
      </c>
      <c r="J19">
        <v>21.075591320000001</v>
      </c>
      <c r="K19">
        <v>221.49700000000001</v>
      </c>
      <c r="L19">
        <v>177.834</v>
      </c>
      <c r="M19">
        <v>2.2449986279999998</v>
      </c>
      <c r="N19">
        <v>60.180053149999999</v>
      </c>
      <c r="O19">
        <v>0.109161353</v>
      </c>
      <c r="P19">
        <v>870.673</v>
      </c>
      <c r="Q19">
        <v>774.85799999999995</v>
      </c>
      <c r="R19">
        <v>121.7550219</v>
      </c>
      <c r="S19">
        <v>2.450058748</v>
      </c>
      <c r="T19">
        <v>0.52600000000000002</v>
      </c>
      <c r="U19">
        <v>7.9850000000000003</v>
      </c>
      <c r="V19" s="1" t="str">
        <f>IF(#REF!&gt;#REF!,"Above Average","")</f>
        <v>Above Average</v>
      </c>
      <c r="W19" s="1">
        <f>SUM(#REF!-#REF!)</f>
        <v>-113.7700219</v>
      </c>
    </row>
    <row r="20" spans="1:23">
      <c r="A20" t="s">
        <v>47</v>
      </c>
      <c r="B20">
        <v>1990</v>
      </c>
      <c r="C20" t="s">
        <v>28</v>
      </c>
      <c r="D20">
        <v>236.2823415</v>
      </c>
      <c r="E20">
        <v>3.2168030540000001</v>
      </c>
      <c r="F20">
        <v>1.0265632929999999</v>
      </c>
      <c r="G20">
        <v>90.977383259999996</v>
      </c>
      <c r="H20">
        <v>73.452535800000007</v>
      </c>
      <c r="I20">
        <v>8.4299431210000009</v>
      </c>
      <c r="J20">
        <v>13.92138958</v>
      </c>
      <c r="K20">
        <v>19.167000000000002</v>
      </c>
      <c r="L20">
        <v>18.303000000000001</v>
      </c>
      <c r="M20">
        <v>7.1140053050000001</v>
      </c>
      <c r="N20">
        <v>13.18298532</v>
      </c>
      <c r="O20">
        <v>0.31912531700000002</v>
      </c>
      <c r="P20">
        <v>87.379000000000005</v>
      </c>
      <c r="Q20">
        <v>96.534999999999997</v>
      </c>
      <c r="R20">
        <v>90.361000000000004</v>
      </c>
      <c r="S20">
        <v>0</v>
      </c>
      <c r="T20">
        <v>25.82</v>
      </c>
      <c r="U20">
        <v>131.44300000000001</v>
      </c>
      <c r="V20" s="1" t="str">
        <f>IF(#REF!&gt;#REF!,"Above Average","")</f>
        <v/>
      </c>
      <c r="W20" s="1">
        <f>SUM(#REF!-#REF!)</f>
        <v>41.082000000000008</v>
      </c>
    </row>
    <row r="21" spans="1:23">
      <c r="A21" t="s">
        <v>48</v>
      </c>
      <c r="B21">
        <v>1990</v>
      </c>
      <c r="C21" t="s">
        <v>39</v>
      </c>
      <c r="D21">
        <v>27.836559749999999</v>
      </c>
      <c r="E21">
        <v>3.0800569609999999</v>
      </c>
      <c r="F21">
        <v>0.52351034100000005</v>
      </c>
      <c r="G21">
        <v>50.373796779999999</v>
      </c>
      <c r="H21">
        <v>9.0376769320000001</v>
      </c>
      <c r="I21">
        <v>0</v>
      </c>
      <c r="J21">
        <v>20.888641289999999</v>
      </c>
      <c r="K21">
        <v>3.8</v>
      </c>
      <c r="L21">
        <v>13.273999999999999</v>
      </c>
      <c r="M21">
        <v>4.0280029050000001</v>
      </c>
      <c r="N21">
        <v>6.0279931160000002</v>
      </c>
      <c r="O21">
        <v>0.169967747</v>
      </c>
      <c r="P21">
        <v>18.477</v>
      </c>
      <c r="Q21">
        <v>14.272</v>
      </c>
      <c r="S21">
        <v>0</v>
      </c>
      <c r="T21">
        <v>46.337000000000003</v>
      </c>
      <c r="V21" s="1" t="str">
        <f>IF(#REF!&gt;#REF!,"Above Average","")</f>
        <v/>
      </c>
      <c r="W21" s="1">
        <f>SUM(#REF!-#REF!)</f>
        <v>0</v>
      </c>
    </row>
    <row r="22" spans="1:23">
      <c r="A22" t="s">
        <v>49</v>
      </c>
      <c r="B22">
        <v>1990</v>
      </c>
      <c r="C22" t="s">
        <v>28</v>
      </c>
      <c r="D22">
        <v>50.738059790000001</v>
      </c>
      <c r="E22">
        <v>2.391922391</v>
      </c>
      <c r="F22">
        <v>0.27290635499999999</v>
      </c>
      <c r="G22">
        <v>47.749219109999999</v>
      </c>
      <c r="H22">
        <v>21.212251689999999</v>
      </c>
      <c r="I22">
        <v>17.33142162</v>
      </c>
      <c r="J22">
        <v>12.79793525</v>
      </c>
      <c r="K22">
        <v>12.077</v>
      </c>
      <c r="L22">
        <v>10.086</v>
      </c>
      <c r="M22">
        <v>18.356009069999999</v>
      </c>
      <c r="N22">
        <v>8.1840046270000002</v>
      </c>
      <c r="O22">
        <v>0.11409498799999999</v>
      </c>
      <c r="P22">
        <v>23.015999999999998</v>
      </c>
      <c r="Q22">
        <v>19.945</v>
      </c>
      <c r="R22">
        <v>2.1040000000000001</v>
      </c>
      <c r="S22">
        <v>0</v>
      </c>
      <c r="T22">
        <v>30.029</v>
      </c>
      <c r="U22">
        <v>0.111</v>
      </c>
      <c r="V22" s="1" t="str">
        <f>IF(#REF!&gt;#REF!,"Above Average","")</f>
        <v/>
      </c>
      <c r="W22" s="1">
        <f>SUM(#REF!-#REF!)</f>
        <v>-1.9930000000000001</v>
      </c>
    </row>
    <row r="23" spans="1:23">
      <c r="A23" t="s">
        <v>50</v>
      </c>
      <c r="B23">
        <v>1990</v>
      </c>
      <c r="C23" t="s">
        <v>26</v>
      </c>
      <c r="D23">
        <v>264.6537022</v>
      </c>
      <c r="E23">
        <v>2.1397182199999998</v>
      </c>
      <c r="F23">
        <v>0.222142281</v>
      </c>
      <c r="G23">
        <v>195.538118</v>
      </c>
      <c r="H23">
        <v>123.6862404</v>
      </c>
      <c r="I23">
        <v>24.69331906</v>
      </c>
      <c r="J23">
        <v>10.231723369999999</v>
      </c>
      <c r="K23">
        <v>68.599999999999994</v>
      </c>
      <c r="L23">
        <v>72.168999999999997</v>
      </c>
      <c r="M23">
        <v>25.578989839999998</v>
      </c>
      <c r="N23">
        <v>25.99602299</v>
      </c>
      <c r="O23">
        <v>0.10381847399999999</v>
      </c>
      <c r="P23">
        <v>115.837</v>
      </c>
      <c r="Q23">
        <v>100.194</v>
      </c>
      <c r="R23">
        <v>7.4960000000000004</v>
      </c>
      <c r="S23">
        <v>4.4251836630000003</v>
      </c>
      <c r="T23">
        <v>150.77600000000001</v>
      </c>
      <c r="U23">
        <v>6.9329999999999998</v>
      </c>
      <c r="V23" s="1" t="str">
        <f>IF(#REF!&gt;#REF!,"Above Average","")</f>
        <v/>
      </c>
      <c r="W23" s="1">
        <f>SUM(#REF!-#REF!)</f>
        <v>-0.56300000000000061</v>
      </c>
    </row>
    <row r="24" spans="1:23">
      <c r="A24" t="s">
        <v>51</v>
      </c>
      <c r="B24">
        <v>1990</v>
      </c>
      <c r="C24" t="s">
        <v>30</v>
      </c>
      <c r="D24">
        <v>163.3385313</v>
      </c>
      <c r="E24">
        <v>2.4555344969999999</v>
      </c>
      <c r="F24">
        <v>0.31553526700000001</v>
      </c>
      <c r="G24">
        <v>60.561183229999997</v>
      </c>
      <c r="H24">
        <v>66.518524369999994</v>
      </c>
      <c r="I24">
        <v>1.1199421970000001</v>
      </c>
      <c r="J24">
        <v>11.21787117</v>
      </c>
      <c r="K24">
        <v>21.439</v>
      </c>
      <c r="L24">
        <v>49.08</v>
      </c>
      <c r="M24">
        <v>76.087075200000001</v>
      </c>
      <c r="N24">
        <v>44.164946970000003</v>
      </c>
      <c r="O24">
        <v>0.12849962700000001</v>
      </c>
      <c r="P24">
        <v>71.968000000000004</v>
      </c>
      <c r="Q24">
        <v>74.073999999999998</v>
      </c>
      <c r="R24">
        <v>12.528968389999999</v>
      </c>
      <c r="S24">
        <v>0.31958648299999998</v>
      </c>
      <c r="T24">
        <v>4.0759999999999996</v>
      </c>
      <c r="U24">
        <v>0</v>
      </c>
      <c r="V24" s="1" t="str">
        <f>IF(#REF!&gt;#REF!,"Above Average","")</f>
        <v/>
      </c>
      <c r="W24" s="1">
        <f>SUM(#REF!-#REF!)</f>
        <v>-12.528968389999999</v>
      </c>
    </row>
    <row r="25" spans="1:23">
      <c r="A25" t="s">
        <v>52</v>
      </c>
      <c r="B25">
        <v>1990</v>
      </c>
      <c r="C25" t="s">
        <v>28</v>
      </c>
      <c r="D25">
        <v>21.620523210000002</v>
      </c>
      <c r="E25">
        <v>1.5853812060000001</v>
      </c>
      <c r="F25">
        <v>0.25355904200000001</v>
      </c>
      <c r="G25">
        <v>12.33168053</v>
      </c>
      <c r="H25">
        <v>13.63742873</v>
      </c>
      <c r="I25">
        <v>80.008678399999994</v>
      </c>
      <c r="J25">
        <v>24.51220262</v>
      </c>
      <c r="K25">
        <v>4.149</v>
      </c>
      <c r="L25">
        <v>4.8630000000000004</v>
      </c>
      <c r="M25">
        <v>4.9100033529999996</v>
      </c>
      <c r="N25">
        <v>4.8880007409999999</v>
      </c>
      <c r="O25">
        <v>0.15993569299999999</v>
      </c>
      <c r="P25">
        <v>32.264000000000003</v>
      </c>
      <c r="Q25">
        <v>28.870999999999999</v>
      </c>
      <c r="R25">
        <v>2.3221237170000002</v>
      </c>
      <c r="S25">
        <v>6.812546491</v>
      </c>
      <c r="T25">
        <v>2.5409999999999999</v>
      </c>
      <c r="U25">
        <v>2.5779999999999998</v>
      </c>
      <c r="V25" s="1" t="str">
        <f>IF(#REF!&gt;#REF!,"Above Average","")</f>
        <v/>
      </c>
      <c r="W25" s="1">
        <f>SUM(#REF!-#REF!)</f>
        <v>0.25587628299999965</v>
      </c>
    </row>
    <row r="26" spans="1:23">
      <c r="A26" t="s">
        <v>53</v>
      </c>
      <c r="B26">
        <v>1990</v>
      </c>
      <c r="C26" t="s">
        <v>54</v>
      </c>
      <c r="D26">
        <v>28.320678319999999</v>
      </c>
      <c r="E26">
        <v>0.42630720999999999</v>
      </c>
      <c r="F26">
        <v>9.2771675999999997E-2</v>
      </c>
      <c r="G26">
        <v>146.30307970000001</v>
      </c>
      <c r="H26">
        <v>66.432557750000001</v>
      </c>
      <c r="I26">
        <v>32.58560499</v>
      </c>
      <c r="J26">
        <v>1.141129206</v>
      </c>
      <c r="K26">
        <v>7.0860000000000003</v>
      </c>
      <c r="L26">
        <v>12.849</v>
      </c>
      <c r="M26">
        <v>4</v>
      </c>
      <c r="N26">
        <v>4</v>
      </c>
      <c r="O26">
        <v>0.217616953</v>
      </c>
      <c r="P26">
        <v>13.462999999999999</v>
      </c>
      <c r="Q26">
        <v>7.8710000000000004</v>
      </c>
      <c r="R26">
        <v>7.4999999999999997E-2</v>
      </c>
      <c r="S26">
        <v>0</v>
      </c>
      <c r="T26">
        <v>88.322000000000003</v>
      </c>
      <c r="U26">
        <v>0.09</v>
      </c>
      <c r="V26" s="1" t="str">
        <f>IF(#REF!&gt;#REF!,"Above Average","")</f>
        <v/>
      </c>
      <c r="W26" s="1">
        <f>SUM(#REF!-#REF!)</f>
        <v>1.4999999999999999E-2</v>
      </c>
    </row>
    <row r="27" spans="1:23">
      <c r="A27" t="s">
        <v>55</v>
      </c>
      <c r="B27">
        <v>1990</v>
      </c>
      <c r="C27" t="s">
        <v>30</v>
      </c>
      <c r="D27">
        <v>27.87981186</v>
      </c>
      <c r="E27">
        <v>1.3230099900000001</v>
      </c>
      <c r="F27">
        <v>0.16271896899999999</v>
      </c>
      <c r="G27">
        <v>119.48310530000001</v>
      </c>
      <c r="H27">
        <v>21.073016890000002</v>
      </c>
      <c r="I27">
        <v>99.792364259999999</v>
      </c>
      <c r="J27">
        <v>47.587182830000003</v>
      </c>
      <c r="K27">
        <v>8.0500000000000007</v>
      </c>
      <c r="L27">
        <v>13.766999999999999</v>
      </c>
      <c r="M27">
        <v>27.641981139999999</v>
      </c>
      <c r="N27">
        <v>2.2619976230000001</v>
      </c>
      <c r="O27">
        <v>0.122991489</v>
      </c>
      <c r="P27">
        <v>121.848</v>
      </c>
      <c r="Q27">
        <v>97.697999999999993</v>
      </c>
      <c r="R27">
        <v>1.2769999999999999</v>
      </c>
      <c r="S27">
        <v>5.3345151E-2</v>
      </c>
      <c r="T27">
        <v>82.087999999999994</v>
      </c>
      <c r="U27">
        <v>0.30299999999999999</v>
      </c>
      <c r="V27" s="1" t="str">
        <f>IF(#REF!&gt;#REF!,"Above Average","")</f>
        <v/>
      </c>
      <c r="W27" s="1">
        <f>SUM(#REF!-#REF!)</f>
        <v>-0.97399999999999998</v>
      </c>
    </row>
    <row r="28" spans="1:23">
      <c r="A28" t="s">
        <v>56</v>
      </c>
      <c r="B28">
        <v>1990</v>
      </c>
      <c r="C28" t="s">
        <v>30</v>
      </c>
      <c r="D28">
        <v>355.72661870000002</v>
      </c>
      <c r="E28">
        <v>3.4499982089999999</v>
      </c>
      <c r="F28">
        <v>0.85589651300000003</v>
      </c>
      <c r="G28">
        <v>103.8794564</v>
      </c>
      <c r="H28">
        <v>103.1092184</v>
      </c>
      <c r="I28">
        <v>2.4708204029999998</v>
      </c>
      <c r="J28">
        <v>12.97072137</v>
      </c>
      <c r="K28">
        <v>12.885</v>
      </c>
      <c r="L28">
        <v>12.811999999999999</v>
      </c>
      <c r="M28">
        <v>4.0949962429999998</v>
      </c>
      <c r="N28">
        <v>12.0960144</v>
      </c>
      <c r="O28">
        <v>0.24808607499999999</v>
      </c>
      <c r="P28">
        <v>136.31100000000001</v>
      </c>
      <c r="Q28">
        <v>109.19499999999999</v>
      </c>
      <c r="R28">
        <v>183.6386813</v>
      </c>
      <c r="S28">
        <v>0</v>
      </c>
      <c r="T28">
        <v>0.17799999999999999</v>
      </c>
      <c r="U28">
        <v>215.32</v>
      </c>
      <c r="V28" s="1" t="str">
        <f>IF(#REF!&gt;#REF!,"Above Average","")</f>
        <v/>
      </c>
      <c r="W28" s="1">
        <f>SUM(#REF!-#REF!)</f>
        <v>31.681318699999991</v>
      </c>
    </row>
    <row r="29" spans="1:23">
      <c r="A29" t="s">
        <v>57</v>
      </c>
      <c r="B29">
        <v>1990</v>
      </c>
      <c r="C29" t="s">
        <v>30</v>
      </c>
      <c r="D29">
        <v>39.787807749999999</v>
      </c>
      <c r="E29">
        <v>2.3710201469999999</v>
      </c>
      <c r="F29">
        <v>0.177453263</v>
      </c>
      <c r="G29">
        <v>3.3929670449999998</v>
      </c>
      <c r="H29">
        <v>16.780881350000001</v>
      </c>
      <c r="I29">
        <v>35.079470899999997</v>
      </c>
      <c r="J29">
        <v>15.04636449</v>
      </c>
      <c r="K29">
        <v>10.94</v>
      </c>
      <c r="L29">
        <v>11.428000000000001</v>
      </c>
      <c r="N29">
        <v>0</v>
      </c>
      <c r="O29">
        <v>7.4842579000000006E-2</v>
      </c>
      <c r="P29">
        <v>28.501000000000001</v>
      </c>
      <c r="Q29">
        <v>23.95</v>
      </c>
      <c r="R29">
        <v>4.399</v>
      </c>
      <c r="S29">
        <v>2.1051892999999999E-2</v>
      </c>
      <c r="T29">
        <v>0</v>
      </c>
      <c r="U29">
        <v>0</v>
      </c>
      <c r="V29" s="1" t="str">
        <f>IF(#REF!&gt;#REF!,"Above Average","")</f>
        <v/>
      </c>
      <c r="W29" s="1">
        <f>SUM(#REF!-#REF!)</f>
        <v>-4.399</v>
      </c>
    </row>
    <row r="30" spans="1:23">
      <c r="A30" t="s">
        <v>58</v>
      </c>
      <c r="B30">
        <v>1990</v>
      </c>
      <c r="C30" t="s">
        <v>30</v>
      </c>
      <c r="D30">
        <v>163.01396370000001</v>
      </c>
      <c r="E30">
        <v>2.6300110710000002</v>
      </c>
      <c r="F30">
        <v>0.58643183899999995</v>
      </c>
      <c r="G30">
        <v>40.45642307</v>
      </c>
      <c r="H30">
        <v>61.98223479</v>
      </c>
      <c r="I30">
        <v>17.744017169999999</v>
      </c>
      <c r="J30">
        <v>10.48767468</v>
      </c>
      <c r="K30">
        <v>17.032</v>
      </c>
      <c r="L30">
        <v>22.617999999999999</v>
      </c>
      <c r="M30">
        <v>28.336014120000002</v>
      </c>
      <c r="N30">
        <v>35.667967650000001</v>
      </c>
      <c r="O30">
        <v>0.22297694700000001</v>
      </c>
      <c r="P30">
        <v>64.308999999999997</v>
      </c>
      <c r="Q30">
        <v>60.216000000000001</v>
      </c>
      <c r="R30">
        <v>46.953000000000003</v>
      </c>
      <c r="S30">
        <v>0</v>
      </c>
      <c r="T30">
        <v>7.9290000000000003</v>
      </c>
      <c r="U30">
        <v>38.183</v>
      </c>
      <c r="V30" s="1" t="str">
        <f>IF(#REF!&gt;#REF!,"Above Average","")</f>
        <v/>
      </c>
      <c r="W30" s="1">
        <f>SUM(#REF!-#REF!)</f>
        <v>-8.7700000000000031</v>
      </c>
    </row>
    <row r="31" spans="1:23">
      <c r="A31" t="s">
        <v>59</v>
      </c>
      <c r="B31">
        <v>1990</v>
      </c>
      <c r="C31" t="s">
        <v>30</v>
      </c>
      <c r="D31">
        <v>2189.0861519999999</v>
      </c>
      <c r="E31">
        <v>2.4909406000000001</v>
      </c>
      <c r="F31">
        <v>0.72400579399999998</v>
      </c>
      <c r="G31">
        <v>1292.768435</v>
      </c>
      <c r="H31">
        <v>878.81909020000001</v>
      </c>
      <c r="I31">
        <v>15.33814104</v>
      </c>
      <c r="J31">
        <v>11.266252830000001</v>
      </c>
      <c r="K31">
        <v>213.74</v>
      </c>
      <c r="L31">
        <v>267.72300000000001</v>
      </c>
      <c r="M31">
        <v>628.89238820000003</v>
      </c>
      <c r="N31">
        <v>471.54946380000001</v>
      </c>
      <c r="O31">
        <v>0.29065558400000002</v>
      </c>
      <c r="P31">
        <v>1082.152</v>
      </c>
      <c r="Q31">
        <v>917.40899999999999</v>
      </c>
      <c r="R31">
        <v>388.19400000000002</v>
      </c>
      <c r="S31">
        <v>2.5874370000000002E-3</v>
      </c>
      <c r="T31">
        <v>523.67899999999997</v>
      </c>
      <c r="U31">
        <v>376.613</v>
      </c>
      <c r="V31" s="1" t="str">
        <f>IF(#REF!&gt;#REF!,"Above Average","")</f>
        <v>Above Average</v>
      </c>
      <c r="W31" s="1">
        <f>SUM(#REF!-#REF!)</f>
        <v>-11.581000000000017</v>
      </c>
    </row>
    <row r="32" spans="1:23">
      <c r="A32" t="s">
        <v>60</v>
      </c>
      <c r="B32">
        <v>1990</v>
      </c>
      <c r="C32" t="s">
        <v>39</v>
      </c>
      <c r="D32">
        <v>155.6998811</v>
      </c>
      <c r="E32">
        <v>2.684029819</v>
      </c>
      <c r="F32">
        <v>0.23527477799999999</v>
      </c>
      <c r="G32">
        <v>368.44259490000002</v>
      </c>
      <c r="H32">
        <v>58.00974342</v>
      </c>
      <c r="I32">
        <v>0</v>
      </c>
      <c r="J32">
        <v>11.96367734</v>
      </c>
      <c r="K32">
        <v>34.341999999999999</v>
      </c>
      <c r="L32">
        <v>89.817999999999998</v>
      </c>
      <c r="M32">
        <v>23.855971790000002</v>
      </c>
      <c r="N32">
        <v>23.855971790000002</v>
      </c>
      <c r="O32">
        <v>8.7657288999999999E-2</v>
      </c>
      <c r="P32">
        <v>69.207999999999998</v>
      </c>
      <c r="Q32">
        <v>63.633000000000003</v>
      </c>
      <c r="R32">
        <v>0</v>
      </c>
      <c r="S32">
        <v>0</v>
      </c>
      <c r="T32">
        <v>341.81700000000001</v>
      </c>
      <c r="V32" s="1" t="str">
        <f>IF(#REF!&gt;#REF!,"Above Average","")</f>
        <v/>
      </c>
      <c r="W32" s="1">
        <f>SUM(#REF!-#REF!)</f>
        <v>0</v>
      </c>
    </row>
    <row r="33" spans="1:23">
      <c r="A33" t="s">
        <v>61</v>
      </c>
      <c r="B33">
        <v>1990</v>
      </c>
      <c r="C33" t="s">
        <v>54</v>
      </c>
      <c r="D33">
        <v>251.9443354</v>
      </c>
      <c r="E33">
        <v>2.8082462879999999</v>
      </c>
      <c r="F33">
        <v>0.66530893999999996</v>
      </c>
      <c r="G33">
        <v>114.5365078</v>
      </c>
      <c r="H33">
        <v>89.715897240000004</v>
      </c>
      <c r="I33">
        <v>1.704878428</v>
      </c>
      <c r="J33">
        <v>23.034759810000001</v>
      </c>
      <c r="K33">
        <v>15.276999999999999</v>
      </c>
      <c r="L33">
        <v>13.083</v>
      </c>
      <c r="M33">
        <v>1.8419986209999999</v>
      </c>
      <c r="N33">
        <v>1.8419986209999999</v>
      </c>
      <c r="O33">
        <v>0.236912604</v>
      </c>
      <c r="P33">
        <v>167.226</v>
      </c>
      <c r="Q33">
        <v>140.71100000000001</v>
      </c>
      <c r="R33">
        <v>134.17500000000001</v>
      </c>
      <c r="S33">
        <v>0</v>
      </c>
      <c r="T33">
        <v>4.468</v>
      </c>
      <c r="U33">
        <v>174.8</v>
      </c>
      <c r="V33" s="1" t="str">
        <f>IF(#REF!&gt;#REF!,"Above Average","")</f>
        <v/>
      </c>
      <c r="W33" s="1">
        <f>SUM(#REF!-#REF!)</f>
        <v>40.625</v>
      </c>
    </row>
    <row r="34" spans="1:23">
      <c r="A34" t="s">
        <v>62</v>
      </c>
      <c r="B34">
        <v>1990</v>
      </c>
      <c r="C34" t="s">
        <v>28</v>
      </c>
      <c r="D34">
        <v>243.49721629999999</v>
      </c>
      <c r="E34">
        <v>2.5913266589999999</v>
      </c>
      <c r="F34">
        <v>0.46666675699999999</v>
      </c>
      <c r="G34">
        <v>23.675366100000002</v>
      </c>
      <c r="H34">
        <v>93.966237509999999</v>
      </c>
      <c r="I34">
        <v>6.037714362</v>
      </c>
      <c r="J34">
        <v>11.589677699999999</v>
      </c>
      <c r="K34">
        <v>48.314999999999998</v>
      </c>
      <c r="L34">
        <v>42.365000000000002</v>
      </c>
      <c r="M34">
        <v>0</v>
      </c>
      <c r="N34">
        <v>3.0419989009999999</v>
      </c>
      <c r="O34">
        <v>0.18008797000000001</v>
      </c>
      <c r="P34">
        <v>105.371</v>
      </c>
      <c r="Q34">
        <v>94.384</v>
      </c>
      <c r="R34">
        <v>44.776000000000003</v>
      </c>
      <c r="S34">
        <v>9.4902799999999998E-4</v>
      </c>
      <c r="T34">
        <v>0</v>
      </c>
      <c r="U34">
        <v>17.216999999999999</v>
      </c>
      <c r="V34" s="1" t="str">
        <f>IF(#REF!&gt;#REF!,"Above Average","")</f>
        <v/>
      </c>
      <c r="W34" s="1">
        <f>SUM(#REF!-#REF!)</f>
        <v>-27.559000000000005</v>
      </c>
    </row>
    <row r="35" spans="1:23">
      <c r="A35" t="s">
        <v>63</v>
      </c>
      <c r="B35">
        <v>1990</v>
      </c>
      <c r="C35" t="s">
        <v>30</v>
      </c>
      <c r="D35">
        <v>205.4938372</v>
      </c>
      <c r="E35">
        <v>2.280856011</v>
      </c>
      <c r="F35">
        <v>0.20550056799999999</v>
      </c>
      <c r="G35">
        <v>34.61267101</v>
      </c>
      <c r="H35">
        <v>90.095050369999996</v>
      </c>
      <c r="I35">
        <v>17.606945620000001</v>
      </c>
      <c r="J35">
        <v>17.554089300000001</v>
      </c>
      <c r="K35">
        <v>43.5</v>
      </c>
      <c r="L35">
        <v>53.084000000000003</v>
      </c>
      <c r="M35">
        <v>1.4709987630000001</v>
      </c>
      <c r="N35">
        <v>5.7419997220000001</v>
      </c>
      <c r="O35">
        <v>9.0098000999999997E-2</v>
      </c>
      <c r="P35">
        <v>151.923</v>
      </c>
      <c r="Q35">
        <v>129.161</v>
      </c>
      <c r="R35">
        <v>47.563000000000002</v>
      </c>
      <c r="S35">
        <v>1.5139247999999999E-2</v>
      </c>
      <c r="T35">
        <v>1.1439999999999999</v>
      </c>
      <c r="U35">
        <v>0</v>
      </c>
      <c r="V35" s="1" t="str">
        <f>IF(#REF!&gt;#REF!,"Above Average","")</f>
        <v/>
      </c>
      <c r="W35" s="1">
        <f>SUM(#REF!-#REF!)</f>
        <v>-47.563000000000002</v>
      </c>
    </row>
    <row r="36" spans="1:23">
      <c r="A36" t="s">
        <v>64</v>
      </c>
      <c r="B36">
        <v>1990</v>
      </c>
      <c r="C36" t="s">
        <v>30</v>
      </c>
      <c r="D36">
        <v>52.579040130000003</v>
      </c>
      <c r="E36">
        <v>1.113978441</v>
      </c>
      <c r="F36">
        <v>0.18792020500000001</v>
      </c>
      <c r="G36">
        <v>29.685656030000001</v>
      </c>
      <c r="H36">
        <v>47.199333639999999</v>
      </c>
      <c r="I36">
        <v>51.17736189</v>
      </c>
      <c r="J36">
        <v>31.718374600000001</v>
      </c>
      <c r="K36">
        <v>14.669</v>
      </c>
      <c r="L36">
        <v>18.044</v>
      </c>
      <c r="N36">
        <v>0.61599935400000005</v>
      </c>
      <c r="O36">
        <v>0.168692856</v>
      </c>
      <c r="P36">
        <v>146.51400000000001</v>
      </c>
      <c r="Q36">
        <v>130.73699999999999</v>
      </c>
      <c r="R36">
        <v>4.8780000000000001</v>
      </c>
      <c r="S36">
        <v>4.0951720000000002E-3</v>
      </c>
      <c r="T36">
        <v>0</v>
      </c>
      <c r="U36">
        <v>0.59199999999999997</v>
      </c>
      <c r="V36" s="1" t="str">
        <f>IF(#REF!&gt;#REF!,"Above Average","")</f>
        <v/>
      </c>
      <c r="W36" s="1">
        <f>SUM(#REF!-#REF!)</f>
        <v>-4.2860000000000005</v>
      </c>
    </row>
    <row r="37" spans="1:23">
      <c r="A37" t="s">
        <v>65</v>
      </c>
      <c r="B37">
        <v>1990</v>
      </c>
      <c r="C37" t="s">
        <v>28</v>
      </c>
      <c r="D37">
        <v>112.395763</v>
      </c>
      <c r="E37">
        <v>2.3611966529999999</v>
      </c>
      <c r="F37">
        <v>0.67150719800000003</v>
      </c>
      <c r="G37">
        <v>10.63247112</v>
      </c>
      <c r="H37">
        <v>47.601186810000002</v>
      </c>
      <c r="I37">
        <v>9.0804279139999995</v>
      </c>
      <c r="J37">
        <v>21.513242859999998</v>
      </c>
      <c r="K37">
        <v>24.734000000000002</v>
      </c>
      <c r="L37">
        <v>21.46</v>
      </c>
      <c r="M37">
        <v>1.2899989380000001</v>
      </c>
      <c r="N37">
        <v>1.7239982060000001</v>
      </c>
      <c r="O37">
        <v>0.284392745</v>
      </c>
      <c r="P37">
        <v>90.204999999999998</v>
      </c>
      <c r="Q37">
        <v>78.81</v>
      </c>
      <c r="R37">
        <v>17.36476944</v>
      </c>
      <c r="S37">
        <v>0</v>
      </c>
      <c r="T37">
        <v>0.17499999999999999</v>
      </c>
      <c r="U37">
        <v>0</v>
      </c>
      <c r="V37" s="1" t="str">
        <f>IF(#REF!&gt;#REF!,"Above Average","")</f>
        <v/>
      </c>
      <c r="W37" s="1">
        <f>SUM(#REF!-#REF!)</f>
        <v>-17.36476944</v>
      </c>
    </row>
    <row r="38" spans="1:23">
      <c r="A38" t="s">
        <v>66</v>
      </c>
      <c r="B38">
        <v>1990</v>
      </c>
      <c r="C38" t="s">
        <v>28</v>
      </c>
      <c r="D38">
        <v>80.922698560000001</v>
      </c>
      <c r="E38">
        <v>1.918573418</v>
      </c>
      <c r="F38">
        <v>0.20736036099999999</v>
      </c>
      <c r="G38">
        <v>26.81036061</v>
      </c>
      <c r="H38">
        <v>42.178578000000002</v>
      </c>
      <c r="I38">
        <v>11.26403477</v>
      </c>
      <c r="J38">
        <v>11.38580799</v>
      </c>
      <c r="K38">
        <v>17.207000000000001</v>
      </c>
      <c r="L38">
        <v>11.86</v>
      </c>
      <c r="M38">
        <v>6.3840064620000003</v>
      </c>
      <c r="N38">
        <v>6.386996087</v>
      </c>
      <c r="O38">
        <v>0.108080493</v>
      </c>
      <c r="P38">
        <v>44.176000000000002</v>
      </c>
      <c r="Q38">
        <v>38.344000000000001</v>
      </c>
      <c r="R38">
        <v>12.78</v>
      </c>
      <c r="S38">
        <v>2.2636729999999999E-3</v>
      </c>
      <c r="T38">
        <v>2.7509999999999999</v>
      </c>
      <c r="U38">
        <v>12.420999999999999</v>
      </c>
      <c r="V38" s="1" t="str">
        <f>IF(#REF!&gt;#REF!,"Above Average","")</f>
        <v/>
      </c>
      <c r="W38" s="1">
        <f>SUM(#REF!-#REF!)</f>
        <v>-0.35899999999999999</v>
      </c>
    </row>
    <row r="39" spans="1:23">
      <c r="A39" t="s">
        <v>67</v>
      </c>
      <c r="B39">
        <v>1990</v>
      </c>
      <c r="C39" t="s">
        <v>30</v>
      </c>
      <c r="D39">
        <v>132.52911080000001</v>
      </c>
      <c r="E39">
        <v>2.5761207100000001</v>
      </c>
      <c r="F39">
        <v>0.19612622099999999</v>
      </c>
      <c r="G39">
        <v>24.834297020000001</v>
      </c>
      <c r="H39">
        <v>51.445225479999998</v>
      </c>
      <c r="I39">
        <v>40.366334739999999</v>
      </c>
      <c r="J39">
        <v>9.3000181699999995</v>
      </c>
      <c r="K39">
        <v>22.431999999999999</v>
      </c>
      <c r="L39">
        <v>22.884</v>
      </c>
      <c r="M39">
        <v>0.211999927</v>
      </c>
      <c r="N39">
        <v>3.467999227</v>
      </c>
      <c r="O39">
        <v>7.6132387999999995E-2</v>
      </c>
      <c r="P39">
        <v>57.542999999999999</v>
      </c>
      <c r="Q39">
        <v>46.82</v>
      </c>
      <c r="R39">
        <v>54.451000000000001</v>
      </c>
      <c r="S39">
        <v>0.13902646699999999</v>
      </c>
      <c r="T39">
        <v>3.7120000000000002</v>
      </c>
      <c r="U39">
        <v>47.427999999999997</v>
      </c>
      <c r="V39" s="1" t="str">
        <f>IF(#REF!&gt;#REF!,"Above Average","")</f>
        <v/>
      </c>
      <c r="W39" s="1">
        <f>SUM(#REF!-#REF!)</f>
        <v>-7.0230000000000032</v>
      </c>
    </row>
    <row r="40" spans="1:23">
      <c r="A40" t="s">
        <v>68</v>
      </c>
      <c r="B40">
        <v>1990</v>
      </c>
      <c r="C40" t="s">
        <v>30</v>
      </c>
      <c r="D40">
        <v>690.217491</v>
      </c>
      <c r="E40">
        <v>2.7384661590000001</v>
      </c>
      <c r="F40">
        <v>0.94374689599999995</v>
      </c>
      <c r="G40">
        <v>135.79803889999999</v>
      </c>
      <c r="H40">
        <v>252.04528769999999</v>
      </c>
      <c r="I40">
        <v>3.5882677730000001</v>
      </c>
      <c r="J40">
        <v>11.01745837</v>
      </c>
      <c r="K40">
        <v>66.852000000000004</v>
      </c>
      <c r="L40">
        <v>61.648000000000003</v>
      </c>
      <c r="M40">
        <v>27.8859906</v>
      </c>
      <c r="N40">
        <v>113.3430415</v>
      </c>
      <c r="O40">
        <v>0.34462609399999999</v>
      </c>
      <c r="P40">
        <v>298.83499999999998</v>
      </c>
      <c r="Q40">
        <v>229.73699999999999</v>
      </c>
      <c r="R40">
        <v>149.85300000000001</v>
      </c>
      <c r="S40">
        <v>0</v>
      </c>
      <c r="T40">
        <v>5.2519999999999998</v>
      </c>
      <c r="U40">
        <v>159.21299999999999</v>
      </c>
      <c r="V40" s="1" t="str">
        <f>IF(#REF!&gt;#REF!,"Above Average","")</f>
        <v>Above Average</v>
      </c>
      <c r="W40" s="1">
        <f>SUM(#REF!-#REF!)</f>
        <v>9.3599999999999852</v>
      </c>
    </row>
    <row r="41" spans="1:23">
      <c r="A41" t="s">
        <v>69</v>
      </c>
      <c r="B41">
        <v>1990</v>
      </c>
      <c r="C41" t="s">
        <v>39</v>
      </c>
      <c r="D41">
        <v>52.123659410000002</v>
      </c>
      <c r="E41">
        <v>2.5565319209999999</v>
      </c>
      <c r="F41">
        <v>0.25932364000000002</v>
      </c>
      <c r="G41">
        <v>110.2026743</v>
      </c>
      <c r="H41">
        <v>20.388425030000001</v>
      </c>
      <c r="I41">
        <v>0</v>
      </c>
      <c r="J41">
        <v>7.6200284519999997</v>
      </c>
      <c r="K41">
        <v>6.3259999999999996</v>
      </c>
      <c r="L41">
        <v>10.316000000000001</v>
      </c>
      <c r="M41">
        <v>20.11</v>
      </c>
      <c r="N41">
        <v>16.91</v>
      </c>
      <c r="O41">
        <v>0.101435714</v>
      </c>
      <c r="P41">
        <v>17.079999999999998</v>
      </c>
      <c r="Q41">
        <v>14.347</v>
      </c>
      <c r="R41">
        <v>0</v>
      </c>
      <c r="S41">
        <v>0</v>
      </c>
      <c r="T41">
        <v>91.692999999999998</v>
      </c>
      <c r="V41" s="1" t="str">
        <f>IF(#REF!&gt;#REF!,"Above Average","")</f>
        <v/>
      </c>
      <c r="W41" s="1">
        <f>SUM(#REF!-#REF!)</f>
        <v>0</v>
      </c>
    </row>
    <row r="42" spans="1:23">
      <c r="A42" t="s">
        <v>70</v>
      </c>
      <c r="B42">
        <v>1990</v>
      </c>
      <c r="C42" t="s">
        <v>30</v>
      </c>
      <c r="D42">
        <v>556.1623836</v>
      </c>
      <c r="E42">
        <v>2.7002798600000002</v>
      </c>
      <c r="F42">
        <v>0.33819176000000001</v>
      </c>
      <c r="G42">
        <v>208.00913550000001</v>
      </c>
      <c r="H42">
        <v>205.96471940000001</v>
      </c>
      <c r="I42">
        <v>2.4373156690000002</v>
      </c>
      <c r="J42">
        <v>16.756397360000001</v>
      </c>
      <c r="K42">
        <v>73.429000000000002</v>
      </c>
      <c r="L42">
        <v>88.736000000000004</v>
      </c>
      <c r="M42">
        <v>49.671941240000002</v>
      </c>
      <c r="N42">
        <v>58.311941449999999</v>
      </c>
      <c r="O42">
        <v>0.12524322600000001</v>
      </c>
      <c r="P42">
        <v>319.73700000000002</v>
      </c>
      <c r="Q42">
        <v>284.416</v>
      </c>
      <c r="R42">
        <v>106.681</v>
      </c>
      <c r="S42">
        <v>2.8148130000000002E-3</v>
      </c>
      <c r="T42">
        <v>91.602000000000004</v>
      </c>
      <c r="U42">
        <v>92.762</v>
      </c>
      <c r="V42" s="1" t="str">
        <f>IF(#REF!&gt;#REF!,"Above Average","")</f>
        <v>Above Average</v>
      </c>
      <c r="W42" s="1">
        <f>SUM(#REF!-#REF!)</f>
        <v>-13.918999999999997</v>
      </c>
    </row>
    <row r="43" spans="1:23">
      <c r="A43" t="s">
        <v>71</v>
      </c>
      <c r="B43">
        <v>1990</v>
      </c>
      <c r="C43" t="s">
        <v>33</v>
      </c>
      <c r="D43">
        <v>4866.1916119999996</v>
      </c>
      <c r="E43">
        <v>2.5478146270000002</v>
      </c>
      <c r="F43">
        <v>0.49584284099999998</v>
      </c>
      <c r="G43">
        <v>1647.379385</v>
      </c>
      <c r="H43">
        <v>1909.947279</v>
      </c>
      <c r="I43">
        <v>11.96316683</v>
      </c>
      <c r="J43">
        <v>17.41204304</v>
      </c>
      <c r="K43">
        <v>732.07022300000006</v>
      </c>
      <c r="L43">
        <v>754.58699999999999</v>
      </c>
      <c r="M43">
        <v>506.60402370000003</v>
      </c>
      <c r="N43">
        <v>534.03915589999997</v>
      </c>
      <c r="O43">
        <v>0.19461496</v>
      </c>
      <c r="P43">
        <v>3218.6210000000001</v>
      </c>
      <c r="Q43">
        <v>2712.5549999999998</v>
      </c>
      <c r="R43">
        <v>819.28399999999999</v>
      </c>
      <c r="S43">
        <v>0.61343040999999998</v>
      </c>
      <c r="T43">
        <v>413.34399999999999</v>
      </c>
      <c r="U43">
        <v>933.56100000000004</v>
      </c>
      <c r="V43" s="1" t="str">
        <f>IF(#REF!&gt;#REF!,"Above Average","")</f>
        <v>Above Average</v>
      </c>
      <c r="W43" s="1">
        <f>SUM(#REF!-#REF!)</f>
        <v>114.27700000000004</v>
      </c>
    </row>
    <row r="44" spans="1:23">
      <c r="A44" t="s">
        <v>72</v>
      </c>
      <c r="B44">
        <v>1990</v>
      </c>
      <c r="C44" t="s">
        <v>28</v>
      </c>
      <c r="D44">
        <v>119.2441322</v>
      </c>
      <c r="E44">
        <v>2.5160791640000002</v>
      </c>
      <c r="F44">
        <v>1.632822979</v>
      </c>
      <c r="G44">
        <v>38.655248069999999</v>
      </c>
      <c r="H44">
        <v>47.392838009999998</v>
      </c>
      <c r="I44">
        <v>11.802929430000001</v>
      </c>
      <c r="J44">
        <v>10.26749568</v>
      </c>
      <c r="K44">
        <v>10.956</v>
      </c>
      <c r="L44">
        <v>7.89</v>
      </c>
      <c r="M44">
        <v>40.728986239999998</v>
      </c>
      <c r="N44">
        <v>40.091988899999997</v>
      </c>
      <c r="O44">
        <v>0.648955328</v>
      </c>
      <c r="P44">
        <v>56.325000000000003</v>
      </c>
      <c r="Q44">
        <v>45.62</v>
      </c>
      <c r="R44">
        <v>8.94</v>
      </c>
      <c r="T44">
        <v>2.8</v>
      </c>
      <c r="U44">
        <v>6.4</v>
      </c>
      <c r="V44" s="1" t="str">
        <f>IF(#REF!&gt;#REF!,"Above Average","")</f>
        <v/>
      </c>
      <c r="W44" s="1">
        <f>SUM(#REF!-#REF!)</f>
        <v>-2.5399999999999991</v>
      </c>
    </row>
    <row r="45" spans="1:23">
      <c r="A45" t="s">
        <v>73</v>
      </c>
      <c r="B45">
        <v>1990</v>
      </c>
      <c r="C45" t="s">
        <v>26</v>
      </c>
      <c r="D45">
        <v>93.59039095</v>
      </c>
      <c r="E45">
        <v>2.3629932619999998</v>
      </c>
      <c r="F45">
        <v>0.30540731399999999</v>
      </c>
      <c r="G45">
        <v>144.84381819999999</v>
      </c>
      <c r="H45">
        <v>39.606710880000001</v>
      </c>
      <c r="I45">
        <v>62.343857989999997</v>
      </c>
      <c r="J45">
        <v>14.881082749999999</v>
      </c>
      <c r="K45">
        <v>17.713999999999999</v>
      </c>
      <c r="L45">
        <v>50.536999999999999</v>
      </c>
      <c r="M45">
        <v>17.556014709999999</v>
      </c>
      <c r="N45">
        <v>16.772984040000001</v>
      </c>
      <c r="O45">
        <v>0.129245952</v>
      </c>
      <c r="P45">
        <v>59.320999999999998</v>
      </c>
      <c r="Q45">
        <v>47.148000000000003</v>
      </c>
      <c r="R45">
        <v>0.64600000000000002</v>
      </c>
      <c r="S45">
        <v>0</v>
      </c>
      <c r="T45">
        <v>115.187</v>
      </c>
      <c r="U45">
        <v>2.1890000000000001</v>
      </c>
      <c r="V45" s="1" t="str">
        <f>IF(#REF!&gt;#REF!,"Above Average","")</f>
        <v/>
      </c>
      <c r="W45" s="1">
        <f>SUM(#REF!-#REF!)</f>
        <v>1.5430000000000001</v>
      </c>
    </row>
    <row r="46" spans="1:23">
      <c r="D46">
        <f>AVERAGE(#REF!)</f>
        <v>420.39205539090909</v>
      </c>
    </row>
    <row r="47" spans="1:23">
      <c r="V47"/>
      <c r="W47"/>
    </row>
    <row r="48" spans="1:23">
      <c r="V48"/>
      <c r="W48"/>
    </row>
    <row r="49" spans="22:23">
      <c r="V49"/>
      <c r="W49"/>
    </row>
    <row r="50" spans="22:23">
      <c r="V50"/>
      <c r="W50"/>
    </row>
    <row r="51" spans="22:23">
      <c r="V51"/>
      <c r="W51"/>
    </row>
    <row r="52" spans="22:23">
      <c r="V52"/>
      <c r="W52"/>
    </row>
    <row r="53" spans="22:23">
      <c r="V53"/>
      <c r="W53"/>
    </row>
    <row r="54" spans="22:23">
      <c r="V54"/>
      <c r="W54"/>
    </row>
    <row r="55" spans="22:23">
      <c r="V55"/>
      <c r="W55"/>
    </row>
    <row r="56" spans="22:23">
      <c r="V56"/>
      <c r="W56"/>
    </row>
    <row r="57" spans="22:23">
      <c r="V57"/>
      <c r="W57"/>
    </row>
    <row r="58" spans="22:23">
      <c r="V58"/>
      <c r="W58"/>
    </row>
    <row r="59" spans="22:23">
      <c r="V59"/>
      <c r="W59"/>
    </row>
    <row r="60" spans="22:23">
      <c r="V60"/>
      <c r="W60"/>
    </row>
    <row r="61" spans="22:23">
      <c r="V61"/>
      <c r="W61"/>
    </row>
    <row r="62" spans="22:23">
      <c r="V62"/>
      <c r="W62"/>
    </row>
    <row r="63" spans="22:23">
      <c r="V63"/>
      <c r="W63"/>
    </row>
    <row r="64" spans="22:23">
      <c r="V64"/>
      <c r="W64"/>
    </row>
    <row r="65" spans="22:23">
      <c r="V65"/>
      <c r="W65"/>
    </row>
    <row r="66" spans="22:23">
      <c r="V66"/>
      <c r="W66"/>
    </row>
    <row r="67" spans="22:23">
      <c r="V67"/>
      <c r="W67"/>
    </row>
    <row r="68" spans="22:23">
      <c r="V68"/>
      <c r="W68"/>
    </row>
    <row r="69" spans="22:23">
      <c r="V69"/>
      <c r="W69"/>
    </row>
    <row r="70" spans="22:23">
      <c r="V70"/>
      <c r="W70"/>
    </row>
    <row r="71" spans="22:23">
      <c r="V71"/>
      <c r="W71"/>
    </row>
    <row r="72" spans="22:23">
      <c r="V72"/>
      <c r="W72"/>
    </row>
    <row r="73" spans="22:23">
      <c r="V73"/>
      <c r="W73"/>
    </row>
    <row r="74" spans="22:23">
      <c r="V74"/>
      <c r="W74"/>
    </row>
    <row r="75" spans="22:23">
      <c r="V75"/>
      <c r="W75"/>
    </row>
    <row r="76" spans="22:23">
      <c r="V76"/>
      <c r="W76"/>
    </row>
    <row r="77" spans="22:23">
      <c r="V77"/>
      <c r="W77"/>
    </row>
    <row r="78" spans="22:23">
      <c r="V78"/>
      <c r="W78"/>
    </row>
    <row r="79" spans="22:23">
      <c r="V79"/>
      <c r="W79"/>
    </row>
    <row r="80" spans="22:23">
      <c r="V80"/>
      <c r="W80"/>
    </row>
    <row r="81" spans="22:23">
      <c r="V81"/>
      <c r="W81"/>
    </row>
    <row r="82" spans="22:23">
      <c r="V82"/>
      <c r="W82"/>
    </row>
    <row r="83" spans="22:23">
      <c r="V83"/>
      <c r="W83"/>
    </row>
    <row r="84" spans="22:23">
      <c r="V84"/>
      <c r="W84"/>
    </row>
    <row r="85" spans="22:23">
      <c r="V85"/>
      <c r="W85"/>
    </row>
    <row r="86" spans="22:23">
      <c r="V86"/>
      <c r="W86"/>
    </row>
    <row r="87" spans="22:23">
      <c r="V87"/>
      <c r="W87"/>
    </row>
    <row r="88" spans="22:23">
      <c r="V88"/>
      <c r="W88"/>
    </row>
    <row r="89" spans="22:23">
      <c r="V89"/>
      <c r="W89"/>
    </row>
    <row r="90" spans="22:23">
      <c r="V90"/>
      <c r="W90"/>
    </row>
    <row r="91" spans="22:23">
      <c r="V91"/>
      <c r="W91"/>
    </row>
    <row r="92" spans="22:23">
      <c r="V92"/>
      <c r="W92"/>
    </row>
    <row r="93" spans="22:23">
      <c r="V93"/>
      <c r="W93"/>
    </row>
    <row r="94" spans="22:23">
      <c r="V94"/>
      <c r="W94"/>
    </row>
    <row r="95" spans="22:23">
      <c r="V95"/>
      <c r="W95"/>
    </row>
    <row r="96" spans="22:23">
      <c r="V96"/>
      <c r="W96"/>
    </row>
    <row r="97" spans="22:23">
      <c r="V97"/>
      <c r="W97"/>
    </row>
    <row r="98" spans="22:23">
      <c r="V98"/>
      <c r="W98"/>
    </row>
    <row r="99" spans="22:23">
      <c r="V99"/>
      <c r="W99"/>
    </row>
    <row r="100" spans="22:23">
      <c r="V100"/>
      <c r="W100"/>
    </row>
    <row r="101" spans="22:23">
      <c r="V101"/>
      <c r="W101"/>
    </row>
    <row r="102" spans="22:23">
      <c r="V102"/>
      <c r="W102"/>
    </row>
    <row r="103" spans="22:23">
      <c r="V103"/>
      <c r="W103"/>
    </row>
    <row r="104" spans="22:23">
      <c r="V104"/>
      <c r="W104"/>
    </row>
    <row r="105" spans="22:23">
      <c r="V105"/>
      <c r="W105"/>
    </row>
    <row r="106" spans="22:23">
      <c r="V106"/>
      <c r="W106"/>
    </row>
    <row r="107" spans="22:23">
      <c r="V107"/>
      <c r="W107"/>
    </row>
    <row r="108" spans="22:23">
      <c r="V108"/>
      <c r="W108"/>
    </row>
    <row r="109" spans="22:23">
      <c r="V109"/>
      <c r="W109"/>
    </row>
    <row r="110" spans="22:23">
      <c r="V110"/>
      <c r="W110"/>
    </row>
    <row r="111" spans="22:23">
      <c r="V111"/>
      <c r="W111"/>
    </row>
    <row r="112" spans="22:23">
      <c r="V112"/>
      <c r="W112"/>
    </row>
    <row r="113" spans="22:23">
      <c r="V113"/>
      <c r="W113"/>
    </row>
    <row r="114" spans="22:23">
      <c r="V114"/>
      <c r="W114"/>
    </row>
    <row r="115" spans="22:23">
      <c r="V115"/>
      <c r="W115"/>
    </row>
    <row r="116" spans="22:23">
      <c r="V116"/>
      <c r="W116"/>
    </row>
    <row r="117" spans="22:23">
      <c r="V117"/>
      <c r="W117"/>
    </row>
    <row r="118" spans="22:23">
      <c r="V118"/>
      <c r="W118"/>
    </row>
    <row r="119" spans="22:23">
      <c r="V119"/>
      <c r="W119"/>
    </row>
    <row r="120" spans="22:23">
      <c r="V120"/>
      <c r="W120"/>
    </row>
    <row r="121" spans="22:23">
      <c r="V121"/>
      <c r="W121"/>
    </row>
    <row r="122" spans="22:23">
      <c r="V122"/>
      <c r="W122"/>
    </row>
    <row r="123" spans="22:23">
      <c r="V123"/>
      <c r="W123"/>
    </row>
    <row r="124" spans="22:23">
      <c r="V124"/>
      <c r="W124"/>
    </row>
    <row r="125" spans="22:23">
      <c r="V125"/>
      <c r="W125"/>
    </row>
    <row r="126" spans="22:23">
      <c r="V126"/>
      <c r="W126"/>
    </row>
    <row r="127" spans="22:23">
      <c r="V127"/>
      <c r="W127"/>
    </row>
    <row r="128" spans="22:23">
      <c r="V128"/>
      <c r="W128"/>
    </row>
    <row r="129" spans="22:23">
      <c r="V129"/>
      <c r="W129"/>
    </row>
    <row r="130" spans="22:23">
      <c r="V130"/>
      <c r="W130"/>
    </row>
    <row r="131" spans="22:23">
      <c r="V131"/>
      <c r="W131"/>
    </row>
    <row r="132" spans="22:23">
      <c r="V132"/>
      <c r="W132"/>
    </row>
    <row r="133" spans="22:23">
      <c r="V133"/>
      <c r="W133"/>
    </row>
    <row r="134" spans="22:23">
      <c r="V134"/>
      <c r="W134"/>
    </row>
    <row r="135" spans="22:23">
      <c r="V135"/>
      <c r="W135"/>
    </row>
    <row r="136" spans="22:23">
      <c r="V136"/>
      <c r="W136"/>
    </row>
    <row r="137" spans="22:23">
      <c r="V137"/>
      <c r="W137"/>
    </row>
    <row r="138" spans="22:23">
      <c r="V138"/>
      <c r="W138"/>
    </row>
    <row r="139" spans="22:23">
      <c r="V139"/>
      <c r="W139"/>
    </row>
    <row r="140" spans="22:23">
      <c r="V140"/>
      <c r="W140"/>
    </row>
    <row r="141" spans="22:23">
      <c r="V141"/>
      <c r="W141"/>
    </row>
    <row r="142" spans="22:23">
      <c r="V142"/>
      <c r="W142"/>
    </row>
    <row r="143" spans="22:23">
      <c r="V143"/>
      <c r="W143"/>
    </row>
    <row r="144" spans="22:23">
      <c r="V144"/>
      <c r="W144"/>
    </row>
    <row r="145" spans="22:23">
      <c r="V145"/>
      <c r="W145"/>
    </row>
    <row r="146" spans="22:23">
      <c r="V146"/>
      <c r="W146"/>
    </row>
    <row r="147" spans="22:23">
      <c r="V147"/>
      <c r="W147"/>
    </row>
    <row r="148" spans="22:23">
      <c r="V148"/>
      <c r="W148"/>
    </row>
    <row r="149" spans="22:23">
      <c r="V149"/>
      <c r="W149"/>
    </row>
    <row r="150" spans="22:23">
      <c r="V150"/>
      <c r="W150"/>
    </row>
    <row r="151" spans="22:23">
      <c r="V151"/>
      <c r="W151"/>
    </row>
    <row r="152" spans="22:23">
      <c r="V152"/>
      <c r="W152"/>
    </row>
    <row r="153" spans="22:23">
      <c r="V153"/>
      <c r="W153"/>
    </row>
    <row r="154" spans="22:23">
      <c r="V154"/>
      <c r="W154"/>
    </row>
    <row r="155" spans="22:23">
      <c r="V155"/>
      <c r="W155"/>
    </row>
    <row r="156" spans="22:23">
      <c r="V156"/>
      <c r="W156"/>
    </row>
    <row r="157" spans="22:23">
      <c r="V157"/>
      <c r="W157"/>
    </row>
    <row r="158" spans="22:23">
      <c r="V158"/>
      <c r="W158"/>
    </row>
    <row r="159" spans="22:23">
      <c r="V159"/>
      <c r="W159"/>
    </row>
    <row r="160" spans="22:23">
      <c r="V160"/>
      <c r="W160"/>
    </row>
    <row r="161" spans="22:23">
      <c r="V161"/>
      <c r="W161"/>
    </row>
    <row r="162" spans="22:23">
      <c r="V162"/>
      <c r="W162"/>
    </row>
    <row r="163" spans="22:23">
      <c r="V163"/>
      <c r="W163"/>
    </row>
    <row r="164" spans="22:23">
      <c r="V164"/>
      <c r="W164"/>
    </row>
    <row r="165" spans="22:23">
      <c r="V165"/>
      <c r="W165"/>
    </row>
    <row r="166" spans="22:23">
      <c r="V166"/>
      <c r="W166"/>
    </row>
    <row r="167" spans="22:23">
      <c r="V167"/>
      <c r="W167"/>
    </row>
    <row r="168" spans="22:23">
      <c r="V168"/>
      <c r="W168"/>
    </row>
    <row r="169" spans="22:23">
      <c r="V169"/>
      <c r="W169"/>
    </row>
    <row r="170" spans="22:23">
      <c r="V170"/>
      <c r="W170"/>
    </row>
    <row r="171" spans="22:23">
      <c r="V171"/>
      <c r="W171"/>
    </row>
    <row r="172" spans="22:23">
      <c r="V172"/>
      <c r="W172"/>
    </row>
    <row r="173" spans="22:23">
      <c r="V173"/>
      <c r="W173"/>
    </row>
    <row r="174" spans="22:23">
      <c r="V174"/>
      <c r="W174"/>
    </row>
    <row r="175" spans="22:23">
      <c r="V175"/>
      <c r="W175"/>
    </row>
    <row r="176" spans="22:23">
      <c r="V176"/>
      <c r="W176"/>
    </row>
    <row r="177" spans="22:23">
      <c r="V177"/>
      <c r="W177"/>
    </row>
    <row r="178" spans="22:23">
      <c r="V178"/>
      <c r="W178"/>
    </row>
    <row r="179" spans="22:23">
      <c r="V179"/>
      <c r="W179"/>
    </row>
    <row r="180" spans="22:23">
      <c r="V180"/>
      <c r="W180"/>
    </row>
    <row r="181" spans="22:23">
      <c r="V181"/>
      <c r="W181"/>
    </row>
    <row r="182" spans="22:23">
      <c r="V182"/>
      <c r="W182"/>
    </row>
    <row r="183" spans="22:23">
      <c r="V183"/>
      <c r="W183"/>
    </row>
    <row r="184" spans="22:23">
      <c r="V184"/>
      <c r="W184"/>
    </row>
    <row r="185" spans="22:23">
      <c r="V185"/>
      <c r="W185"/>
    </row>
    <row r="186" spans="22:23">
      <c r="V186"/>
      <c r="W186"/>
    </row>
    <row r="187" spans="22:23">
      <c r="V187"/>
      <c r="W187"/>
    </row>
    <row r="188" spans="22:23">
      <c r="V188"/>
      <c r="W188"/>
    </row>
    <row r="189" spans="22:23">
      <c r="V189"/>
      <c r="W189"/>
    </row>
    <row r="190" spans="22:23">
      <c r="V190"/>
      <c r="W190"/>
    </row>
    <row r="191" spans="22:23">
      <c r="V191"/>
      <c r="W191"/>
    </row>
    <row r="192" spans="22:23">
      <c r="V192"/>
      <c r="W192"/>
    </row>
    <row r="193" spans="22:23">
      <c r="V193"/>
      <c r="W193"/>
    </row>
    <row r="194" spans="22:23">
      <c r="V194"/>
      <c r="W194"/>
    </row>
    <row r="195" spans="22:23">
      <c r="V195"/>
      <c r="W195"/>
    </row>
    <row r="196" spans="22:23">
      <c r="V196"/>
      <c r="W196"/>
    </row>
    <row r="197" spans="22:23">
      <c r="V197"/>
      <c r="W197"/>
    </row>
    <row r="198" spans="22:23">
      <c r="V198"/>
      <c r="W198"/>
    </row>
    <row r="199" spans="22:23">
      <c r="V199"/>
      <c r="W199"/>
    </row>
    <row r="200" spans="22:23">
      <c r="V200"/>
      <c r="W200"/>
    </row>
    <row r="201" spans="22:23">
      <c r="V201"/>
      <c r="W201"/>
    </row>
    <row r="202" spans="22:23">
      <c r="V202"/>
      <c r="W202"/>
    </row>
    <row r="203" spans="22:23">
      <c r="V203"/>
      <c r="W203"/>
    </row>
    <row r="204" spans="22:23">
      <c r="V204"/>
      <c r="W204"/>
    </row>
    <row r="205" spans="22:23">
      <c r="V205"/>
      <c r="W205"/>
    </row>
    <row r="206" spans="22:23">
      <c r="V206"/>
      <c r="W206"/>
    </row>
    <row r="207" spans="22:23">
      <c r="V207"/>
      <c r="W207"/>
    </row>
    <row r="208" spans="22:23">
      <c r="V208"/>
      <c r="W208"/>
    </row>
    <row r="209" spans="22:23">
      <c r="V209"/>
      <c r="W209"/>
    </row>
    <row r="210" spans="22:23">
      <c r="V210"/>
      <c r="W210"/>
    </row>
    <row r="211" spans="22:23">
      <c r="V211"/>
      <c r="W211"/>
    </row>
    <row r="212" spans="22:23">
      <c r="V212"/>
      <c r="W212"/>
    </row>
    <row r="213" spans="22:23">
      <c r="V213"/>
      <c r="W213"/>
    </row>
    <row r="214" spans="22:23">
      <c r="V214"/>
      <c r="W214"/>
    </row>
    <row r="215" spans="22:23">
      <c r="V215"/>
      <c r="W215"/>
    </row>
    <row r="216" spans="22:23">
      <c r="V216"/>
      <c r="W216"/>
    </row>
    <row r="217" spans="22:23">
      <c r="V217"/>
      <c r="W217"/>
    </row>
    <row r="218" spans="22:23">
      <c r="V218"/>
      <c r="W218"/>
    </row>
    <row r="219" spans="22:23">
      <c r="V219"/>
      <c r="W219"/>
    </row>
    <row r="220" spans="22:23">
      <c r="V220"/>
      <c r="W220"/>
    </row>
    <row r="221" spans="22:23">
      <c r="V221"/>
      <c r="W221"/>
    </row>
    <row r="222" spans="22:23">
      <c r="V222"/>
      <c r="W222"/>
    </row>
    <row r="223" spans="22:23">
      <c r="V223"/>
      <c r="W223"/>
    </row>
    <row r="224" spans="22:23">
      <c r="V224"/>
      <c r="W224"/>
    </row>
    <row r="225" spans="22:23">
      <c r="V225"/>
      <c r="W225"/>
    </row>
    <row r="226" spans="22:23">
      <c r="V226"/>
      <c r="W226"/>
    </row>
    <row r="227" spans="22:23">
      <c r="V227"/>
      <c r="W227"/>
    </row>
    <row r="228" spans="22:23">
      <c r="V228"/>
      <c r="W228"/>
    </row>
    <row r="229" spans="22:23">
      <c r="V229"/>
      <c r="W229"/>
    </row>
    <row r="230" spans="22:23">
      <c r="V230"/>
      <c r="W230"/>
    </row>
    <row r="231" spans="22:23">
      <c r="V231"/>
      <c r="W231"/>
    </row>
    <row r="232" spans="22:23">
      <c r="V232"/>
      <c r="W232"/>
    </row>
    <row r="233" spans="22:23">
      <c r="V233"/>
      <c r="W233"/>
    </row>
    <row r="234" spans="22:23">
      <c r="V234"/>
      <c r="W234"/>
    </row>
    <row r="235" spans="22:23">
      <c r="V235"/>
      <c r="W235"/>
    </row>
    <row r="236" spans="22:23">
      <c r="V236"/>
      <c r="W236"/>
    </row>
    <row r="237" spans="22:23">
      <c r="V237"/>
      <c r="W237"/>
    </row>
    <row r="238" spans="22:23">
      <c r="V238"/>
      <c r="W238"/>
    </row>
    <row r="239" spans="22:23">
      <c r="V239"/>
      <c r="W239"/>
    </row>
    <row r="240" spans="22:23">
      <c r="V240"/>
      <c r="W240"/>
    </row>
    <row r="241" spans="22:23">
      <c r="V241"/>
      <c r="W241"/>
    </row>
    <row r="242" spans="22:23">
      <c r="V242"/>
      <c r="W242"/>
    </row>
    <row r="243" spans="22:23">
      <c r="V243"/>
      <c r="W243"/>
    </row>
    <row r="244" spans="22:23">
      <c r="V244"/>
      <c r="W244"/>
    </row>
    <row r="245" spans="22:23">
      <c r="V245"/>
      <c r="W245"/>
    </row>
    <row r="246" spans="22:23">
      <c r="V246"/>
      <c r="W246"/>
    </row>
    <row r="247" spans="22:23">
      <c r="V247"/>
      <c r="W247"/>
    </row>
    <row r="248" spans="22:23">
      <c r="V248"/>
      <c r="W248"/>
    </row>
    <row r="249" spans="22:23">
      <c r="V249"/>
      <c r="W249"/>
    </row>
    <row r="250" spans="22:23">
      <c r="V250"/>
      <c r="W250"/>
    </row>
    <row r="251" spans="22:23">
      <c r="V251"/>
      <c r="W251"/>
    </row>
    <row r="252" spans="22:23">
      <c r="V252"/>
      <c r="W252"/>
    </row>
    <row r="253" spans="22:23">
      <c r="V253"/>
      <c r="W253"/>
    </row>
    <row r="254" spans="22:23">
      <c r="V254"/>
      <c r="W254"/>
    </row>
    <row r="255" spans="22:23">
      <c r="V255"/>
      <c r="W255"/>
    </row>
    <row r="256" spans="22:23">
      <c r="V256"/>
      <c r="W256"/>
    </row>
    <row r="257" spans="22:23">
      <c r="V257"/>
      <c r="W257"/>
    </row>
    <row r="258" spans="22:23">
      <c r="V258"/>
      <c r="W258"/>
    </row>
    <row r="259" spans="22:23">
      <c r="V259"/>
      <c r="W259"/>
    </row>
    <row r="260" spans="22:23">
      <c r="V260"/>
      <c r="W260"/>
    </row>
    <row r="261" spans="22:23">
      <c r="V261"/>
      <c r="W261"/>
    </row>
    <row r="262" spans="22:23">
      <c r="V262"/>
      <c r="W262"/>
    </row>
    <row r="263" spans="22:23">
      <c r="V263"/>
      <c r="W263"/>
    </row>
    <row r="264" spans="22:23">
      <c r="V264"/>
      <c r="W264"/>
    </row>
    <row r="265" spans="22:23">
      <c r="V265"/>
      <c r="W265"/>
    </row>
    <row r="266" spans="22:23">
      <c r="V266"/>
      <c r="W266"/>
    </row>
    <row r="267" spans="22:23">
      <c r="V267"/>
      <c r="W267"/>
    </row>
    <row r="268" spans="22:23">
      <c r="V268"/>
      <c r="W268"/>
    </row>
    <row r="269" spans="22:23">
      <c r="V269"/>
      <c r="W269"/>
    </row>
    <row r="270" spans="22:23">
      <c r="V270"/>
      <c r="W270"/>
    </row>
    <row r="271" spans="22:23">
      <c r="V271"/>
      <c r="W271"/>
    </row>
    <row r="272" spans="22:23">
      <c r="V272"/>
      <c r="W272"/>
    </row>
    <row r="273" spans="22:23">
      <c r="V273"/>
      <c r="W273"/>
    </row>
    <row r="274" spans="22:23">
      <c r="V274"/>
      <c r="W274"/>
    </row>
    <row r="275" spans="22:23">
      <c r="V275"/>
      <c r="W275"/>
    </row>
    <row r="276" spans="22:23">
      <c r="V276"/>
      <c r="W276"/>
    </row>
    <row r="277" spans="22:23">
      <c r="V277"/>
      <c r="W277"/>
    </row>
    <row r="278" spans="22:23">
      <c r="V278"/>
      <c r="W278"/>
    </row>
    <row r="279" spans="22:23">
      <c r="V279"/>
      <c r="W279"/>
    </row>
    <row r="280" spans="22:23">
      <c r="V280"/>
      <c r="W280"/>
    </row>
    <row r="281" spans="22:23">
      <c r="V281"/>
      <c r="W281"/>
    </row>
    <row r="282" spans="22:23">
      <c r="V282"/>
      <c r="W282"/>
    </row>
    <row r="283" spans="22:23">
      <c r="V283"/>
      <c r="W283"/>
    </row>
    <row r="284" spans="22:23">
      <c r="V284"/>
      <c r="W284"/>
    </row>
    <row r="285" spans="22:23">
      <c r="V285"/>
      <c r="W285"/>
    </row>
    <row r="286" spans="22:23">
      <c r="V286"/>
      <c r="W286"/>
    </row>
    <row r="287" spans="22:23">
      <c r="V287"/>
      <c r="W287"/>
    </row>
    <row r="288" spans="22:23">
      <c r="V288"/>
      <c r="W288"/>
    </row>
    <row r="289" spans="22:23">
      <c r="V289"/>
      <c r="W289"/>
    </row>
    <row r="290" spans="22:23">
      <c r="V290"/>
      <c r="W290"/>
    </row>
    <row r="291" spans="22:23">
      <c r="V291"/>
      <c r="W291"/>
    </row>
    <row r="292" spans="22:23">
      <c r="V292"/>
      <c r="W292"/>
    </row>
    <row r="293" spans="22:23">
      <c r="V293"/>
      <c r="W293"/>
    </row>
    <row r="294" spans="22:23">
      <c r="V294"/>
      <c r="W294"/>
    </row>
    <row r="295" spans="22:23">
      <c r="V295"/>
      <c r="W295"/>
    </row>
    <row r="296" spans="22:23">
      <c r="V296"/>
      <c r="W296"/>
    </row>
    <row r="297" spans="22:23">
      <c r="V297"/>
      <c r="W297"/>
    </row>
    <row r="298" spans="22:23">
      <c r="V298"/>
      <c r="W298"/>
    </row>
    <row r="299" spans="22:23">
      <c r="V299"/>
      <c r="W299"/>
    </row>
    <row r="300" spans="22:23">
      <c r="V300"/>
      <c r="W300"/>
    </row>
    <row r="301" spans="22:23">
      <c r="V301"/>
      <c r="W301"/>
    </row>
    <row r="302" spans="22:23">
      <c r="V302"/>
      <c r="W302"/>
    </row>
    <row r="303" spans="22:23">
      <c r="V303"/>
      <c r="W303"/>
    </row>
    <row r="304" spans="22:23">
      <c r="V304"/>
      <c r="W304"/>
    </row>
    <row r="305" spans="22:23">
      <c r="V305"/>
      <c r="W305"/>
    </row>
    <row r="306" spans="22:23">
      <c r="V306"/>
      <c r="W306"/>
    </row>
    <row r="307" spans="22:23">
      <c r="V307"/>
      <c r="W307"/>
    </row>
    <row r="308" spans="22:23">
      <c r="V308"/>
      <c r="W308"/>
    </row>
    <row r="309" spans="22:23">
      <c r="V309"/>
      <c r="W309"/>
    </row>
    <row r="310" spans="22:23">
      <c r="V310"/>
      <c r="W310"/>
    </row>
    <row r="311" spans="22:23">
      <c r="V311"/>
      <c r="W311"/>
    </row>
    <row r="312" spans="22:23">
      <c r="V312"/>
      <c r="W312"/>
    </row>
    <row r="313" spans="22:23">
      <c r="V313"/>
      <c r="W313"/>
    </row>
    <row r="314" spans="22:23">
      <c r="V314"/>
      <c r="W314"/>
    </row>
    <row r="315" spans="22:23">
      <c r="V315"/>
      <c r="W315"/>
    </row>
    <row r="316" spans="22:23">
      <c r="V316"/>
      <c r="W316"/>
    </row>
    <row r="317" spans="22:23">
      <c r="V317"/>
      <c r="W317"/>
    </row>
    <row r="318" spans="22:23">
      <c r="V318"/>
      <c r="W318"/>
    </row>
    <row r="319" spans="22:23">
      <c r="V319"/>
      <c r="W319"/>
    </row>
    <row r="320" spans="22:23">
      <c r="V320"/>
      <c r="W320"/>
    </row>
    <row r="321" spans="22:23">
      <c r="V321"/>
      <c r="W321"/>
    </row>
    <row r="322" spans="22:23">
      <c r="V322"/>
      <c r="W322"/>
    </row>
    <row r="323" spans="22:23">
      <c r="V323"/>
      <c r="W323"/>
    </row>
    <row r="324" spans="22:23">
      <c r="V324"/>
      <c r="W324"/>
    </row>
    <row r="325" spans="22:23">
      <c r="V325"/>
      <c r="W325"/>
    </row>
    <row r="326" spans="22:23">
      <c r="V326"/>
      <c r="W326"/>
    </row>
    <row r="327" spans="22:23">
      <c r="V327"/>
      <c r="W327"/>
    </row>
    <row r="328" spans="22:23">
      <c r="V328"/>
      <c r="W328"/>
    </row>
    <row r="329" spans="22:23">
      <c r="V329"/>
      <c r="W329"/>
    </row>
    <row r="330" spans="22:23">
      <c r="V330"/>
      <c r="W330"/>
    </row>
    <row r="331" spans="22:23">
      <c r="V331"/>
      <c r="W331"/>
    </row>
    <row r="332" spans="22:23">
      <c r="V332"/>
      <c r="W332"/>
    </row>
    <row r="333" spans="22:23">
      <c r="V333"/>
      <c r="W333"/>
    </row>
    <row r="334" spans="22:23">
      <c r="V334"/>
      <c r="W334"/>
    </row>
    <row r="335" spans="22:23">
      <c r="V335"/>
      <c r="W335"/>
    </row>
    <row r="336" spans="22:23">
      <c r="V336"/>
      <c r="W336"/>
    </row>
    <row r="337" spans="22:23">
      <c r="V337"/>
      <c r="W337"/>
    </row>
    <row r="338" spans="22:23">
      <c r="V338"/>
      <c r="W338"/>
    </row>
    <row r="339" spans="22:23">
      <c r="V339"/>
      <c r="W339"/>
    </row>
    <row r="340" spans="22:23">
      <c r="V340"/>
      <c r="W340"/>
    </row>
    <row r="341" spans="22:23">
      <c r="V341"/>
      <c r="W341"/>
    </row>
    <row r="342" spans="22:23">
      <c r="V342"/>
      <c r="W342"/>
    </row>
    <row r="343" spans="22:23">
      <c r="V343"/>
      <c r="W343"/>
    </row>
    <row r="344" spans="22:23">
      <c r="V344"/>
      <c r="W344"/>
    </row>
    <row r="345" spans="22:23">
      <c r="V345"/>
      <c r="W345"/>
    </row>
    <row r="346" spans="22:23">
      <c r="V346"/>
      <c r="W346"/>
    </row>
    <row r="347" spans="22:23">
      <c r="V347"/>
      <c r="W347"/>
    </row>
    <row r="348" spans="22:23">
      <c r="V348"/>
      <c r="W348"/>
    </row>
    <row r="349" spans="22:23">
      <c r="V349"/>
      <c r="W349"/>
    </row>
    <row r="350" spans="22:23">
      <c r="V350"/>
      <c r="W350"/>
    </row>
    <row r="351" spans="22:23">
      <c r="V351"/>
      <c r="W351"/>
    </row>
    <row r="352" spans="22:23">
      <c r="V352"/>
      <c r="W352"/>
    </row>
    <row r="353" spans="22:23">
      <c r="V353"/>
      <c r="W353"/>
    </row>
    <row r="354" spans="22:23">
      <c r="V354"/>
      <c r="W354"/>
    </row>
    <row r="355" spans="22:23">
      <c r="V355"/>
      <c r="W355"/>
    </row>
    <row r="356" spans="22:23">
      <c r="V356"/>
      <c r="W356"/>
    </row>
    <row r="357" spans="22:23">
      <c r="V357"/>
      <c r="W357"/>
    </row>
    <row r="358" spans="22:23">
      <c r="V358"/>
      <c r="W358"/>
    </row>
    <row r="359" spans="22:23">
      <c r="V359"/>
      <c r="W359"/>
    </row>
    <row r="360" spans="22:23">
      <c r="V360"/>
      <c r="W360"/>
    </row>
    <row r="361" spans="22:23">
      <c r="V361"/>
      <c r="W361"/>
    </row>
    <row r="362" spans="22:23">
      <c r="V362"/>
      <c r="W362"/>
    </row>
    <row r="363" spans="22:23">
      <c r="V363"/>
      <c r="W363"/>
    </row>
    <row r="364" spans="22:23">
      <c r="V364"/>
      <c r="W364"/>
    </row>
    <row r="365" spans="22:23">
      <c r="V365"/>
      <c r="W365"/>
    </row>
    <row r="366" spans="22:23">
      <c r="V366"/>
      <c r="W366"/>
    </row>
    <row r="367" spans="22:23">
      <c r="V367"/>
      <c r="W367"/>
    </row>
    <row r="368" spans="22:23">
      <c r="V368"/>
      <c r="W368"/>
    </row>
    <row r="369" spans="22:23">
      <c r="V369"/>
      <c r="W369"/>
    </row>
    <row r="370" spans="22:23">
      <c r="V370"/>
      <c r="W370"/>
    </row>
    <row r="371" spans="22:23">
      <c r="V371"/>
      <c r="W371"/>
    </row>
    <row r="372" spans="22:23">
      <c r="V372"/>
      <c r="W372"/>
    </row>
    <row r="373" spans="22:23">
      <c r="V373"/>
      <c r="W373"/>
    </row>
    <row r="374" spans="22:23">
      <c r="V374"/>
      <c r="W374"/>
    </row>
    <row r="375" spans="22:23">
      <c r="V375"/>
      <c r="W375"/>
    </row>
    <row r="376" spans="22:23">
      <c r="V376"/>
      <c r="W376"/>
    </row>
    <row r="377" spans="22:23">
      <c r="V377"/>
      <c r="W377"/>
    </row>
    <row r="378" spans="22:23">
      <c r="V378"/>
      <c r="W378"/>
    </row>
    <row r="379" spans="22:23">
      <c r="V379"/>
      <c r="W379"/>
    </row>
    <row r="380" spans="22:23">
      <c r="V380"/>
      <c r="W380"/>
    </row>
    <row r="381" spans="22:23">
      <c r="V381"/>
      <c r="W381"/>
    </row>
    <row r="382" spans="22:23">
      <c r="V382"/>
      <c r="W382"/>
    </row>
    <row r="383" spans="22:23">
      <c r="V383"/>
      <c r="W383"/>
    </row>
    <row r="384" spans="22:23">
      <c r="V384"/>
      <c r="W384"/>
    </row>
    <row r="385" spans="22:23">
      <c r="V385"/>
      <c r="W385"/>
    </row>
    <row r="386" spans="22:23">
      <c r="V386"/>
      <c r="W386"/>
    </row>
    <row r="387" spans="22:23">
      <c r="V387"/>
      <c r="W387"/>
    </row>
    <row r="388" spans="22:23">
      <c r="V388"/>
      <c r="W388"/>
    </row>
    <row r="389" spans="22:23">
      <c r="V389"/>
      <c r="W389"/>
    </row>
    <row r="390" spans="22:23">
      <c r="V390"/>
      <c r="W390"/>
    </row>
    <row r="391" spans="22:23">
      <c r="V391"/>
      <c r="W391"/>
    </row>
    <row r="392" spans="22:23">
      <c r="V392"/>
      <c r="W392"/>
    </row>
    <row r="393" spans="22:23">
      <c r="V393"/>
      <c r="W393"/>
    </row>
    <row r="394" spans="22:23">
      <c r="V394"/>
      <c r="W394"/>
    </row>
    <row r="395" spans="22:23">
      <c r="V395"/>
      <c r="W395"/>
    </row>
    <row r="396" spans="22:23">
      <c r="V396"/>
      <c r="W396"/>
    </row>
    <row r="397" spans="22:23">
      <c r="V397"/>
      <c r="W397"/>
    </row>
    <row r="398" spans="22:23">
      <c r="V398"/>
      <c r="W398"/>
    </row>
    <row r="399" spans="22:23">
      <c r="V399"/>
      <c r="W399"/>
    </row>
    <row r="400" spans="22:23">
      <c r="V400"/>
      <c r="W400"/>
    </row>
    <row r="401" spans="22:23">
      <c r="V401"/>
      <c r="W401"/>
    </row>
    <row r="402" spans="22:23">
      <c r="V402"/>
      <c r="W402"/>
    </row>
    <row r="403" spans="22:23">
      <c r="V403"/>
      <c r="W403"/>
    </row>
    <row r="404" spans="22:23">
      <c r="V404"/>
      <c r="W404"/>
    </row>
    <row r="405" spans="22:23">
      <c r="V405"/>
      <c r="W405"/>
    </row>
    <row r="406" spans="22:23">
      <c r="V406"/>
      <c r="W406"/>
    </row>
    <row r="407" spans="22:23">
      <c r="V407"/>
      <c r="W407"/>
    </row>
    <row r="408" spans="22:23">
      <c r="V408"/>
      <c r="W408"/>
    </row>
    <row r="409" spans="22:23">
      <c r="V409"/>
      <c r="W409"/>
    </row>
    <row r="410" spans="22:23">
      <c r="V410"/>
      <c r="W410"/>
    </row>
    <row r="411" spans="22:23">
      <c r="V411"/>
      <c r="W411"/>
    </row>
    <row r="412" spans="22:23">
      <c r="V412"/>
      <c r="W412"/>
    </row>
    <row r="413" spans="22:23">
      <c r="V413"/>
      <c r="W413"/>
    </row>
    <row r="414" spans="22:23">
      <c r="V414"/>
      <c r="W414"/>
    </row>
    <row r="415" spans="22:23">
      <c r="V415"/>
      <c r="W415"/>
    </row>
    <row r="416" spans="22:23">
      <c r="V416"/>
      <c r="W416"/>
    </row>
    <row r="417" spans="22:23">
      <c r="V417"/>
      <c r="W417"/>
    </row>
    <row r="418" spans="22:23">
      <c r="V418"/>
      <c r="W418"/>
    </row>
    <row r="419" spans="22:23">
      <c r="V419"/>
      <c r="W419"/>
    </row>
    <row r="420" spans="22:23">
      <c r="V420"/>
      <c r="W420"/>
    </row>
    <row r="421" spans="22:23">
      <c r="V421"/>
      <c r="W421"/>
    </row>
    <row r="422" spans="22:23">
      <c r="V422"/>
      <c r="W422"/>
    </row>
    <row r="423" spans="22:23">
      <c r="V423"/>
      <c r="W423"/>
    </row>
    <row r="424" spans="22:23">
      <c r="V424"/>
      <c r="W424"/>
    </row>
    <row r="425" spans="22:23">
      <c r="V425"/>
      <c r="W425"/>
    </row>
    <row r="426" spans="22:23">
      <c r="V426"/>
      <c r="W426"/>
    </row>
    <row r="427" spans="22:23">
      <c r="V427"/>
      <c r="W427"/>
    </row>
    <row r="428" spans="22:23">
      <c r="V428"/>
      <c r="W428"/>
    </row>
    <row r="429" spans="22:23">
      <c r="V429"/>
      <c r="W429"/>
    </row>
    <row r="430" spans="22:23">
      <c r="V430"/>
      <c r="W430"/>
    </row>
    <row r="431" spans="22:23">
      <c r="V431"/>
      <c r="W431"/>
    </row>
    <row r="432" spans="22:23">
      <c r="V432"/>
      <c r="W432"/>
    </row>
    <row r="433" spans="22:23">
      <c r="V433"/>
      <c r="W433"/>
    </row>
    <row r="434" spans="22:23">
      <c r="V434"/>
      <c r="W434"/>
    </row>
    <row r="435" spans="22:23">
      <c r="V435"/>
      <c r="W435"/>
    </row>
    <row r="436" spans="22:23">
      <c r="V436"/>
      <c r="W436"/>
    </row>
    <row r="437" spans="22:23">
      <c r="V437"/>
      <c r="W437"/>
    </row>
    <row r="438" spans="22:23">
      <c r="V438"/>
      <c r="W438"/>
    </row>
    <row r="439" spans="22:23">
      <c r="V439"/>
      <c r="W439"/>
    </row>
    <row r="440" spans="22:23">
      <c r="V440"/>
      <c r="W440"/>
    </row>
    <row r="441" spans="22:23">
      <c r="V441"/>
      <c r="W441"/>
    </row>
    <row r="442" spans="22:23">
      <c r="V442"/>
      <c r="W442"/>
    </row>
    <row r="443" spans="22:23">
      <c r="V443"/>
      <c r="W443"/>
    </row>
    <row r="444" spans="22:23">
      <c r="V444"/>
      <c r="W444"/>
    </row>
    <row r="445" spans="22:23">
      <c r="V445"/>
      <c r="W445"/>
    </row>
    <row r="446" spans="22:23">
      <c r="V446"/>
      <c r="W446"/>
    </row>
    <row r="447" spans="22:23">
      <c r="V447"/>
      <c r="W447"/>
    </row>
    <row r="448" spans="22:23">
      <c r="V448"/>
      <c r="W448"/>
    </row>
    <row r="449" spans="22:23">
      <c r="V449"/>
      <c r="W449"/>
    </row>
    <row r="450" spans="22:23">
      <c r="V450"/>
      <c r="W450"/>
    </row>
    <row r="451" spans="22:23">
      <c r="V451"/>
      <c r="W451"/>
    </row>
    <row r="452" spans="22:23">
      <c r="V452"/>
      <c r="W452"/>
    </row>
    <row r="453" spans="22:23">
      <c r="V453"/>
      <c r="W453"/>
    </row>
    <row r="454" spans="22:23">
      <c r="V454"/>
      <c r="W454"/>
    </row>
    <row r="455" spans="22:23">
      <c r="V455"/>
      <c r="W455"/>
    </row>
    <row r="456" spans="22:23">
      <c r="V456"/>
      <c r="W456"/>
    </row>
    <row r="457" spans="22:23">
      <c r="V457"/>
      <c r="W457"/>
    </row>
    <row r="458" spans="22:23">
      <c r="V458"/>
      <c r="W458"/>
    </row>
    <row r="459" spans="22:23">
      <c r="V459"/>
      <c r="W459"/>
    </row>
    <row r="460" spans="22:23">
      <c r="V460"/>
      <c r="W460"/>
    </row>
    <row r="461" spans="22:23">
      <c r="V461"/>
      <c r="W461"/>
    </row>
    <row r="462" spans="22:23">
      <c r="V462"/>
      <c r="W462"/>
    </row>
    <row r="463" spans="22:23">
      <c r="V463"/>
      <c r="W463"/>
    </row>
    <row r="464" spans="22:23">
      <c r="V464"/>
      <c r="W464"/>
    </row>
    <row r="465" spans="22:23">
      <c r="V465"/>
      <c r="W465"/>
    </row>
    <row r="466" spans="22:23">
      <c r="V466"/>
      <c r="W466"/>
    </row>
    <row r="467" spans="22:23">
      <c r="V467"/>
      <c r="W467"/>
    </row>
    <row r="468" spans="22:23">
      <c r="V468"/>
      <c r="W468"/>
    </row>
    <row r="469" spans="22:23">
      <c r="V469"/>
      <c r="W469"/>
    </row>
    <row r="470" spans="22:23">
      <c r="V470"/>
      <c r="W470"/>
    </row>
    <row r="471" spans="22:23">
      <c r="V471"/>
      <c r="W471"/>
    </row>
    <row r="472" spans="22:23">
      <c r="V472"/>
      <c r="W472"/>
    </row>
    <row r="473" spans="22:23">
      <c r="V473"/>
      <c r="W473"/>
    </row>
    <row r="474" spans="22:23">
      <c r="V474"/>
      <c r="W474"/>
    </row>
    <row r="475" spans="22:23">
      <c r="V475"/>
      <c r="W475"/>
    </row>
    <row r="476" spans="22:23">
      <c r="V476"/>
      <c r="W476"/>
    </row>
    <row r="477" spans="22:23">
      <c r="V477"/>
      <c r="W477"/>
    </row>
    <row r="478" spans="22:23">
      <c r="V478"/>
      <c r="W478"/>
    </row>
    <row r="479" spans="22:23">
      <c r="V479"/>
      <c r="W479"/>
    </row>
    <row r="480" spans="22:23">
      <c r="V480"/>
      <c r="W480"/>
    </row>
    <row r="481" spans="22:23">
      <c r="V481"/>
      <c r="W481"/>
    </row>
    <row r="482" spans="22:23">
      <c r="V482"/>
      <c r="W482"/>
    </row>
    <row r="483" spans="22:23">
      <c r="V483"/>
      <c r="W483"/>
    </row>
    <row r="484" spans="22:23">
      <c r="V484"/>
      <c r="W484"/>
    </row>
    <row r="485" spans="22:23">
      <c r="V485"/>
      <c r="W485"/>
    </row>
    <row r="486" spans="22:23">
      <c r="V486"/>
      <c r="W486"/>
    </row>
    <row r="487" spans="22:23">
      <c r="V487"/>
      <c r="W487"/>
    </row>
    <row r="488" spans="22:23">
      <c r="V488"/>
      <c r="W488"/>
    </row>
    <row r="489" spans="22:23">
      <c r="V489"/>
      <c r="W489"/>
    </row>
    <row r="490" spans="22:23">
      <c r="V490"/>
      <c r="W490"/>
    </row>
    <row r="491" spans="22:23">
      <c r="V491"/>
      <c r="W491"/>
    </row>
    <row r="492" spans="22:23">
      <c r="V492"/>
      <c r="W492"/>
    </row>
    <row r="493" spans="22:23">
      <c r="V493"/>
      <c r="W493"/>
    </row>
    <row r="494" spans="22:23">
      <c r="V494"/>
      <c r="W494"/>
    </row>
    <row r="495" spans="22:23">
      <c r="V495"/>
      <c r="W495"/>
    </row>
    <row r="496" spans="22:23">
      <c r="V496"/>
      <c r="W496"/>
    </row>
    <row r="497" spans="22:23">
      <c r="V497"/>
      <c r="W497"/>
    </row>
    <row r="498" spans="22:23">
      <c r="V498"/>
      <c r="W498"/>
    </row>
    <row r="499" spans="22:23">
      <c r="V499"/>
      <c r="W499"/>
    </row>
    <row r="500" spans="22:23">
      <c r="V500"/>
      <c r="W500"/>
    </row>
    <row r="501" spans="22:23">
      <c r="V501"/>
      <c r="W501"/>
    </row>
    <row r="502" spans="22:23">
      <c r="V502"/>
      <c r="W502"/>
    </row>
    <row r="503" spans="22:23">
      <c r="V503"/>
      <c r="W503"/>
    </row>
    <row r="504" spans="22:23">
      <c r="V504"/>
      <c r="W504"/>
    </row>
    <row r="505" spans="22:23">
      <c r="V505"/>
      <c r="W505"/>
    </row>
    <row r="506" spans="22:23">
      <c r="V506"/>
      <c r="W506"/>
    </row>
    <row r="507" spans="22:23">
      <c r="V507"/>
      <c r="W507"/>
    </row>
    <row r="508" spans="22:23">
      <c r="V508"/>
      <c r="W508"/>
    </row>
    <row r="509" spans="22:23">
      <c r="V509"/>
      <c r="W509"/>
    </row>
    <row r="510" spans="22:23">
      <c r="V510"/>
      <c r="W510"/>
    </row>
    <row r="511" spans="22:23">
      <c r="V511"/>
      <c r="W511"/>
    </row>
    <row r="512" spans="22:23">
      <c r="V512"/>
      <c r="W512"/>
    </row>
    <row r="513" spans="22:23">
      <c r="V513"/>
      <c r="W513"/>
    </row>
    <row r="514" spans="22:23">
      <c r="V514"/>
      <c r="W514"/>
    </row>
    <row r="515" spans="22:23">
      <c r="V515"/>
      <c r="W515"/>
    </row>
    <row r="516" spans="22:23">
      <c r="V516"/>
      <c r="W516"/>
    </row>
    <row r="517" spans="22:23">
      <c r="V517"/>
      <c r="W517"/>
    </row>
    <row r="518" spans="22:23">
      <c r="V518"/>
      <c r="W518"/>
    </row>
    <row r="519" spans="22:23">
      <c r="V519"/>
      <c r="W519"/>
    </row>
    <row r="520" spans="22:23">
      <c r="V520"/>
      <c r="W520"/>
    </row>
    <row r="521" spans="22:23">
      <c r="V521"/>
      <c r="W521"/>
    </row>
    <row r="522" spans="22:23">
      <c r="V522"/>
      <c r="W522"/>
    </row>
    <row r="523" spans="22:23">
      <c r="V523"/>
      <c r="W523"/>
    </row>
    <row r="524" spans="22:23">
      <c r="V524"/>
      <c r="W524"/>
    </row>
    <row r="525" spans="22:23">
      <c r="V525"/>
      <c r="W525"/>
    </row>
    <row r="526" spans="22:23">
      <c r="V526"/>
      <c r="W526"/>
    </row>
    <row r="527" spans="22:23">
      <c r="V527"/>
      <c r="W527"/>
    </row>
    <row r="528" spans="22:23">
      <c r="V528"/>
      <c r="W528"/>
    </row>
    <row r="529" spans="22:23">
      <c r="V529"/>
      <c r="W529"/>
    </row>
    <row r="530" spans="22:23">
      <c r="V530"/>
      <c r="W530"/>
    </row>
    <row r="531" spans="22:23">
      <c r="V531"/>
      <c r="W531"/>
    </row>
    <row r="532" spans="22:23">
      <c r="V532"/>
      <c r="W532"/>
    </row>
    <row r="533" spans="22:23">
      <c r="V533"/>
      <c r="W533"/>
    </row>
    <row r="534" spans="22:23">
      <c r="V534"/>
      <c r="W534"/>
    </row>
    <row r="535" spans="22:23">
      <c r="V535"/>
      <c r="W535"/>
    </row>
    <row r="536" spans="22:23">
      <c r="V536"/>
      <c r="W536"/>
    </row>
    <row r="537" spans="22:23">
      <c r="V537"/>
      <c r="W537"/>
    </row>
    <row r="538" spans="22:23">
      <c r="V538"/>
      <c r="W538"/>
    </row>
    <row r="539" spans="22:23">
      <c r="V539"/>
      <c r="W539"/>
    </row>
    <row r="540" spans="22:23">
      <c r="V540"/>
      <c r="W540"/>
    </row>
    <row r="541" spans="22:23">
      <c r="V541"/>
      <c r="W541"/>
    </row>
    <row r="542" spans="22:23">
      <c r="V542"/>
      <c r="W542"/>
    </row>
    <row r="543" spans="22:23">
      <c r="V543"/>
      <c r="W543"/>
    </row>
    <row r="544" spans="22:23">
      <c r="V544"/>
      <c r="W544"/>
    </row>
    <row r="545" spans="22:23">
      <c r="V545"/>
      <c r="W545"/>
    </row>
    <row r="546" spans="22:23">
      <c r="V546"/>
      <c r="W546"/>
    </row>
    <row r="547" spans="22:23">
      <c r="V547"/>
      <c r="W547"/>
    </row>
    <row r="548" spans="22:23">
      <c r="V548"/>
      <c r="W548"/>
    </row>
    <row r="549" spans="22:23">
      <c r="V549"/>
      <c r="W549"/>
    </row>
    <row r="550" spans="22:23">
      <c r="V550"/>
      <c r="W550"/>
    </row>
    <row r="551" spans="22:23">
      <c r="V551"/>
      <c r="W551"/>
    </row>
    <row r="552" spans="22:23">
      <c r="V552"/>
      <c r="W552"/>
    </row>
    <row r="553" spans="22:23">
      <c r="V553"/>
      <c r="W553"/>
    </row>
    <row r="554" spans="22:23">
      <c r="V554"/>
      <c r="W554"/>
    </row>
    <row r="555" spans="22:23">
      <c r="V555"/>
      <c r="W555"/>
    </row>
    <row r="556" spans="22:23">
      <c r="V556"/>
      <c r="W556"/>
    </row>
    <row r="557" spans="22:23">
      <c r="V557"/>
      <c r="W557"/>
    </row>
    <row r="558" spans="22:23">
      <c r="V558"/>
      <c r="W558"/>
    </row>
    <row r="559" spans="22:23">
      <c r="V559"/>
      <c r="W559"/>
    </row>
    <row r="560" spans="22:23">
      <c r="V560"/>
      <c r="W560"/>
    </row>
    <row r="561" spans="22:23">
      <c r="V561"/>
      <c r="W561"/>
    </row>
    <row r="562" spans="22:23">
      <c r="V562"/>
      <c r="W562"/>
    </row>
    <row r="563" spans="22:23">
      <c r="V563"/>
      <c r="W563"/>
    </row>
    <row r="564" spans="22:23">
      <c r="V564"/>
      <c r="W564"/>
    </row>
    <row r="565" spans="22:23">
      <c r="V565"/>
      <c r="W565"/>
    </row>
    <row r="566" spans="22:23">
      <c r="V566"/>
      <c r="W566"/>
    </row>
    <row r="567" spans="22:23">
      <c r="V567"/>
      <c r="W567"/>
    </row>
    <row r="568" spans="22:23">
      <c r="V568"/>
      <c r="W568"/>
    </row>
    <row r="569" spans="22:23">
      <c r="V569"/>
      <c r="W569"/>
    </row>
    <row r="570" spans="22:23">
      <c r="V570"/>
      <c r="W570"/>
    </row>
    <row r="571" spans="22:23">
      <c r="V571"/>
      <c r="W571"/>
    </row>
    <row r="572" spans="22:23">
      <c r="V572"/>
      <c r="W572"/>
    </row>
    <row r="573" spans="22:23">
      <c r="V573"/>
      <c r="W573"/>
    </row>
    <row r="574" spans="22:23">
      <c r="V574"/>
      <c r="W574"/>
    </row>
    <row r="575" spans="22:23">
      <c r="V575"/>
      <c r="W575"/>
    </row>
    <row r="576" spans="22:23">
      <c r="V576"/>
      <c r="W576"/>
    </row>
    <row r="577" spans="22:23">
      <c r="V577"/>
      <c r="W577"/>
    </row>
    <row r="578" spans="22:23">
      <c r="V578"/>
      <c r="W578"/>
    </row>
    <row r="579" spans="22:23">
      <c r="V579"/>
      <c r="W579"/>
    </row>
    <row r="580" spans="22:23">
      <c r="V580"/>
      <c r="W580"/>
    </row>
    <row r="581" spans="22:23">
      <c r="V581"/>
      <c r="W581"/>
    </row>
    <row r="582" spans="22:23">
      <c r="V582"/>
      <c r="W582"/>
    </row>
    <row r="583" spans="22:23">
      <c r="V583"/>
      <c r="W583"/>
    </row>
    <row r="584" spans="22:23">
      <c r="V584"/>
      <c r="W584"/>
    </row>
    <row r="585" spans="22:23">
      <c r="V585"/>
      <c r="W585"/>
    </row>
    <row r="586" spans="22:23">
      <c r="V586"/>
      <c r="W586"/>
    </row>
    <row r="587" spans="22:23">
      <c r="V587"/>
      <c r="W587"/>
    </row>
    <row r="588" spans="22:23">
      <c r="V588"/>
      <c r="W588"/>
    </row>
    <row r="589" spans="22:23">
      <c r="V589"/>
      <c r="W589"/>
    </row>
    <row r="590" spans="22:23">
      <c r="V590"/>
      <c r="W590"/>
    </row>
    <row r="591" spans="22:23">
      <c r="V591"/>
      <c r="W591"/>
    </row>
    <row r="592" spans="22:23">
      <c r="V592"/>
      <c r="W592"/>
    </row>
    <row r="593" spans="22:23">
      <c r="V593"/>
      <c r="W593"/>
    </row>
    <row r="594" spans="22:23">
      <c r="V594"/>
      <c r="W594"/>
    </row>
    <row r="595" spans="22:23">
      <c r="V595"/>
      <c r="W595"/>
    </row>
    <row r="596" spans="22:23">
      <c r="V596"/>
      <c r="W596"/>
    </row>
    <row r="597" spans="22:23">
      <c r="V597"/>
      <c r="W597"/>
    </row>
    <row r="598" spans="22:23">
      <c r="V598"/>
      <c r="W598"/>
    </row>
    <row r="599" spans="22:23">
      <c r="V599"/>
      <c r="W599"/>
    </row>
    <row r="600" spans="22:23">
      <c r="V600"/>
      <c r="W600"/>
    </row>
    <row r="601" spans="22:23">
      <c r="V601"/>
      <c r="W601"/>
    </row>
    <row r="602" spans="22:23">
      <c r="V602"/>
      <c r="W602"/>
    </row>
    <row r="603" spans="22:23">
      <c r="V603"/>
      <c r="W603"/>
    </row>
    <row r="604" spans="22:23">
      <c r="V604"/>
      <c r="W604"/>
    </row>
    <row r="605" spans="22:23">
      <c r="V605"/>
      <c r="W605"/>
    </row>
    <row r="606" spans="22:23">
      <c r="V606"/>
      <c r="W606"/>
    </row>
    <row r="607" spans="22:23">
      <c r="V607"/>
      <c r="W607"/>
    </row>
    <row r="608" spans="22:23">
      <c r="V608"/>
      <c r="W608"/>
    </row>
    <row r="609" spans="22:23">
      <c r="V609"/>
      <c r="W609"/>
    </row>
    <row r="610" spans="22:23">
      <c r="V610"/>
      <c r="W610"/>
    </row>
    <row r="611" spans="22:23">
      <c r="V611"/>
      <c r="W611"/>
    </row>
    <row r="612" spans="22:23">
      <c r="V612"/>
      <c r="W612"/>
    </row>
    <row r="613" spans="22:23">
      <c r="V613"/>
      <c r="W613"/>
    </row>
    <row r="614" spans="22:23">
      <c r="V614"/>
      <c r="W614"/>
    </row>
    <row r="615" spans="22:23">
      <c r="V615"/>
      <c r="W615"/>
    </row>
    <row r="616" spans="22:23">
      <c r="V616"/>
      <c r="W616"/>
    </row>
    <row r="617" spans="22:23">
      <c r="V617"/>
      <c r="W617"/>
    </row>
    <row r="618" spans="22:23">
      <c r="V618"/>
      <c r="W618"/>
    </row>
    <row r="619" spans="22:23">
      <c r="V619"/>
      <c r="W619"/>
    </row>
    <row r="620" spans="22:23">
      <c r="V620"/>
      <c r="W620"/>
    </row>
    <row r="621" spans="22:23">
      <c r="V621"/>
      <c r="W621"/>
    </row>
    <row r="622" spans="22:23">
      <c r="V622"/>
      <c r="W622"/>
    </row>
    <row r="623" spans="22:23">
      <c r="V623"/>
      <c r="W623"/>
    </row>
    <row r="624" spans="22:23">
      <c r="V624"/>
      <c r="W624"/>
    </row>
    <row r="625" spans="22:23">
      <c r="V625"/>
      <c r="W625"/>
    </row>
    <row r="626" spans="22:23">
      <c r="V626"/>
      <c r="W626"/>
    </row>
    <row r="627" spans="22:23">
      <c r="V627"/>
      <c r="W627"/>
    </row>
    <row r="628" spans="22:23">
      <c r="V628"/>
      <c r="W628"/>
    </row>
    <row r="629" spans="22:23">
      <c r="V629"/>
      <c r="W629"/>
    </row>
    <row r="630" spans="22:23">
      <c r="V630"/>
      <c r="W630"/>
    </row>
    <row r="631" spans="22:23">
      <c r="V631"/>
      <c r="W631"/>
    </row>
    <row r="632" spans="22:23">
      <c r="V632"/>
      <c r="W632"/>
    </row>
    <row r="633" spans="22:23">
      <c r="V633"/>
      <c r="W633"/>
    </row>
    <row r="634" spans="22:23">
      <c r="V634"/>
      <c r="W634"/>
    </row>
    <row r="635" spans="22:23">
      <c r="V635"/>
      <c r="W635"/>
    </row>
    <row r="636" spans="22:23">
      <c r="V636"/>
      <c r="W636"/>
    </row>
    <row r="637" spans="22:23">
      <c r="V637"/>
      <c r="W637"/>
    </row>
    <row r="638" spans="22:23">
      <c r="V638"/>
      <c r="W638"/>
    </row>
    <row r="639" spans="22:23">
      <c r="V639"/>
      <c r="W639"/>
    </row>
    <row r="640" spans="22:23">
      <c r="V640"/>
      <c r="W640"/>
    </row>
    <row r="641" spans="22:23">
      <c r="V641"/>
      <c r="W641"/>
    </row>
    <row r="642" spans="22:23">
      <c r="V642"/>
      <c r="W642"/>
    </row>
    <row r="643" spans="22:23">
      <c r="V643"/>
      <c r="W643"/>
    </row>
    <row r="644" spans="22:23">
      <c r="V644"/>
      <c r="W644"/>
    </row>
    <row r="645" spans="22:23">
      <c r="V645"/>
      <c r="W645"/>
    </row>
    <row r="646" spans="22:23">
      <c r="V646"/>
      <c r="W646"/>
    </row>
    <row r="647" spans="22:23">
      <c r="V647"/>
      <c r="W647"/>
    </row>
    <row r="648" spans="22:23">
      <c r="V648"/>
      <c r="W648"/>
    </row>
    <row r="649" spans="22:23">
      <c r="V649"/>
      <c r="W649"/>
    </row>
    <row r="650" spans="22:23">
      <c r="V650"/>
      <c r="W650"/>
    </row>
    <row r="651" spans="22:23">
      <c r="V651"/>
      <c r="W651"/>
    </row>
    <row r="652" spans="22:23">
      <c r="V652"/>
      <c r="W652"/>
    </row>
    <row r="653" spans="22:23">
      <c r="V653"/>
      <c r="W653"/>
    </row>
    <row r="654" spans="22:23">
      <c r="V654"/>
      <c r="W654"/>
    </row>
    <row r="655" spans="22:23">
      <c r="V655"/>
      <c r="W655"/>
    </row>
    <row r="656" spans="22:23">
      <c r="V656"/>
      <c r="W656"/>
    </row>
    <row r="657" spans="22:23">
      <c r="V657"/>
      <c r="W657"/>
    </row>
    <row r="658" spans="22:23">
      <c r="V658"/>
      <c r="W658"/>
    </row>
    <row r="659" spans="22:23">
      <c r="V659"/>
      <c r="W659"/>
    </row>
    <row r="660" spans="22:23">
      <c r="V660"/>
      <c r="W660"/>
    </row>
    <row r="661" spans="22:23">
      <c r="V661"/>
      <c r="W661"/>
    </row>
    <row r="662" spans="22:23">
      <c r="V662"/>
      <c r="W662"/>
    </row>
    <row r="663" spans="22:23">
      <c r="V663"/>
      <c r="W663"/>
    </row>
    <row r="664" spans="22:23">
      <c r="V664"/>
      <c r="W664"/>
    </row>
    <row r="665" spans="22:23">
      <c r="V665"/>
      <c r="W665"/>
    </row>
    <row r="666" spans="22:23">
      <c r="V666"/>
      <c r="W666"/>
    </row>
    <row r="667" spans="22:23">
      <c r="V667"/>
      <c r="W667"/>
    </row>
    <row r="668" spans="22:23">
      <c r="V668"/>
      <c r="W668"/>
    </row>
    <row r="669" spans="22:23">
      <c r="V669"/>
      <c r="W669"/>
    </row>
    <row r="670" spans="22:23">
      <c r="V670"/>
      <c r="W670"/>
    </row>
    <row r="671" spans="22:23">
      <c r="V671"/>
      <c r="W671"/>
    </row>
    <row r="672" spans="22:23">
      <c r="V672"/>
      <c r="W672"/>
    </row>
    <row r="673" spans="22:23">
      <c r="V673"/>
      <c r="W673"/>
    </row>
    <row r="674" spans="22:23">
      <c r="V674"/>
      <c r="W674"/>
    </row>
    <row r="675" spans="22:23">
      <c r="V675"/>
      <c r="W675"/>
    </row>
    <row r="676" spans="22:23">
      <c r="V676"/>
      <c r="W676"/>
    </row>
    <row r="677" spans="22:23">
      <c r="V677"/>
      <c r="W677"/>
    </row>
    <row r="678" spans="22:23">
      <c r="V678"/>
      <c r="W678"/>
    </row>
    <row r="679" spans="22:23">
      <c r="V679"/>
      <c r="W679"/>
    </row>
    <row r="680" spans="22:23">
      <c r="V680"/>
      <c r="W680"/>
    </row>
    <row r="681" spans="22:23">
      <c r="V681"/>
      <c r="W681"/>
    </row>
    <row r="682" spans="22:23">
      <c r="V682"/>
      <c r="W682"/>
    </row>
    <row r="683" spans="22:23">
      <c r="V683"/>
      <c r="W683"/>
    </row>
    <row r="684" spans="22:23">
      <c r="V684"/>
      <c r="W684"/>
    </row>
    <row r="685" spans="22:23">
      <c r="V685"/>
      <c r="W685"/>
    </row>
    <row r="686" spans="22:23">
      <c r="V686"/>
      <c r="W686"/>
    </row>
    <row r="687" spans="22:23">
      <c r="V687"/>
      <c r="W687"/>
    </row>
    <row r="688" spans="22:23">
      <c r="V688"/>
      <c r="W688"/>
    </row>
    <row r="689" spans="22:23">
      <c r="V689"/>
      <c r="W689"/>
    </row>
    <row r="690" spans="22:23">
      <c r="V690"/>
      <c r="W690"/>
    </row>
    <row r="691" spans="22:23">
      <c r="V691"/>
      <c r="W691"/>
    </row>
    <row r="692" spans="22:23">
      <c r="V692"/>
      <c r="W692"/>
    </row>
    <row r="693" spans="22:23">
      <c r="V693"/>
      <c r="W693"/>
    </row>
    <row r="694" spans="22:23">
      <c r="V694"/>
      <c r="W694"/>
    </row>
    <row r="695" spans="22:23">
      <c r="V695"/>
      <c r="W695"/>
    </row>
    <row r="696" spans="22:23">
      <c r="V696"/>
      <c r="W696"/>
    </row>
    <row r="697" spans="22:23">
      <c r="V697"/>
      <c r="W697"/>
    </row>
    <row r="698" spans="22:23">
      <c r="V698"/>
      <c r="W698"/>
    </row>
    <row r="699" spans="22:23">
      <c r="V699"/>
      <c r="W699"/>
    </row>
    <row r="700" spans="22:23">
      <c r="V700"/>
      <c r="W700"/>
    </row>
    <row r="701" spans="22:23">
      <c r="V701"/>
      <c r="W701"/>
    </row>
    <row r="702" spans="22:23">
      <c r="V702"/>
      <c r="W702"/>
    </row>
    <row r="703" spans="22:23">
      <c r="V703"/>
      <c r="W703"/>
    </row>
    <row r="704" spans="22:23">
      <c r="V704"/>
      <c r="W704"/>
    </row>
    <row r="705" spans="22:23">
      <c r="V705"/>
      <c r="W705"/>
    </row>
    <row r="706" spans="22:23">
      <c r="V706"/>
      <c r="W706"/>
    </row>
    <row r="707" spans="22:23">
      <c r="V707"/>
      <c r="W707"/>
    </row>
    <row r="708" spans="22:23">
      <c r="V708"/>
      <c r="W708"/>
    </row>
    <row r="709" spans="22:23">
      <c r="V709"/>
      <c r="W709"/>
    </row>
    <row r="710" spans="22:23">
      <c r="V710"/>
      <c r="W710"/>
    </row>
    <row r="711" spans="22:23">
      <c r="V711"/>
      <c r="W711"/>
    </row>
    <row r="712" spans="22:23">
      <c r="V712"/>
      <c r="W712"/>
    </row>
    <row r="713" spans="22:23">
      <c r="V713"/>
      <c r="W713"/>
    </row>
    <row r="714" spans="22:23">
      <c r="V714"/>
      <c r="W714"/>
    </row>
    <row r="715" spans="22:23">
      <c r="V715"/>
      <c r="W715"/>
    </row>
    <row r="716" spans="22:23">
      <c r="V716"/>
      <c r="W716"/>
    </row>
    <row r="717" spans="22:23">
      <c r="V717"/>
      <c r="W717"/>
    </row>
    <row r="718" spans="22:23">
      <c r="V718"/>
      <c r="W718"/>
    </row>
    <row r="719" spans="22:23">
      <c r="V719"/>
      <c r="W719"/>
    </row>
    <row r="720" spans="22:23">
      <c r="V720"/>
      <c r="W720"/>
    </row>
    <row r="721" spans="22:23">
      <c r="V721"/>
      <c r="W721"/>
    </row>
    <row r="722" spans="22:23">
      <c r="V722"/>
      <c r="W722"/>
    </row>
    <row r="723" spans="22:23">
      <c r="V723"/>
      <c r="W723"/>
    </row>
    <row r="724" spans="22:23">
      <c r="V724"/>
      <c r="W724"/>
    </row>
    <row r="725" spans="22:23">
      <c r="V725"/>
      <c r="W725"/>
    </row>
    <row r="726" spans="22:23">
      <c r="V726"/>
      <c r="W726"/>
    </row>
    <row r="727" spans="22:23">
      <c r="V727"/>
      <c r="W727"/>
    </row>
    <row r="728" spans="22:23">
      <c r="V728"/>
      <c r="W728"/>
    </row>
    <row r="729" spans="22:23">
      <c r="V729"/>
      <c r="W729"/>
    </row>
    <row r="730" spans="22:23">
      <c r="V730"/>
      <c r="W730"/>
    </row>
    <row r="731" spans="22:23">
      <c r="V731"/>
      <c r="W731"/>
    </row>
    <row r="732" spans="22:23">
      <c r="V732"/>
      <c r="W732"/>
    </row>
    <row r="733" spans="22:23">
      <c r="V733"/>
      <c r="W733"/>
    </row>
    <row r="734" spans="22:23">
      <c r="V734"/>
      <c r="W734"/>
    </row>
    <row r="735" spans="22:23">
      <c r="V735"/>
      <c r="W735"/>
    </row>
    <row r="736" spans="22:23">
      <c r="V736"/>
      <c r="W736"/>
    </row>
    <row r="737" spans="22:23">
      <c r="V737"/>
      <c r="W737"/>
    </row>
    <row r="738" spans="22:23">
      <c r="V738"/>
      <c r="W738"/>
    </row>
    <row r="739" spans="22:23">
      <c r="V739"/>
      <c r="W739"/>
    </row>
    <row r="740" spans="22:23">
      <c r="V740"/>
      <c r="W740"/>
    </row>
    <row r="741" spans="22:23">
      <c r="V741"/>
      <c r="W741"/>
    </row>
    <row r="742" spans="22:23">
      <c r="V742"/>
      <c r="W742"/>
    </row>
    <row r="743" spans="22:23">
      <c r="V743"/>
      <c r="W743"/>
    </row>
    <row r="744" spans="22:23">
      <c r="V744"/>
      <c r="W744"/>
    </row>
    <row r="745" spans="22:23">
      <c r="V745"/>
      <c r="W745"/>
    </row>
    <row r="746" spans="22:23">
      <c r="V746"/>
      <c r="W746"/>
    </row>
    <row r="747" spans="22:23">
      <c r="V747"/>
      <c r="W747"/>
    </row>
    <row r="748" spans="22:23">
      <c r="V748"/>
      <c r="W748"/>
    </row>
    <row r="749" spans="22:23">
      <c r="V749"/>
      <c r="W749"/>
    </row>
    <row r="750" spans="22:23">
      <c r="V750"/>
      <c r="W750"/>
    </row>
    <row r="751" spans="22:23">
      <c r="V751"/>
      <c r="W751"/>
    </row>
    <row r="752" spans="22:23">
      <c r="V752"/>
      <c r="W752"/>
    </row>
    <row r="753" spans="22:23">
      <c r="V753"/>
      <c r="W753"/>
    </row>
    <row r="754" spans="22:23">
      <c r="V754"/>
      <c r="W754"/>
    </row>
    <row r="755" spans="22:23">
      <c r="V755"/>
      <c r="W755"/>
    </row>
    <row r="756" spans="22:23">
      <c r="V756"/>
      <c r="W756"/>
    </row>
    <row r="757" spans="22:23">
      <c r="V757"/>
      <c r="W757"/>
    </row>
    <row r="758" spans="22:23">
      <c r="V758"/>
      <c r="W758"/>
    </row>
    <row r="759" spans="22:23">
      <c r="V759"/>
      <c r="W759"/>
    </row>
    <row r="760" spans="22:23">
      <c r="V760"/>
      <c r="W760"/>
    </row>
    <row r="761" spans="22:23">
      <c r="V761"/>
      <c r="W761"/>
    </row>
    <row r="762" spans="22:23">
      <c r="V762"/>
      <c r="W762"/>
    </row>
    <row r="763" spans="22:23">
      <c r="V763"/>
      <c r="W763"/>
    </row>
    <row r="764" spans="22:23">
      <c r="V764"/>
      <c r="W764"/>
    </row>
    <row r="765" spans="22:23">
      <c r="V765"/>
      <c r="W765"/>
    </row>
    <row r="766" spans="22:23">
      <c r="V766"/>
      <c r="W766"/>
    </row>
    <row r="767" spans="22:23">
      <c r="V767"/>
      <c r="W767"/>
    </row>
    <row r="768" spans="22:23">
      <c r="V768"/>
      <c r="W768"/>
    </row>
    <row r="769" spans="22:23">
      <c r="V769"/>
      <c r="W769"/>
    </row>
    <row r="770" spans="22:23">
      <c r="V770"/>
      <c r="W770"/>
    </row>
    <row r="771" spans="22:23">
      <c r="V771"/>
      <c r="W771"/>
    </row>
    <row r="772" spans="22:23">
      <c r="V772"/>
      <c r="W772"/>
    </row>
    <row r="773" spans="22:23">
      <c r="V773"/>
      <c r="W773"/>
    </row>
    <row r="774" spans="22:23">
      <c r="V774"/>
      <c r="W774"/>
    </row>
    <row r="775" spans="22:23">
      <c r="V775"/>
      <c r="W775"/>
    </row>
    <row r="776" spans="22:23">
      <c r="V776"/>
      <c r="W776"/>
    </row>
    <row r="777" spans="22:23">
      <c r="V777"/>
      <c r="W777"/>
    </row>
    <row r="778" spans="22:23">
      <c r="V778"/>
      <c r="W778"/>
    </row>
    <row r="779" spans="22:23">
      <c r="V779"/>
      <c r="W779"/>
    </row>
    <row r="780" spans="22:23">
      <c r="V780"/>
      <c r="W780"/>
    </row>
    <row r="781" spans="22:23">
      <c r="V781"/>
      <c r="W781"/>
    </row>
    <row r="782" spans="22:23">
      <c r="V782"/>
      <c r="W782"/>
    </row>
    <row r="783" spans="22:23">
      <c r="V783"/>
      <c r="W783"/>
    </row>
    <row r="784" spans="22:23">
      <c r="V784"/>
      <c r="W784"/>
    </row>
    <row r="785" spans="22:23">
      <c r="V785"/>
      <c r="W785"/>
    </row>
    <row r="786" spans="22:23">
      <c r="V786"/>
      <c r="W786"/>
    </row>
    <row r="787" spans="22:23">
      <c r="V787"/>
      <c r="W787"/>
    </row>
    <row r="788" spans="22:23">
      <c r="V788"/>
      <c r="W788"/>
    </row>
    <row r="789" spans="22:23">
      <c r="V789"/>
      <c r="W789"/>
    </row>
    <row r="790" spans="22:23">
      <c r="V790"/>
      <c r="W790"/>
    </row>
    <row r="791" spans="22:23">
      <c r="V791"/>
      <c r="W791"/>
    </row>
    <row r="792" spans="22:23">
      <c r="V792"/>
      <c r="W792"/>
    </row>
    <row r="793" spans="22:23">
      <c r="V793"/>
      <c r="W793"/>
    </row>
    <row r="794" spans="22:23">
      <c r="V794"/>
      <c r="W794"/>
    </row>
    <row r="795" spans="22:23">
      <c r="V795"/>
      <c r="W795"/>
    </row>
    <row r="796" spans="22:23">
      <c r="V796"/>
      <c r="W796"/>
    </row>
    <row r="797" spans="22:23">
      <c r="V797"/>
      <c r="W797"/>
    </row>
    <row r="798" spans="22:23">
      <c r="V798"/>
      <c r="W798"/>
    </row>
    <row r="799" spans="22:23">
      <c r="V799"/>
      <c r="W799"/>
    </row>
    <row r="800" spans="22:23">
      <c r="V800"/>
      <c r="W800"/>
    </row>
    <row r="801" spans="22:23">
      <c r="V801"/>
      <c r="W801"/>
    </row>
    <row r="802" spans="22:23">
      <c r="V802"/>
      <c r="W802"/>
    </row>
    <row r="803" spans="22:23">
      <c r="V803"/>
      <c r="W803"/>
    </row>
    <row r="804" spans="22:23">
      <c r="V804"/>
      <c r="W804"/>
    </row>
    <row r="805" spans="22:23">
      <c r="V805"/>
      <c r="W805"/>
    </row>
    <row r="806" spans="22:23">
      <c r="V806"/>
      <c r="W806"/>
    </row>
    <row r="807" spans="22:23">
      <c r="V807"/>
      <c r="W807"/>
    </row>
    <row r="808" spans="22:23">
      <c r="V808"/>
      <c r="W808"/>
    </row>
    <row r="809" spans="22:23">
      <c r="V809"/>
      <c r="W809"/>
    </row>
    <row r="810" spans="22:23">
      <c r="V810"/>
      <c r="W810"/>
    </row>
    <row r="811" spans="22:23">
      <c r="V811"/>
      <c r="W811"/>
    </row>
    <row r="812" spans="22:23">
      <c r="V812"/>
      <c r="W812"/>
    </row>
    <row r="813" spans="22:23">
      <c r="V813"/>
      <c r="W813"/>
    </row>
    <row r="814" spans="22:23">
      <c r="V814"/>
      <c r="W814"/>
    </row>
    <row r="815" spans="22:23">
      <c r="V815"/>
      <c r="W815"/>
    </row>
    <row r="816" spans="22:23">
      <c r="V816"/>
      <c r="W816"/>
    </row>
    <row r="817" spans="22:23">
      <c r="V817"/>
      <c r="W817"/>
    </row>
    <row r="818" spans="22:23">
      <c r="V818"/>
      <c r="W818"/>
    </row>
    <row r="819" spans="22:23">
      <c r="V819"/>
      <c r="W819"/>
    </row>
    <row r="820" spans="22:23">
      <c r="V820"/>
      <c r="W820"/>
    </row>
    <row r="821" spans="22:23">
      <c r="V821"/>
      <c r="W821"/>
    </row>
    <row r="822" spans="22:23">
      <c r="V822"/>
      <c r="W822"/>
    </row>
    <row r="823" spans="22:23">
      <c r="V823"/>
      <c r="W823"/>
    </row>
    <row r="824" spans="22:23">
      <c r="V824"/>
      <c r="W824"/>
    </row>
    <row r="825" spans="22:23">
      <c r="V825"/>
      <c r="W825"/>
    </row>
    <row r="826" spans="22:23">
      <c r="V826"/>
      <c r="W826"/>
    </row>
    <row r="827" spans="22:23">
      <c r="V827"/>
      <c r="W827"/>
    </row>
    <row r="828" spans="22:23">
      <c r="V828"/>
      <c r="W828"/>
    </row>
    <row r="829" spans="22:23">
      <c r="V829"/>
      <c r="W829"/>
    </row>
    <row r="830" spans="22:23">
      <c r="V830"/>
      <c r="W830"/>
    </row>
    <row r="831" spans="22:23">
      <c r="V831"/>
      <c r="W831"/>
    </row>
    <row r="832" spans="22:23">
      <c r="V832"/>
      <c r="W832"/>
    </row>
    <row r="833" spans="22:23">
      <c r="V833"/>
      <c r="W833"/>
    </row>
    <row r="834" spans="22:23">
      <c r="V834"/>
      <c r="W834"/>
    </row>
    <row r="835" spans="22:23">
      <c r="V835"/>
      <c r="W835"/>
    </row>
    <row r="836" spans="22:23">
      <c r="V836"/>
      <c r="W836"/>
    </row>
    <row r="837" spans="22:23">
      <c r="V837"/>
      <c r="W837"/>
    </row>
    <row r="838" spans="22:23">
      <c r="V838"/>
      <c r="W838"/>
    </row>
    <row r="839" spans="22:23">
      <c r="V839"/>
      <c r="W839"/>
    </row>
    <row r="840" spans="22:23">
      <c r="V840"/>
      <c r="W840"/>
    </row>
    <row r="841" spans="22:23">
      <c r="V841"/>
      <c r="W841"/>
    </row>
    <row r="842" spans="22:23">
      <c r="V842"/>
      <c r="W842"/>
    </row>
    <row r="843" spans="22:23">
      <c r="V843"/>
      <c r="W843"/>
    </row>
    <row r="844" spans="22:23">
      <c r="V844"/>
      <c r="W844"/>
    </row>
    <row r="845" spans="22:23">
      <c r="V845"/>
      <c r="W845"/>
    </row>
    <row r="846" spans="22:23">
      <c r="V846"/>
      <c r="W846"/>
    </row>
    <row r="847" spans="22:23">
      <c r="V847"/>
      <c r="W847"/>
    </row>
    <row r="848" spans="22:23">
      <c r="V848"/>
      <c r="W848"/>
    </row>
    <row r="849" spans="22:23">
      <c r="V849"/>
      <c r="W849"/>
    </row>
    <row r="850" spans="22:23">
      <c r="V850"/>
      <c r="W850"/>
    </row>
    <row r="851" spans="22:23">
      <c r="V851"/>
      <c r="W851"/>
    </row>
    <row r="852" spans="22:23">
      <c r="V852"/>
      <c r="W852"/>
    </row>
    <row r="853" spans="22:23">
      <c r="V853"/>
      <c r="W853"/>
    </row>
    <row r="854" spans="22:23">
      <c r="V854"/>
      <c r="W854"/>
    </row>
    <row r="855" spans="22:23">
      <c r="V855"/>
      <c r="W855"/>
    </row>
    <row r="856" spans="22:23">
      <c r="V856"/>
      <c r="W856"/>
    </row>
    <row r="857" spans="22:23">
      <c r="V857"/>
      <c r="W857"/>
    </row>
    <row r="858" spans="22:23">
      <c r="V858"/>
      <c r="W858"/>
    </row>
    <row r="859" spans="22:23">
      <c r="V859"/>
      <c r="W859"/>
    </row>
    <row r="860" spans="22:23">
      <c r="V860"/>
      <c r="W860"/>
    </row>
    <row r="861" spans="22:23">
      <c r="V861"/>
      <c r="W861"/>
    </row>
    <row r="862" spans="22:23">
      <c r="V862"/>
      <c r="W862"/>
    </row>
    <row r="863" spans="22:23">
      <c r="V863"/>
      <c r="W863"/>
    </row>
    <row r="864" spans="22:23">
      <c r="V864"/>
      <c r="W864"/>
    </row>
    <row r="865" spans="22:23">
      <c r="V865"/>
      <c r="W865"/>
    </row>
    <row r="866" spans="22:23">
      <c r="V866"/>
      <c r="W866"/>
    </row>
    <row r="867" spans="22:23">
      <c r="V867"/>
      <c r="W867"/>
    </row>
    <row r="868" spans="22:23">
      <c r="V868"/>
      <c r="W868"/>
    </row>
    <row r="869" spans="22:23">
      <c r="V869"/>
      <c r="W869"/>
    </row>
    <row r="870" spans="22:23">
      <c r="V870"/>
      <c r="W870"/>
    </row>
    <row r="871" spans="22:23">
      <c r="V871"/>
      <c r="W871"/>
    </row>
    <row r="872" spans="22:23">
      <c r="V872"/>
      <c r="W872"/>
    </row>
    <row r="873" spans="22:23">
      <c r="V873"/>
      <c r="W873"/>
    </row>
    <row r="874" spans="22:23">
      <c r="V874"/>
      <c r="W874"/>
    </row>
    <row r="875" spans="22:23">
      <c r="V875"/>
      <c r="W875"/>
    </row>
    <row r="876" spans="22:23">
      <c r="V876"/>
      <c r="W876"/>
    </row>
    <row r="877" spans="22:23">
      <c r="V877"/>
      <c r="W877"/>
    </row>
    <row r="878" spans="22:23">
      <c r="V878"/>
      <c r="W878"/>
    </row>
    <row r="879" spans="22:23">
      <c r="V879"/>
      <c r="W879"/>
    </row>
    <row r="880" spans="22:23">
      <c r="V880"/>
      <c r="W880"/>
    </row>
    <row r="881" spans="22:23">
      <c r="V881"/>
      <c r="W881"/>
    </row>
    <row r="882" spans="22:23">
      <c r="V882"/>
      <c r="W882"/>
    </row>
    <row r="883" spans="22:23">
      <c r="V883"/>
      <c r="W883"/>
    </row>
    <row r="884" spans="22:23">
      <c r="V884"/>
      <c r="W884"/>
    </row>
    <row r="885" spans="22:23">
      <c r="V885"/>
      <c r="W885"/>
    </row>
    <row r="886" spans="22:23">
      <c r="V886"/>
      <c r="W886"/>
    </row>
    <row r="887" spans="22:23">
      <c r="V887"/>
      <c r="W887"/>
    </row>
    <row r="888" spans="22:23">
      <c r="V888"/>
      <c r="W888"/>
    </row>
    <row r="889" spans="22:23">
      <c r="V889"/>
      <c r="W889"/>
    </row>
    <row r="890" spans="22:23">
      <c r="V890"/>
      <c r="W890"/>
    </row>
    <row r="891" spans="22:23">
      <c r="V891"/>
      <c r="W891"/>
    </row>
    <row r="892" spans="22:23">
      <c r="V892"/>
      <c r="W892"/>
    </row>
    <row r="893" spans="22:23">
      <c r="V893"/>
      <c r="W893"/>
    </row>
    <row r="894" spans="22:23">
      <c r="V894"/>
      <c r="W894"/>
    </row>
    <row r="895" spans="22:23">
      <c r="V895"/>
      <c r="W895"/>
    </row>
    <row r="896" spans="22:23">
      <c r="V896"/>
      <c r="W896"/>
    </row>
    <row r="897" spans="22:23">
      <c r="V897"/>
      <c r="W897"/>
    </row>
    <row r="898" spans="22:23">
      <c r="V898"/>
      <c r="W898"/>
    </row>
    <row r="899" spans="22:23">
      <c r="V899"/>
      <c r="W899"/>
    </row>
    <row r="900" spans="22:23">
      <c r="V900"/>
      <c r="W900"/>
    </row>
    <row r="901" spans="22:23">
      <c r="V901"/>
      <c r="W901"/>
    </row>
    <row r="902" spans="22:23">
      <c r="V902"/>
      <c r="W902"/>
    </row>
    <row r="903" spans="22:23">
      <c r="V903"/>
      <c r="W903"/>
    </row>
    <row r="904" spans="22:23">
      <c r="V904"/>
      <c r="W904"/>
    </row>
    <row r="905" spans="22:23">
      <c r="V905"/>
      <c r="W905"/>
    </row>
    <row r="906" spans="22:23">
      <c r="V906"/>
      <c r="W906"/>
    </row>
    <row r="907" spans="22:23">
      <c r="V907"/>
      <c r="W907"/>
    </row>
    <row r="908" spans="22:23">
      <c r="V908"/>
      <c r="W908"/>
    </row>
    <row r="909" spans="22:23">
      <c r="V909"/>
      <c r="W909"/>
    </row>
    <row r="910" spans="22:23">
      <c r="V910"/>
      <c r="W910"/>
    </row>
    <row r="911" spans="22:23">
      <c r="V911"/>
      <c r="W911"/>
    </row>
    <row r="912" spans="22:23">
      <c r="V912"/>
      <c r="W912"/>
    </row>
    <row r="913" spans="22:23">
      <c r="V913"/>
      <c r="W913"/>
    </row>
    <row r="914" spans="22:23">
      <c r="V914"/>
      <c r="W914"/>
    </row>
    <row r="915" spans="22:23">
      <c r="V915"/>
      <c r="W915"/>
    </row>
    <row r="916" spans="22:23">
      <c r="V916"/>
      <c r="W916"/>
    </row>
    <row r="917" spans="22:23">
      <c r="V917"/>
      <c r="W917"/>
    </row>
    <row r="918" spans="22:23">
      <c r="V918"/>
      <c r="W918"/>
    </row>
    <row r="919" spans="22:23">
      <c r="V919"/>
      <c r="W919"/>
    </row>
    <row r="920" spans="22:23">
      <c r="V920"/>
      <c r="W920"/>
    </row>
    <row r="921" spans="22:23">
      <c r="V921"/>
      <c r="W921"/>
    </row>
    <row r="922" spans="22:23">
      <c r="V922"/>
      <c r="W922"/>
    </row>
    <row r="923" spans="22:23">
      <c r="V923"/>
      <c r="W923"/>
    </row>
    <row r="924" spans="22:23">
      <c r="V924"/>
      <c r="W924"/>
    </row>
    <row r="925" spans="22:23">
      <c r="V925"/>
      <c r="W925"/>
    </row>
    <row r="926" spans="22:23">
      <c r="V926"/>
      <c r="W926"/>
    </row>
    <row r="927" spans="22:23">
      <c r="V927"/>
      <c r="W927"/>
    </row>
    <row r="928" spans="22:23">
      <c r="V928"/>
      <c r="W928"/>
    </row>
    <row r="929" spans="22:23">
      <c r="V929"/>
      <c r="W929"/>
    </row>
    <row r="930" spans="22:23">
      <c r="V930"/>
      <c r="W930"/>
    </row>
    <row r="931" spans="22:23">
      <c r="V931"/>
      <c r="W931"/>
    </row>
    <row r="932" spans="22:23">
      <c r="V932"/>
      <c r="W932"/>
    </row>
    <row r="933" spans="22:23">
      <c r="V933"/>
      <c r="W933"/>
    </row>
    <row r="934" spans="22:23">
      <c r="V934"/>
      <c r="W934"/>
    </row>
    <row r="935" spans="22:23">
      <c r="V935"/>
      <c r="W935"/>
    </row>
    <row r="936" spans="22:23">
      <c r="V936"/>
      <c r="W936"/>
    </row>
    <row r="937" spans="22:23">
      <c r="V937"/>
      <c r="W937"/>
    </row>
    <row r="938" spans="22:23">
      <c r="V938"/>
      <c r="W938"/>
    </row>
    <row r="939" spans="22:23">
      <c r="V939"/>
      <c r="W939"/>
    </row>
    <row r="940" spans="22:23">
      <c r="V940"/>
      <c r="W940"/>
    </row>
    <row r="941" spans="22:23">
      <c r="V941"/>
      <c r="W941"/>
    </row>
    <row r="942" spans="22:23">
      <c r="V942"/>
      <c r="W942"/>
    </row>
    <row r="943" spans="22:23">
      <c r="V943"/>
      <c r="W943"/>
    </row>
    <row r="944" spans="22:23">
      <c r="V944"/>
      <c r="W944"/>
    </row>
    <row r="945" spans="22:23">
      <c r="V945"/>
      <c r="W945"/>
    </row>
    <row r="946" spans="22:23">
      <c r="V946"/>
      <c r="W946"/>
    </row>
    <row r="947" spans="22:23">
      <c r="V947"/>
      <c r="W947"/>
    </row>
    <row r="948" spans="22:23">
      <c r="V948"/>
      <c r="W948"/>
    </row>
    <row r="949" spans="22:23">
      <c r="V949"/>
      <c r="W949"/>
    </row>
    <row r="950" spans="22:23">
      <c r="V950"/>
      <c r="W950"/>
    </row>
    <row r="951" spans="22:23">
      <c r="V951"/>
      <c r="W951"/>
    </row>
    <row r="952" spans="22:23">
      <c r="V952"/>
      <c r="W952"/>
    </row>
    <row r="953" spans="22:23">
      <c r="V953"/>
      <c r="W953"/>
    </row>
    <row r="954" spans="22:23">
      <c r="V954"/>
      <c r="W954"/>
    </row>
    <row r="955" spans="22:23">
      <c r="V955"/>
      <c r="W955"/>
    </row>
    <row r="956" spans="22:23">
      <c r="V956"/>
      <c r="W956"/>
    </row>
    <row r="957" spans="22:23">
      <c r="V957"/>
      <c r="W957"/>
    </row>
    <row r="958" spans="22:23">
      <c r="V958"/>
      <c r="W958"/>
    </row>
    <row r="959" spans="22:23">
      <c r="V959"/>
      <c r="W959"/>
    </row>
    <row r="960" spans="22:23">
      <c r="V960"/>
      <c r="W960"/>
    </row>
    <row r="961" spans="22:23">
      <c r="V961"/>
      <c r="W961"/>
    </row>
    <row r="962" spans="22:23">
      <c r="V962"/>
      <c r="W962"/>
    </row>
    <row r="963" spans="22:23">
      <c r="V963"/>
      <c r="W963"/>
    </row>
    <row r="964" spans="22:23">
      <c r="V964"/>
      <c r="W964"/>
    </row>
    <row r="965" spans="22:23">
      <c r="V965"/>
      <c r="W965"/>
    </row>
    <row r="966" spans="22:23">
      <c r="V966"/>
      <c r="W966"/>
    </row>
    <row r="967" spans="22:23">
      <c r="V967"/>
      <c r="W967"/>
    </row>
    <row r="968" spans="22:23">
      <c r="V968"/>
      <c r="W968"/>
    </row>
    <row r="969" spans="22:23">
      <c r="V969"/>
      <c r="W969"/>
    </row>
    <row r="970" spans="22:23">
      <c r="V970"/>
      <c r="W970"/>
    </row>
    <row r="971" spans="22:23">
      <c r="V971"/>
      <c r="W971"/>
    </row>
    <row r="972" spans="22:23">
      <c r="V972"/>
      <c r="W972"/>
    </row>
    <row r="973" spans="22:23">
      <c r="V973"/>
      <c r="W973"/>
    </row>
    <row r="974" spans="22:23">
      <c r="V974"/>
      <c r="W974"/>
    </row>
    <row r="975" spans="22:23">
      <c r="V975"/>
      <c r="W975"/>
    </row>
    <row r="976" spans="22:23">
      <c r="V976"/>
      <c r="W976"/>
    </row>
    <row r="977" spans="22:23">
      <c r="V977"/>
      <c r="W977"/>
    </row>
    <row r="978" spans="22:23">
      <c r="V978"/>
      <c r="W978"/>
    </row>
    <row r="979" spans="22:23">
      <c r="V979"/>
      <c r="W979"/>
    </row>
    <row r="980" spans="22:23">
      <c r="V980"/>
      <c r="W980"/>
    </row>
    <row r="981" spans="22:23">
      <c r="V981"/>
      <c r="W981"/>
    </row>
    <row r="982" spans="22:23">
      <c r="V982"/>
      <c r="W982"/>
    </row>
    <row r="983" spans="22:23">
      <c r="V983"/>
      <c r="W983"/>
    </row>
    <row r="984" spans="22:23">
      <c r="V984"/>
      <c r="W984"/>
    </row>
    <row r="985" spans="22:23">
      <c r="V985"/>
      <c r="W985"/>
    </row>
    <row r="986" spans="22:23">
      <c r="V986"/>
      <c r="W986"/>
    </row>
    <row r="987" spans="22:23">
      <c r="V987"/>
      <c r="W987"/>
    </row>
    <row r="988" spans="22:23">
      <c r="V988"/>
      <c r="W988"/>
    </row>
    <row r="989" spans="22:23">
      <c r="V989"/>
      <c r="W989"/>
    </row>
    <row r="990" spans="22:23">
      <c r="V990"/>
      <c r="W990"/>
    </row>
    <row r="991" spans="22:23">
      <c r="V991"/>
      <c r="W991"/>
    </row>
    <row r="992" spans="22:23">
      <c r="V992"/>
      <c r="W992"/>
    </row>
    <row r="993" spans="22:23">
      <c r="V993"/>
      <c r="W993"/>
    </row>
    <row r="994" spans="22:23">
      <c r="V994"/>
      <c r="W994"/>
    </row>
    <row r="995" spans="22:23">
      <c r="V995"/>
      <c r="W995"/>
    </row>
    <row r="996" spans="22:23">
      <c r="V996"/>
      <c r="W996"/>
    </row>
    <row r="997" spans="22:23">
      <c r="V997"/>
      <c r="W997"/>
    </row>
    <row r="998" spans="22:23">
      <c r="V998"/>
      <c r="W998"/>
    </row>
    <row r="999" spans="22:23">
      <c r="V999"/>
      <c r="W999"/>
    </row>
    <row r="1000" spans="22:23">
      <c r="V1000"/>
      <c r="W1000"/>
    </row>
    <row r="1001" spans="22:23">
      <c r="V1001"/>
      <c r="W1001"/>
    </row>
    <row r="1002" spans="22:23">
      <c r="V1002"/>
      <c r="W1002"/>
    </row>
    <row r="1003" spans="22:23">
      <c r="V1003"/>
      <c r="W1003"/>
    </row>
    <row r="1004" spans="22:23">
      <c r="V1004"/>
      <c r="W1004"/>
    </row>
    <row r="1005" spans="22:23">
      <c r="V1005"/>
      <c r="W1005"/>
    </row>
    <row r="1006" spans="22:23">
      <c r="V1006"/>
      <c r="W1006"/>
    </row>
    <row r="1007" spans="22:23">
      <c r="V1007"/>
      <c r="W1007"/>
    </row>
    <row r="1008" spans="22:23">
      <c r="V1008"/>
      <c r="W1008"/>
    </row>
    <row r="1009" spans="22:23">
      <c r="V1009"/>
      <c r="W1009"/>
    </row>
    <row r="1010" spans="22:23">
      <c r="V1010"/>
      <c r="W1010"/>
    </row>
    <row r="1011" spans="22:23">
      <c r="V1011"/>
      <c r="W1011"/>
    </row>
    <row r="1012" spans="22:23">
      <c r="V1012"/>
      <c r="W1012"/>
    </row>
    <row r="1013" spans="22:23">
      <c r="V1013"/>
      <c r="W1013"/>
    </row>
    <row r="1014" spans="22:23">
      <c r="V1014"/>
      <c r="W1014"/>
    </row>
    <row r="1015" spans="22:23">
      <c r="V1015"/>
      <c r="W1015"/>
    </row>
    <row r="1016" spans="22:23">
      <c r="V1016"/>
      <c r="W1016"/>
    </row>
    <row r="1017" spans="22:23">
      <c r="V1017"/>
      <c r="W1017"/>
    </row>
    <row r="1018" spans="22:23">
      <c r="V1018"/>
      <c r="W1018"/>
    </row>
    <row r="1019" spans="22:23">
      <c r="V1019"/>
      <c r="W1019"/>
    </row>
    <row r="1020" spans="22:23">
      <c r="V1020"/>
      <c r="W1020"/>
    </row>
    <row r="1021" spans="22:23">
      <c r="V1021"/>
      <c r="W1021"/>
    </row>
    <row r="1022" spans="22:23">
      <c r="V1022"/>
      <c r="W1022"/>
    </row>
    <row r="1023" spans="22:23">
      <c r="V1023"/>
      <c r="W1023"/>
    </row>
    <row r="1024" spans="22:23">
      <c r="V1024"/>
      <c r="W1024"/>
    </row>
    <row r="1025" spans="22:23">
      <c r="V1025"/>
      <c r="W1025"/>
    </row>
    <row r="1026" spans="22:23">
      <c r="V1026"/>
      <c r="W1026"/>
    </row>
    <row r="1027" spans="22:23">
      <c r="V1027"/>
      <c r="W1027"/>
    </row>
    <row r="1028" spans="22:23">
      <c r="V1028"/>
      <c r="W1028"/>
    </row>
    <row r="1029" spans="22:23">
      <c r="V1029"/>
      <c r="W1029"/>
    </row>
    <row r="1030" spans="22:23">
      <c r="V1030"/>
      <c r="W1030"/>
    </row>
    <row r="1031" spans="22:23">
      <c r="V1031"/>
      <c r="W1031"/>
    </row>
    <row r="1032" spans="22:23">
      <c r="V1032"/>
      <c r="W1032"/>
    </row>
    <row r="1033" spans="22:23">
      <c r="V1033"/>
      <c r="W1033"/>
    </row>
    <row r="1034" spans="22:23">
      <c r="V1034"/>
      <c r="W1034"/>
    </row>
    <row r="1035" spans="22:23">
      <c r="V1035"/>
      <c r="W1035"/>
    </row>
    <row r="1036" spans="22:23">
      <c r="V1036"/>
      <c r="W1036"/>
    </row>
    <row r="1037" spans="22:23">
      <c r="V1037"/>
      <c r="W1037"/>
    </row>
    <row r="1038" spans="22:23">
      <c r="V1038"/>
      <c r="W1038"/>
    </row>
    <row r="1039" spans="22:23">
      <c r="V1039"/>
      <c r="W1039"/>
    </row>
    <row r="1040" spans="22:23">
      <c r="V1040"/>
      <c r="W1040"/>
    </row>
    <row r="1041" spans="22:23">
      <c r="V1041"/>
      <c r="W1041"/>
    </row>
    <row r="1042" spans="22:23">
      <c r="V1042"/>
      <c r="W1042"/>
    </row>
    <row r="1043" spans="22:23">
      <c r="V1043"/>
      <c r="W1043"/>
    </row>
    <row r="1044" spans="22:23">
      <c r="V1044"/>
      <c r="W1044"/>
    </row>
    <row r="1045" spans="22:23">
      <c r="V1045"/>
      <c r="W1045"/>
    </row>
    <row r="1046" spans="22:23">
      <c r="V1046"/>
      <c r="W1046"/>
    </row>
    <row r="1047" spans="22:23">
      <c r="V1047"/>
      <c r="W1047"/>
    </row>
    <row r="1048" spans="22:23">
      <c r="V1048"/>
      <c r="W1048"/>
    </row>
    <row r="1049" spans="22:23">
      <c r="V1049"/>
      <c r="W1049"/>
    </row>
    <row r="1050" spans="22:23">
      <c r="V1050"/>
      <c r="W1050"/>
    </row>
    <row r="1051" spans="22:23">
      <c r="V1051"/>
      <c r="W1051"/>
    </row>
    <row r="1052" spans="22:23">
      <c r="V1052"/>
      <c r="W1052"/>
    </row>
    <row r="1053" spans="22:23">
      <c r="V1053"/>
      <c r="W1053"/>
    </row>
    <row r="1054" spans="22:23">
      <c r="V1054"/>
      <c r="W1054"/>
    </row>
    <row r="1055" spans="22:23">
      <c r="V1055"/>
      <c r="W1055"/>
    </row>
    <row r="1056" spans="22:23">
      <c r="V1056"/>
      <c r="W1056"/>
    </row>
    <row r="1057" spans="22:23">
      <c r="V1057"/>
      <c r="W1057"/>
    </row>
    <row r="1058" spans="22:23">
      <c r="V1058"/>
      <c r="W1058"/>
    </row>
    <row r="1059" spans="22:23">
      <c r="V1059"/>
      <c r="W1059"/>
    </row>
    <row r="1060" spans="22:23">
      <c r="V1060"/>
      <c r="W1060"/>
    </row>
    <row r="1061" spans="22:23">
      <c r="V1061"/>
      <c r="W1061"/>
    </row>
    <row r="1062" spans="22:23">
      <c r="V1062"/>
      <c r="W1062"/>
    </row>
    <row r="1063" spans="22:23">
      <c r="V1063"/>
      <c r="W1063"/>
    </row>
    <row r="1064" spans="22:23">
      <c r="V1064"/>
      <c r="W1064"/>
    </row>
    <row r="1065" spans="22:23">
      <c r="V1065"/>
      <c r="W1065"/>
    </row>
    <row r="1066" spans="22:23">
      <c r="V1066"/>
      <c r="W1066"/>
    </row>
    <row r="1067" spans="22:23">
      <c r="V1067"/>
      <c r="W1067"/>
    </row>
    <row r="1068" spans="22:23">
      <c r="V1068"/>
      <c r="W1068"/>
    </row>
    <row r="1069" spans="22:23">
      <c r="V1069"/>
      <c r="W1069"/>
    </row>
    <row r="1070" spans="22:23">
      <c r="V1070"/>
      <c r="W1070"/>
    </row>
    <row r="1071" spans="22:23">
      <c r="V1071"/>
      <c r="W1071"/>
    </row>
    <row r="1072" spans="22:23">
      <c r="V1072"/>
      <c r="W1072"/>
    </row>
    <row r="1073" spans="22:23">
      <c r="V1073"/>
      <c r="W1073"/>
    </row>
    <row r="1074" spans="22:23">
      <c r="V1074"/>
      <c r="W1074"/>
    </row>
    <row r="1075" spans="22:23">
      <c r="V1075"/>
      <c r="W1075"/>
    </row>
    <row r="1076" spans="22:23">
      <c r="V1076"/>
      <c r="W1076"/>
    </row>
    <row r="1077" spans="22:23">
      <c r="V1077"/>
      <c r="W1077"/>
    </row>
    <row r="1078" spans="22:23">
      <c r="V1078"/>
      <c r="W1078"/>
    </row>
    <row r="1079" spans="22:23">
      <c r="V1079"/>
      <c r="W1079"/>
    </row>
    <row r="1080" spans="22:23">
      <c r="V1080"/>
      <c r="W1080"/>
    </row>
    <row r="1081" spans="22:23">
      <c r="V1081"/>
      <c r="W1081"/>
    </row>
    <row r="1082" spans="22:23">
      <c r="V1082"/>
      <c r="W1082"/>
    </row>
    <row r="1083" spans="22:23">
      <c r="V1083"/>
      <c r="W1083"/>
    </row>
    <row r="1084" spans="22:23">
      <c r="V1084"/>
      <c r="W1084"/>
    </row>
    <row r="1085" spans="22:23">
      <c r="V1085"/>
      <c r="W1085"/>
    </row>
    <row r="1086" spans="22:23">
      <c r="V1086"/>
      <c r="W1086"/>
    </row>
    <row r="1087" spans="22:23">
      <c r="V1087"/>
      <c r="W1087"/>
    </row>
    <row r="1088" spans="22:23">
      <c r="V1088"/>
      <c r="W1088"/>
    </row>
    <row r="1089" spans="22:23">
      <c r="V1089"/>
      <c r="W1089"/>
    </row>
    <row r="1090" spans="22:23">
      <c r="V1090"/>
      <c r="W1090"/>
    </row>
    <row r="1091" spans="22:23">
      <c r="V1091"/>
      <c r="W1091"/>
    </row>
    <row r="1092" spans="22:23">
      <c r="V1092"/>
      <c r="W1092"/>
    </row>
    <row r="1093" spans="22:23">
      <c r="V1093"/>
      <c r="W1093"/>
    </row>
    <row r="1094" spans="22:23">
      <c r="V1094"/>
      <c r="W1094"/>
    </row>
    <row r="1095" spans="22:23">
      <c r="V1095"/>
      <c r="W1095"/>
    </row>
    <row r="1096" spans="22:23">
      <c r="V1096"/>
      <c r="W1096"/>
    </row>
    <row r="1097" spans="22:23">
      <c r="V1097"/>
      <c r="W1097"/>
    </row>
    <row r="1098" spans="22:23">
      <c r="V1098"/>
      <c r="W1098"/>
    </row>
    <row r="1099" spans="22:23">
      <c r="V1099"/>
      <c r="W1099"/>
    </row>
    <row r="1100" spans="22:23">
      <c r="V1100"/>
      <c r="W1100"/>
    </row>
    <row r="1101" spans="22:23">
      <c r="V1101"/>
      <c r="W1101"/>
    </row>
    <row r="1102" spans="22:23">
      <c r="V1102"/>
      <c r="W1102"/>
    </row>
    <row r="1103" spans="22:23">
      <c r="V1103"/>
      <c r="W1103"/>
    </row>
    <row r="1104" spans="22:23">
      <c r="V1104"/>
      <c r="W1104"/>
    </row>
    <row r="1105" spans="22:23">
      <c r="V1105"/>
      <c r="W1105"/>
    </row>
    <row r="1106" spans="22:23">
      <c r="V1106"/>
      <c r="W1106"/>
    </row>
    <row r="1107" spans="22:23">
      <c r="V1107"/>
      <c r="W1107"/>
    </row>
    <row r="1108" spans="22:23">
      <c r="V1108"/>
      <c r="W1108"/>
    </row>
    <row r="1109" spans="22:23">
      <c r="V1109"/>
      <c r="W1109"/>
    </row>
    <row r="1110" spans="22:23">
      <c r="V1110"/>
      <c r="W1110"/>
    </row>
    <row r="1111" spans="22:23">
      <c r="V1111"/>
      <c r="W1111"/>
    </row>
    <row r="1112" spans="22:23">
      <c r="V1112"/>
      <c r="W1112"/>
    </row>
    <row r="1113" spans="22:23">
      <c r="V1113"/>
      <c r="W1113"/>
    </row>
    <row r="1114" spans="22:23">
      <c r="V1114"/>
      <c r="W1114"/>
    </row>
    <row r="1115" spans="22:23">
      <c r="V1115"/>
      <c r="W1115"/>
    </row>
    <row r="1116" spans="22:23">
      <c r="V1116"/>
      <c r="W1116"/>
    </row>
    <row r="1117" spans="22:23">
      <c r="V1117"/>
      <c r="W1117"/>
    </row>
    <row r="1118" spans="22:23">
      <c r="V1118"/>
      <c r="W1118"/>
    </row>
    <row r="1119" spans="22:23">
      <c r="V1119"/>
      <c r="W1119"/>
    </row>
    <row r="1120" spans="22:23">
      <c r="V1120"/>
      <c r="W1120"/>
    </row>
    <row r="1121" spans="22:23">
      <c r="V1121"/>
      <c r="W1121"/>
    </row>
    <row r="1122" spans="22:23">
      <c r="V1122"/>
      <c r="W1122"/>
    </row>
    <row r="1123" spans="22:23">
      <c r="V1123"/>
      <c r="W1123"/>
    </row>
    <row r="1124" spans="22:23">
      <c r="V1124"/>
      <c r="W1124"/>
    </row>
    <row r="1125" spans="22:23">
      <c r="V1125"/>
      <c r="W1125"/>
    </row>
    <row r="1126" spans="22:23">
      <c r="V1126"/>
      <c r="W1126"/>
    </row>
    <row r="1127" spans="22:23">
      <c r="V1127"/>
      <c r="W1127"/>
    </row>
    <row r="1128" spans="22:23">
      <c r="V1128"/>
      <c r="W1128"/>
    </row>
    <row r="1129" spans="22:23">
      <c r="V1129"/>
      <c r="W1129"/>
    </row>
    <row r="1130" spans="22:23">
      <c r="V1130"/>
      <c r="W1130"/>
    </row>
    <row r="1131" spans="22:23">
      <c r="V1131"/>
      <c r="W1131"/>
    </row>
    <row r="1132" spans="22:23">
      <c r="V1132"/>
      <c r="W1132"/>
    </row>
    <row r="1133" spans="22:23">
      <c r="V1133"/>
      <c r="W1133"/>
    </row>
    <row r="1134" spans="22:23">
      <c r="V1134"/>
      <c r="W1134"/>
    </row>
    <row r="1135" spans="22:23">
      <c r="V1135"/>
      <c r="W1135"/>
    </row>
    <row r="1136" spans="22:23">
      <c r="V1136"/>
      <c r="W1136"/>
    </row>
    <row r="1137" spans="22:23">
      <c r="V1137"/>
      <c r="W1137"/>
    </row>
    <row r="1138" spans="22:23">
      <c r="V1138"/>
      <c r="W1138"/>
    </row>
    <row r="1139" spans="22:23">
      <c r="V1139"/>
      <c r="W1139"/>
    </row>
    <row r="1140" spans="22:23">
      <c r="V1140"/>
      <c r="W1140"/>
    </row>
    <row r="1141" spans="22:23">
      <c r="V1141"/>
      <c r="W1141"/>
    </row>
    <row r="1142" spans="22:23">
      <c r="V1142"/>
      <c r="W1142"/>
    </row>
    <row r="1143" spans="22:23">
      <c r="V1143"/>
      <c r="W1143"/>
    </row>
    <row r="1144" spans="22:23">
      <c r="V1144"/>
      <c r="W1144"/>
    </row>
    <row r="1145" spans="22:23">
      <c r="V1145"/>
      <c r="W1145"/>
    </row>
    <row r="1146" spans="22:23">
      <c r="V1146"/>
      <c r="W1146"/>
    </row>
    <row r="1147" spans="22:23">
      <c r="V1147"/>
      <c r="W1147"/>
    </row>
    <row r="1148" spans="22:23">
      <c r="V1148"/>
      <c r="W1148"/>
    </row>
    <row r="1149" spans="22:23">
      <c r="V1149"/>
      <c r="W1149"/>
    </row>
    <row r="1150" spans="22:23">
      <c r="V1150"/>
      <c r="W1150"/>
    </row>
    <row r="1151" spans="22:23">
      <c r="V1151"/>
      <c r="W1151"/>
    </row>
    <row r="1152" spans="22:23">
      <c r="V1152"/>
      <c r="W1152"/>
    </row>
    <row r="1153" spans="22:23">
      <c r="V1153"/>
      <c r="W1153"/>
    </row>
    <row r="1154" spans="22:23">
      <c r="V1154"/>
      <c r="W1154"/>
    </row>
    <row r="1155" spans="22:23">
      <c r="V1155"/>
      <c r="W1155"/>
    </row>
    <row r="1156" spans="22:23">
      <c r="V1156"/>
      <c r="W1156"/>
    </row>
    <row r="1157" spans="22:23">
      <c r="V1157"/>
      <c r="W1157"/>
    </row>
    <row r="1158" spans="22:23">
      <c r="V1158"/>
      <c r="W1158"/>
    </row>
    <row r="1159" spans="22:23">
      <c r="V1159"/>
      <c r="W1159"/>
    </row>
    <row r="1160" spans="22:23">
      <c r="V1160"/>
      <c r="W1160"/>
    </row>
    <row r="1161" spans="22:23">
      <c r="V1161"/>
      <c r="W1161"/>
    </row>
    <row r="1162" spans="22:23">
      <c r="V1162"/>
      <c r="W1162"/>
    </row>
    <row r="1163" spans="22:23">
      <c r="V1163"/>
      <c r="W1163"/>
    </row>
    <row r="1164" spans="22:23">
      <c r="V1164"/>
      <c r="W1164"/>
    </row>
    <row r="1165" spans="22:23">
      <c r="V1165"/>
      <c r="W1165"/>
    </row>
    <row r="1166" spans="22:23">
      <c r="V1166"/>
      <c r="W1166"/>
    </row>
    <row r="1167" spans="22:23">
      <c r="V1167"/>
      <c r="W1167"/>
    </row>
    <row r="1168" spans="22:23">
      <c r="V1168"/>
      <c r="W1168"/>
    </row>
    <row r="1169" spans="22:23">
      <c r="V1169"/>
      <c r="W1169"/>
    </row>
    <row r="1170" spans="22:23">
      <c r="V1170"/>
      <c r="W1170"/>
    </row>
    <row r="1171" spans="22:23">
      <c r="V1171"/>
      <c r="W1171"/>
    </row>
    <row r="1172" spans="22:23">
      <c r="V1172"/>
      <c r="W1172"/>
    </row>
    <row r="1173" spans="22:23">
      <c r="V1173"/>
      <c r="W1173"/>
    </row>
    <row r="1174" spans="22:23">
      <c r="V1174"/>
      <c r="W1174"/>
    </row>
    <row r="1175" spans="22:23">
      <c r="V1175"/>
      <c r="W1175"/>
    </row>
    <row r="1176" spans="22:23">
      <c r="V1176"/>
      <c r="W1176"/>
    </row>
    <row r="1177" spans="22:23">
      <c r="V1177"/>
      <c r="W1177"/>
    </row>
    <row r="1178" spans="22:23">
      <c r="V1178"/>
      <c r="W1178"/>
    </row>
    <row r="1179" spans="22:23">
      <c r="V1179"/>
      <c r="W1179"/>
    </row>
    <row r="1180" spans="22:23">
      <c r="V1180"/>
      <c r="W1180"/>
    </row>
    <row r="1181" spans="22:23">
      <c r="V1181"/>
      <c r="W1181"/>
    </row>
    <row r="1182" spans="22:23">
      <c r="V1182"/>
      <c r="W1182"/>
    </row>
    <row r="1183" spans="22:23">
      <c r="V1183"/>
      <c r="W1183"/>
    </row>
    <row r="1184" spans="22:23">
      <c r="V1184"/>
      <c r="W1184"/>
    </row>
    <row r="1185" spans="22:23">
      <c r="V1185"/>
      <c r="W1185"/>
    </row>
    <row r="1186" spans="22:23">
      <c r="V1186"/>
      <c r="W1186"/>
    </row>
    <row r="1187" spans="22:23">
      <c r="V1187"/>
      <c r="W1187"/>
    </row>
    <row r="1188" spans="22:23">
      <c r="V1188"/>
      <c r="W1188"/>
    </row>
    <row r="1189" spans="22:23">
      <c r="V1189"/>
      <c r="W1189"/>
    </row>
    <row r="1190" spans="22:23">
      <c r="V1190"/>
      <c r="W1190"/>
    </row>
    <row r="1191" spans="22:23">
      <c r="V1191"/>
      <c r="W1191"/>
    </row>
    <row r="1192" spans="22:23">
      <c r="V1192"/>
      <c r="W1192"/>
    </row>
    <row r="1193" spans="22:23">
      <c r="V1193"/>
      <c r="W1193"/>
    </row>
    <row r="1194" spans="22:23">
      <c r="V1194"/>
      <c r="W1194"/>
    </row>
    <row r="1195" spans="22:23">
      <c r="V1195"/>
      <c r="W1195"/>
    </row>
    <row r="1196" spans="22:23">
      <c r="V1196"/>
      <c r="W1196"/>
    </row>
    <row r="1197" spans="22:23">
      <c r="V1197"/>
      <c r="W1197"/>
    </row>
    <row r="1198" spans="22:23">
      <c r="V1198"/>
      <c r="W1198"/>
    </row>
    <row r="1199" spans="22:23">
      <c r="V1199"/>
      <c r="W1199"/>
    </row>
    <row r="1200" spans="22:23">
      <c r="V1200"/>
      <c r="W1200"/>
    </row>
    <row r="1201" spans="22:23">
      <c r="V1201"/>
      <c r="W1201"/>
    </row>
    <row r="1202" spans="22:23">
      <c r="V1202"/>
      <c r="W1202"/>
    </row>
    <row r="1203" spans="22:23">
      <c r="V1203"/>
      <c r="W1203"/>
    </row>
    <row r="1204" spans="22:23">
      <c r="V1204"/>
      <c r="W1204"/>
    </row>
    <row r="1205" spans="22:23">
      <c r="V1205"/>
      <c r="W1205"/>
    </row>
    <row r="1206" spans="22:23">
      <c r="V1206"/>
      <c r="W1206"/>
    </row>
    <row r="1207" spans="22:23">
      <c r="V1207"/>
      <c r="W1207"/>
    </row>
    <row r="1208" spans="22:23">
      <c r="V1208"/>
      <c r="W1208"/>
    </row>
    <row r="1209" spans="22:23">
      <c r="V1209"/>
      <c r="W1209"/>
    </row>
    <row r="1210" spans="22:23">
      <c r="V1210"/>
      <c r="W1210"/>
    </row>
    <row r="1211" spans="22:23">
      <c r="V1211"/>
      <c r="W1211"/>
    </row>
    <row r="1212" spans="22:23">
      <c r="V1212"/>
      <c r="W1212"/>
    </row>
    <row r="1213" spans="22:23">
      <c r="V1213"/>
      <c r="W1213"/>
    </row>
    <row r="1214" spans="22:23">
      <c r="V1214"/>
      <c r="W1214"/>
    </row>
    <row r="1215" spans="22:23">
      <c r="V1215"/>
      <c r="W1215"/>
    </row>
    <row r="1216" spans="22:23">
      <c r="V1216"/>
      <c r="W1216"/>
    </row>
    <row r="1217" spans="22:23">
      <c r="V1217"/>
      <c r="W1217"/>
    </row>
    <row r="1218" spans="22:23">
      <c r="V1218"/>
      <c r="W1218"/>
    </row>
    <row r="1219" spans="22:23">
      <c r="V1219"/>
      <c r="W1219"/>
    </row>
    <row r="1220" spans="22:23">
      <c r="V1220"/>
      <c r="W1220"/>
    </row>
    <row r="1221" spans="22:23">
      <c r="V1221"/>
      <c r="W1221"/>
    </row>
    <row r="1222" spans="22:23">
      <c r="V1222"/>
      <c r="W1222"/>
    </row>
    <row r="1223" spans="22:23">
      <c r="V1223"/>
      <c r="W1223"/>
    </row>
    <row r="1224" spans="22:23">
      <c r="V1224"/>
      <c r="W1224"/>
    </row>
    <row r="1225" spans="22:23">
      <c r="V1225"/>
      <c r="W1225"/>
    </row>
    <row r="1226" spans="22:23">
      <c r="V1226"/>
      <c r="W1226"/>
    </row>
    <row r="1227" spans="22:23">
      <c r="V1227"/>
      <c r="W1227"/>
    </row>
    <row r="1228" spans="22:23">
      <c r="V1228"/>
      <c r="W1228"/>
    </row>
    <row r="1229" spans="22:23">
      <c r="V1229"/>
      <c r="W1229"/>
    </row>
    <row r="1230" spans="22:23">
      <c r="V1230"/>
      <c r="W1230"/>
    </row>
    <row r="1231" spans="22:23">
      <c r="V1231"/>
      <c r="W1231"/>
    </row>
    <row r="1232" spans="22:23">
      <c r="V1232"/>
      <c r="W1232"/>
    </row>
    <row r="1233" spans="22:23">
      <c r="V1233"/>
      <c r="W1233"/>
    </row>
    <row r="1234" spans="22:23">
      <c r="V1234"/>
      <c r="W1234"/>
    </row>
    <row r="1235" spans="22:23">
      <c r="V1235"/>
      <c r="W1235"/>
    </row>
    <row r="1236" spans="22:23">
      <c r="V1236"/>
      <c r="W1236"/>
    </row>
    <row r="1237" spans="22:23">
      <c r="V1237"/>
      <c r="W1237"/>
    </row>
    <row r="1238" spans="22:23">
      <c r="V1238"/>
      <c r="W1238"/>
    </row>
    <row r="1239" spans="22:23">
      <c r="V1239"/>
      <c r="W1239"/>
    </row>
    <row r="1240" spans="22:23">
      <c r="V1240"/>
      <c r="W1240"/>
    </row>
    <row r="1241" spans="22:23">
      <c r="V1241"/>
      <c r="W1241"/>
    </row>
    <row r="1242" spans="22:23">
      <c r="V1242"/>
      <c r="W1242"/>
    </row>
    <row r="1243" spans="22:23">
      <c r="V1243"/>
      <c r="W1243"/>
    </row>
    <row r="1244" spans="22:23">
      <c r="V1244"/>
      <c r="W1244"/>
    </row>
    <row r="1245" spans="22:23">
      <c r="V1245"/>
      <c r="W1245"/>
    </row>
    <row r="1246" spans="22:23">
      <c r="V1246"/>
      <c r="W1246"/>
    </row>
    <row r="1247" spans="22:23">
      <c r="V1247"/>
      <c r="W1247"/>
    </row>
    <row r="1248" spans="22:23">
      <c r="V1248"/>
      <c r="W1248"/>
    </row>
    <row r="1249" spans="22:23">
      <c r="V1249"/>
      <c r="W1249"/>
    </row>
    <row r="1250" spans="22:23">
      <c r="V1250"/>
      <c r="W1250"/>
    </row>
    <row r="1251" spans="22:23">
      <c r="V1251"/>
      <c r="W1251"/>
    </row>
    <row r="1252" spans="22:23">
      <c r="V1252"/>
      <c r="W1252"/>
    </row>
    <row r="1253" spans="22:23">
      <c r="V1253"/>
      <c r="W1253"/>
    </row>
    <row r="1254" spans="22:23">
      <c r="V1254"/>
      <c r="W1254"/>
    </row>
    <row r="1255" spans="22:23">
      <c r="V1255"/>
      <c r="W1255"/>
    </row>
    <row r="1256" spans="22:23">
      <c r="V1256"/>
      <c r="W1256"/>
    </row>
    <row r="1257" spans="22:23">
      <c r="V1257"/>
      <c r="W1257"/>
    </row>
    <row r="1258" spans="22:23">
      <c r="V1258"/>
      <c r="W1258"/>
    </row>
    <row r="1259" spans="22:23">
      <c r="V1259"/>
      <c r="W1259"/>
    </row>
    <row r="1260" spans="22:23">
      <c r="V1260"/>
      <c r="W1260"/>
    </row>
    <row r="1261" spans="22:23">
      <c r="V1261"/>
      <c r="W1261"/>
    </row>
    <row r="1262" spans="22:23">
      <c r="V1262"/>
      <c r="W1262"/>
    </row>
    <row r="1263" spans="22:23">
      <c r="V1263"/>
      <c r="W1263"/>
    </row>
    <row r="1264" spans="22:23">
      <c r="V1264"/>
      <c r="W1264"/>
    </row>
    <row r="1265" spans="22:23">
      <c r="V1265"/>
      <c r="W1265"/>
    </row>
    <row r="1266" spans="22:23">
      <c r="V1266"/>
      <c r="W1266"/>
    </row>
    <row r="1267" spans="22:23">
      <c r="V1267"/>
      <c r="W1267"/>
    </row>
    <row r="1268" spans="22:23">
      <c r="V1268"/>
      <c r="W1268"/>
    </row>
    <row r="1269" spans="22:23">
      <c r="V1269"/>
      <c r="W1269"/>
    </row>
    <row r="1270" spans="22:23">
      <c r="V1270"/>
      <c r="W1270"/>
    </row>
    <row r="1271" spans="22:23">
      <c r="V1271"/>
      <c r="W1271"/>
    </row>
    <row r="1272" spans="22:23">
      <c r="V1272"/>
      <c r="W1272"/>
    </row>
    <row r="1273" spans="22:23">
      <c r="V1273"/>
      <c r="W1273"/>
    </row>
    <row r="1274" spans="22:23">
      <c r="V1274"/>
      <c r="W1274"/>
    </row>
    <row r="1275" spans="22:23">
      <c r="V1275"/>
      <c r="W1275"/>
    </row>
    <row r="1276" spans="22:23">
      <c r="V1276"/>
      <c r="W1276"/>
    </row>
    <row r="1277" spans="22:23">
      <c r="V1277"/>
      <c r="W1277"/>
    </row>
    <row r="1278" spans="22:23">
      <c r="V1278"/>
      <c r="W1278"/>
    </row>
    <row r="1279" spans="22:23">
      <c r="V1279"/>
      <c r="W1279"/>
    </row>
    <row r="1280" spans="22:23">
      <c r="V1280"/>
      <c r="W1280"/>
    </row>
    <row r="1281" spans="22:23">
      <c r="V1281"/>
      <c r="W1281"/>
    </row>
    <row r="1282" spans="22:23">
      <c r="V1282"/>
      <c r="W1282"/>
    </row>
    <row r="1283" spans="22:23">
      <c r="V1283"/>
      <c r="W1283"/>
    </row>
    <row r="1284" spans="22:23">
      <c r="V1284"/>
      <c r="W1284"/>
    </row>
    <row r="1285" spans="22:23">
      <c r="V1285"/>
      <c r="W1285"/>
    </row>
    <row r="1286" spans="22:23">
      <c r="V1286"/>
      <c r="W1286"/>
    </row>
    <row r="1287" spans="22:23">
      <c r="V1287"/>
      <c r="W1287"/>
    </row>
    <row r="1288" spans="22:23">
      <c r="V1288"/>
      <c r="W1288"/>
    </row>
    <row r="1289" spans="22:23">
      <c r="V1289"/>
      <c r="W1289"/>
    </row>
    <row r="1290" spans="22:23">
      <c r="V1290"/>
      <c r="W1290"/>
    </row>
    <row r="1291" spans="22:23">
      <c r="V1291"/>
      <c r="W1291"/>
    </row>
    <row r="1292" spans="22:23">
      <c r="V1292"/>
      <c r="W1292"/>
    </row>
    <row r="1293" spans="22:23">
      <c r="V1293"/>
      <c r="W1293"/>
    </row>
    <row r="1294" spans="22:23">
      <c r="V1294"/>
      <c r="W1294"/>
    </row>
    <row r="1295" spans="22:23">
      <c r="V1295"/>
      <c r="W1295"/>
    </row>
    <row r="1296" spans="22:23">
      <c r="V1296"/>
      <c r="W1296"/>
    </row>
    <row r="1297" spans="22:23">
      <c r="V1297"/>
      <c r="W1297"/>
    </row>
    <row r="1298" spans="22:23">
      <c r="V1298"/>
      <c r="W1298"/>
    </row>
    <row r="1299" spans="22:23">
      <c r="V1299"/>
      <c r="W1299"/>
    </row>
    <row r="1300" spans="22:23">
      <c r="V1300"/>
      <c r="W1300"/>
    </row>
    <row r="1301" spans="22:23">
      <c r="V1301"/>
      <c r="W1301"/>
    </row>
    <row r="1302" spans="22:23">
      <c r="V1302"/>
      <c r="W1302"/>
    </row>
    <row r="1303" spans="22:23">
      <c r="V1303"/>
      <c r="W1303"/>
    </row>
    <row r="1304" spans="22:23">
      <c r="V1304"/>
      <c r="W1304"/>
    </row>
    <row r="1305" spans="22:23">
      <c r="V1305"/>
      <c r="W1305"/>
    </row>
    <row r="1306" spans="22:23">
      <c r="V1306"/>
      <c r="W1306"/>
    </row>
    <row r="1307" spans="22:23">
      <c r="V1307"/>
      <c r="W1307"/>
    </row>
    <row r="1308" spans="22:23">
      <c r="V1308"/>
      <c r="W1308"/>
    </row>
    <row r="1309" spans="22:23">
      <c r="V1309"/>
      <c r="W1309"/>
    </row>
    <row r="1310" spans="22:23">
      <c r="V1310"/>
      <c r="W1310"/>
    </row>
    <row r="1311" spans="22:23">
      <c r="V1311"/>
      <c r="W1311"/>
    </row>
    <row r="1312" spans="22:23">
      <c r="V1312"/>
      <c r="W1312"/>
    </row>
    <row r="1313" spans="22:23">
      <c r="V1313"/>
      <c r="W1313"/>
    </row>
    <row r="1314" spans="22:23">
      <c r="V1314"/>
      <c r="W1314"/>
    </row>
    <row r="1315" spans="22:23">
      <c r="V1315"/>
      <c r="W1315"/>
    </row>
    <row r="1316" spans="22:23">
      <c r="V1316"/>
      <c r="W1316"/>
    </row>
    <row r="1317" spans="22:23">
      <c r="V1317"/>
      <c r="W1317"/>
    </row>
    <row r="1318" spans="22:23">
      <c r="V1318"/>
      <c r="W1318"/>
    </row>
    <row r="1319" spans="22:23">
      <c r="V1319"/>
      <c r="W1319"/>
    </row>
    <row r="1320" spans="22:23">
      <c r="V1320"/>
      <c r="W1320"/>
    </row>
    <row r="1321" spans="22:23">
      <c r="V1321"/>
      <c r="W1321"/>
    </row>
    <row r="1322" spans="22:23">
      <c r="V1322"/>
      <c r="W1322"/>
    </row>
    <row r="1323" spans="22:23">
      <c r="V1323"/>
      <c r="W1323"/>
    </row>
    <row r="1324" spans="22:23">
      <c r="V1324"/>
      <c r="W1324"/>
    </row>
    <row r="1325" spans="22:23">
      <c r="V1325"/>
      <c r="W1325"/>
    </row>
    <row r="1326" spans="22:23">
      <c r="V1326"/>
      <c r="W1326"/>
    </row>
    <row r="1327" spans="22:23">
      <c r="V1327"/>
      <c r="W1327"/>
    </row>
    <row r="1328" spans="22:23">
      <c r="V1328"/>
      <c r="W1328"/>
    </row>
    <row r="1329" spans="22:23">
      <c r="V1329"/>
      <c r="W1329"/>
    </row>
    <row r="1330" spans="22:23">
      <c r="V1330"/>
      <c r="W1330"/>
    </row>
    <row r="1331" spans="22:23">
      <c r="V1331"/>
      <c r="W1331"/>
    </row>
    <row r="1332" spans="22:23">
      <c r="V1332"/>
      <c r="W1332"/>
    </row>
    <row r="1333" spans="22:23">
      <c r="V1333"/>
      <c r="W1333"/>
    </row>
    <row r="1334" spans="22:23">
      <c r="V1334"/>
      <c r="W1334"/>
    </row>
    <row r="1335" spans="22:23">
      <c r="V1335"/>
      <c r="W1335"/>
    </row>
    <row r="1336" spans="22:23">
      <c r="V1336"/>
      <c r="W1336"/>
    </row>
    <row r="1337" spans="22:23">
      <c r="V1337"/>
      <c r="W1337"/>
    </row>
    <row r="1338" spans="22:23">
      <c r="V1338"/>
      <c r="W1338"/>
    </row>
    <row r="1339" spans="22:23">
      <c r="V1339"/>
      <c r="W1339"/>
    </row>
    <row r="1340" spans="22:23">
      <c r="V1340"/>
      <c r="W1340"/>
    </row>
    <row r="1341" spans="22:23">
      <c r="V1341"/>
      <c r="W1341"/>
    </row>
    <row r="1342" spans="22:23">
      <c r="V1342"/>
      <c r="W1342"/>
    </row>
    <row r="1343" spans="22:23">
      <c r="V1343"/>
      <c r="W1343"/>
    </row>
    <row r="1344" spans="22:23">
      <c r="V1344"/>
      <c r="W1344"/>
    </row>
    <row r="1345" spans="22:23">
      <c r="V1345"/>
      <c r="W1345"/>
    </row>
    <row r="1346" spans="22:23">
      <c r="V1346"/>
      <c r="W1346"/>
    </row>
    <row r="1347" spans="22:23">
      <c r="V1347"/>
      <c r="W1347"/>
    </row>
    <row r="1348" spans="22:23">
      <c r="V1348"/>
      <c r="W1348"/>
    </row>
    <row r="1349" spans="22:23">
      <c r="V1349"/>
      <c r="W1349"/>
    </row>
    <row r="1350" spans="22:23">
      <c r="V1350"/>
      <c r="W1350"/>
    </row>
    <row r="1351" spans="22:23">
      <c r="V1351"/>
      <c r="W1351"/>
    </row>
    <row r="1352" spans="22:23">
      <c r="V1352"/>
      <c r="W1352"/>
    </row>
    <row r="1353" spans="22:23">
      <c r="V1353"/>
      <c r="W1353"/>
    </row>
    <row r="1354" spans="22:23">
      <c r="V1354"/>
      <c r="W1354"/>
    </row>
    <row r="1355" spans="22:23">
      <c r="V1355"/>
      <c r="W1355"/>
    </row>
    <row r="1356" spans="22:23">
      <c r="V1356"/>
      <c r="W1356"/>
    </row>
    <row r="1357" spans="22:23">
      <c r="V1357"/>
      <c r="W1357"/>
    </row>
    <row r="1358" spans="22:23">
      <c r="V1358"/>
      <c r="W1358"/>
    </row>
    <row r="1359" spans="22:23">
      <c r="V1359"/>
      <c r="W1359"/>
    </row>
    <row r="1360" spans="22:23">
      <c r="V1360"/>
      <c r="W1360"/>
    </row>
    <row r="1361" spans="22:23">
      <c r="V1361"/>
      <c r="W1361"/>
    </row>
    <row r="1362" spans="22:23">
      <c r="V1362"/>
      <c r="W1362"/>
    </row>
    <row r="1363" spans="22:23">
      <c r="V1363"/>
      <c r="W1363"/>
    </row>
    <row r="1364" spans="22:23">
      <c r="V1364"/>
      <c r="W1364"/>
    </row>
    <row r="1365" spans="22:23">
      <c r="V1365"/>
      <c r="W1365"/>
    </row>
    <row r="1366" spans="22:23">
      <c r="V1366"/>
      <c r="W1366"/>
    </row>
  </sheetData>
  <conditionalFormatting sqref="D1:D46 D1367:D1048576">
    <cfRule type="top10" dxfId="2" priority="1" percent="1" rank="10"/>
    <cfRule type="top10" dxfId="1" priority="2" percent="1" bottom="1" rank="10"/>
    <cfRule type="top10" dxfId="0" priority="3" percent="1" rank="10"/>
    <cfRule type="colorScale" priority="4">
      <colorScale>
        <cfvo type="percent" val="&quot;top 10%&quot;"/>
        <cfvo type="percent" val="&quot;bottom 10%&quot;"/>
        <color rgb="FFFF0000"/>
        <color theme="9" tint="-0.249977111117893"/>
      </colorScale>
    </cfRule>
    <cfRule type="top10" priority="5" percent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5E58-5A9F-4230-9870-B58F21EE0490}">
  <sheetPr codeName="Sheet1"/>
  <dimension ref="A1:B9"/>
  <sheetViews>
    <sheetView tabSelected="1" workbookViewId="0">
      <selection activeCell="K18" sqref="K18"/>
    </sheetView>
  </sheetViews>
  <sheetFormatPr defaultRowHeight="15"/>
  <cols>
    <col min="1" max="1" width="19" bestFit="1" customWidth="1"/>
    <col min="2" max="2" width="36.28515625" bestFit="1" customWidth="1"/>
  </cols>
  <sheetData>
    <row r="1" spans="1:2">
      <c r="A1" s="4" t="s">
        <v>76</v>
      </c>
      <c r="B1" t="s">
        <v>531</v>
      </c>
    </row>
    <row r="2" spans="1:2">
      <c r="A2" s="3" t="s">
        <v>54</v>
      </c>
      <c r="B2">
        <v>11232.908170300001</v>
      </c>
    </row>
    <row r="3" spans="1:2">
      <c r="A3" s="3" t="s">
        <v>24</v>
      </c>
      <c r="B3">
        <v>4305.5400150999985</v>
      </c>
    </row>
    <row r="4" spans="1:2">
      <c r="A4" s="3" t="s">
        <v>28</v>
      </c>
      <c r="B4">
        <v>98672.242658972944</v>
      </c>
    </row>
    <row r="5" spans="1:2">
      <c r="A5" s="3" t="s">
        <v>30</v>
      </c>
      <c r="B5">
        <v>70568.858982631005</v>
      </c>
    </row>
    <row r="6" spans="1:2">
      <c r="A6" s="3" t="s">
        <v>39</v>
      </c>
      <c r="B6">
        <v>37309.038934379991</v>
      </c>
    </row>
    <row r="7" spans="1:2">
      <c r="A7" s="3" t="s">
        <v>33</v>
      </c>
      <c r="B7">
        <v>67488.007404799995</v>
      </c>
    </row>
    <row r="8" spans="1:2">
      <c r="A8" s="3" t="s">
        <v>26</v>
      </c>
      <c r="B8">
        <v>23907.312216327005</v>
      </c>
    </row>
    <row r="9" spans="1:2">
      <c r="A9" s="3" t="s">
        <v>79</v>
      </c>
      <c r="B9">
        <v>313483.90838251094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89753b-d08c-4fad-b1ec-f1593fdc67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BA38AC337954797E55CA843E765E7" ma:contentTypeVersion="9" ma:contentTypeDescription="Create a new document." ma:contentTypeScope="" ma:versionID="44382a4d6a5ad041f3693493d432edbf">
  <xsd:schema xmlns:xsd="http://www.w3.org/2001/XMLSchema" xmlns:xs="http://www.w3.org/2001/XMLSchema" xmlns:p="http://schemas.microsoft.com/office/2006/metadata/properties" xmlns:ns3="b689753b-d08c-4fad-b1ec-f1593fdc673b" xmlns:ns4="22906522-14bc-49d1-ba6c-e032ec1ccd0e" targetNamespace="http://schemas.microsoft.com/office/2006/metadata/properties" ma:root="true" ma:fieldsID="ce3a121477c90b428832493c1681c44f" ns3:_="" ns4:_="">
    <xsd:import namespace="b689753b-d08c-4fad-b1ec-f1593fdc673b"/>
    <xsd:import namespace="22906522-14bc-49d1-ba6c-e032ec1ccd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9753b-d08c-4fad-b1ec-f1593fdc67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06522-14bc-49d1-ba6c-e032ec1ccd0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2D9F3F8-8DBA-449E-9C2B-5245EB0BC0AD}"/>
</file>

<file path=customXml/itemProps2.xml><?xml version="1.0" encoding="utf-8"?>
<ds:datastoreItem xmlns:ds="http://schemas.openxmlformats.org/officeDocument/2006/customXml" ds:itemID="{EAEDDC2D-B867-42DE-A0EB-2E27020F08B0}"/>
</file>

<file path=customXml/itemProps3.xml><?xml version="1.0" encoding="utf-8"?>
<ds:datastoreItem xmlns:ds="http://schemas.openxmlformats.org/officeDocument/2006/customXml" ds:itemID="{9CDB6F46-F197-41C8-AADB-819C97E777AD}"/>
</file>

<file path=customXml/itemProps4.xml><?xml version="1.0" encoding="utf-8"?>
<ds:datastoreItem xmlns:ds="http://schemas.openxmlformats.org/officeDocument/2006/customXml" ds:itemID="{335BF5C8-AEBC-4016-B85E-11E3EA5D7DAE}"/>
</file>

<file path=docMetadata/LabelInfo.xml><?xml version="1.0" encoding="utf-8"?>
<clbl:labelList xmlns:clbl="http://schemas.microsoft.com/office/2020/mipLabelMetadata">
  <clbl:label id="{e10c8f44-f469-448f-bc0d-d781288ff01b}" enabled="0" method="" siteId="{e10c8f44-f469-448f-bc0d-d781288ff0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Mkateko Lucia Shondlane</dc:creator>
  <cp:keywords/>
  <dc:description/>
  <cp:lastModifiedBy>Mkateko Lucia Shondlane</cp:lastModifiedBy>
  <cp:revision/>
  <dcterms:created xsi:type="dcterms:W3CDTF">2024-08-06T06:54:12Z</dcterms:created>
  <dcterms:modified xsi:type="dcterms:W3CDTF">2026-05-19T11:28:50Z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0x010100169BA38AC337954797E55CA843E765E7</vt:lpwstr>
  </property>
</Properties>
</file>